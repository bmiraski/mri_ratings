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DDEV" vbProcedure="false">'Team Data'!$R$135</definedName>
    <definedName function="false" hidden="false" name="DMEAN" vbProcedure="false">'Team Data'!$R$134</definedName>
    <definedName function="false" hidden="false" name="PDEV" vbProcedure="false">'Team Data'!$M$135</definedName>
    <definedName function="false" hidden="false" name="PMEAN" vbProcedure="false">'Team Data'!$M$134</definedName>
    <definedName function="false" hidden="false" name="RDEV" vbProcedure="false">'Team Data'!$J$135</definedName>
    <definedName function="false" hidden="false" name="RMEAN" vbProcedure="false">'Team Data'!$J$134</definedName>
    <definedName function="false" hidden="false" name="TODEV" vbProcedure="false">'Team Data'!$S$135</definedName>
    <definedName function="false" hidden="false" name="TOMEAN" vbProcedure="false">'Team Data'!$S$134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<sst xmlns="http://schemas.openxmlformats.org/spreadsheetml/2006/main" count="2406" uniqueCount="220">
  <si>
    <t xml:space="preserve">Rank</t>
  </si>
  <si>
    <t xml:space="preserve">Team</t>
  </si>
  <si>
    <t xml:space="preserve">W</t>
  </si>
  <si>
    <t xml:space="preserve">L</t>
  </si>
  <si>
    <t xml:space="preserve">MRI Raw</t>
  </si>
  <si>
    <t xml:space="preserve">Avg.</t>
  </si>
  <si>
    <t xml:space="preserve">Air Force</t>
  </si>
  <si>
    <t xml:space="preserve">Akron</t>
  </si>
  <si>
    <t xml:space="preserve">Alabama</t>
  </si>
  <si>
    <t xml:space="preserve">Appalachian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</si>
  <si>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</si>
  <si>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</si>
  <si>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</si>
  <si>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</si>
  <si>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Army</t>
  </si>
  <si>
    <t xml:space="preserve">Auburn</t>
  </si>
  <si>
    <t xml:space="preserve">BYU</t>
  </si>
  <si>
    <t xml:space="preserve">Ball State</t>
  </si>
  <si>
    <t xml:space="preserve">Baylor</t>
  </si>
  <si>
    <t xml:space="preserve">Boise State</t>
  </si>
  <si>
    <t xml:space="preserve">Boston College</t>
  </si>
  <si>
    <t xml:space="preserve">Bowling Green</t>
  </si>
  <si>
    <t xml:space="preserve">Buffalo</t>
  </si>
  <si>
    <t xml:space="preserve">California</t>
  </si>
  <si>
    <t xml:space="preserve">Central Michigan</t>
  </si>
  <si>
    <t xml:space="preserve">Charlotte</t>
  </si>
  <si>
    <t xml:space="preserve">Cincinnati</t>
  </si>
  <si>
    <t xml:space="preserve">Clemson</t>
  </si>
  <si>
    <t xml:space="preserve">Coastal Carolina</t>
  </si>
  <si>
    <t xml:space="preserve">Colorado</t>
  </si>
  <si>
    <t xml:space="preserve">Colorado State</t>
  </si>
  <si>
    <t xml:space="preserve">Duke</t>
  </si>
  <si>
    <t xml:space="preserve">East Carolina</t>
  </si>
  <si>
    <t xml:space="preserve">Eastern Michigan</t>
  </si>
  <si>
    <t xml:space="preserve">FIU</t>
  </si>
  <si>
    <t xml:space="preserve">Florida</t>
  </si>
  <si>
    <t xml:space="preserve">Florida Atlantic</t>
  </si>
  <si>
    <t xml:space="preserve">Florida State</t>
  </si>
  <si>
    <t xml:space="preserve">Fresno State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</si>
  <si>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</si>
  <si>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</si>
  <si>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</si>
  <si>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</si>
  <si>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Hawaii</t>
  </si>
  <si>
    <t xml:space="preserve">Houston</t>
  </si>
  <si>
    <t xml:space="preserve">Illinois</t>
  </si>
  <si>
    <t xml:space="preserve">Indiana</t>
  </si>
  <si>
    <t xml:space="preserve">Iowa</t>
  </si>
  <si>
    <t xml:space="preserve">Iowa State</t>
  </si>
  <si>
    <t xml:space="preserve">James Madison</t>
  </si>
  <si>
    <t xml:space="preserve">Kansas</t>
  </si>
  <si>
    <t xml:space="preserve">Kansas State</t>
  </si>
  <si>
    <t xml:space="preserve">Kent State</t>
  </si>
  <si>
    <t xml:space="preserve">Kentucky</t>
  </si>
  <si>
    <t xml:space="preserve">LSU</t>
  </si>
  <si>
    <t xml:space="preserve">Liberty</t>
  </si>
  <si>
    <t xml:space="preserve">Louisiana</t>
  </si>
  <si>
    <t xml:space="preserve">Louisiana Tech</t>
  </si>
  <si>
    <t xml:space="preserve">Louisiana-Monroe</t>
  </si>
  <si>
    <t xml:space="preserve">Louisville</t>
  </si>
  <si>
    <t xml:space="preserve">Marshall</t>
  </si>
  <si>
    <t xml:space="preserve">Maryland</t>
  </si>
  <si>
    <t xml:space="preserve">Memphis</t>
  </si>
  <si>
    <t xml:space="preserve">Miami (FL)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</si>
  <si>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</si>
  <si>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</si>
  <si>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</si>
  <si>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</si>
  <si>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Minnesota</t>
  </si>
  <si>
    <t xml:space="preserve">Mississippi State</t>
  </si>
  <si>
    <t xml:space="preserve">Missouri</t>
  </si>
  <si>
    <t xml:space="preserve">NC State</t>
  </si>
  <si>
    <t xml:space="preserve">Navy</t>
  </si>
  <si>
    <t xml:space="preserve">Nebraska</t>
  </si>
  <si>
    <t xml:space="preserve">Nevada</t>
  </si>
  <si>
    <t xml:space="preserve">New Mexico</t>
  </si>
  <si>
    <t xml:space="preserve">New Mexico State</t>
  </si>
  <si>
    <t xml:space="preserve">North Carolina</t>
  </si>
  <si>
    <t xml:space="preserve">North Texas</t>
  </si>
  <si>
    <t xml:space="preserve">Northern Illinois</t>
  </si>
  <si>
    <t xml:space="preserve">Northwestern</t>
  </si>
  <si>
    <t xml:space="preserve">Notre Dame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</si>
  <si>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</si>
  <si>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</si>
  <si>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</si>
  <si>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</si>
  <si>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</si>
  <si>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</si>
  <si>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Oregon</t>
  </si>
  <si>
    <t xml:space="preserve">Oregon State</t>
  </si>
  <si>
    <t xml:space="preserve">Penn State</t>
  </si>
  <si>
    <t xml:space="preserve">Pittsburgh</t>
  </si>
  <si>
    <t xml:space="preserve">Purdue</t>
  </si>
  <si>
    <t xml:space="preserve">Rice</t>
  </si>
  <si>
    <t xml:space="preserve">Rutgers</t>
  </si>
  <si>
    <t xml:space="preserve">SMU</t>
  </si>
  <si>
    <t xml:space="preserve">San Diego State</t>
  </si>
  <si>
    <t xml:space="preserve">San Jose State</t>
  </si>
  <si>
    <t xml:space="preserve">South Alabama</t>
  </si>
  <si>
    <t xml:space="preserve">South Carolina</t>
  </si>
  <si>
    <t xml:space="preserve">Southern Miss</t>
  </si>
  <si>
    <t xml:space="preserve">Stanford</t>
  </si>
  <si>
    <t xml:space="preserve">Syracuse</t>
  </si>
  <si>
    <t xml:space="preserve">TCU</t>
  </si>
  <si>
    <t xml:space="preserve">Temple</t>
  </si>
  <si>
    <t xml:space="preserve">Tennessee</t>
  </si>
  <si>
    <t xml:space="preserve">Texas</t>
  </si>
  <si>
    <t xml:space="preserve">Texas A&amp;M</t>
  </si>
  <si>
    <t xml:space="preserve">Texas State</t>
  </si>
  <si>
    <t xml:space="preserve">Texas Tech</t>
  </si>
  <si>
    <t xml:space="preserve">Toledo</t>
  </si>
  <si>
    <t xml:space="preserve">Troy</t>
  </si>
  <si>
    <t xml:space="preserve">Tulane</t>
  </si>
  <si>
    <t xml:space="preserve">Tulsa</t>
  </si>
  <si>
    <t xml:space="preserve">UAB</t>
  </si>
  <si>
    <t xml:space="preserve">UCF</t>
  </si>
  <si>
    <t xml:space="preserve">UCLA</t>
  </si>
  <si>
    <t xml:space="preserve">UConn</t>
  </si>
  <si>
    <t xml:space="preserve">UMass</t>
  </si>
  <si>
    <t xml:space="preserve">UNLV</t>
  </si>
  <si>
    <t xml:space="preserve">USC</t>
  </si>
  <si>
    <t xml:space="preserve">USF</t>
  </si>
  <si>
    <t xml:space="preserve">UTEP</t>
  </si>
  <si>
    <t xml:space="preserve">UTSA</t>
  </si>
  <si>
    <t xml:space="preserve">Utah</t>
  </si>
  <si>
    <t xml:space="preserve">Utah State</t>
  </si>
  <si>
    <t xml:space="preserve">Vanderbilt</t>
  </si>
  <si>
    <t xml:space="preserve">Virginia</t>
  </si>
  <si>
    <t xml:space="preserve">Virginia Tech</t>
  </si>
  <si>
    <t xml:space="preserve">Wake Forest</t>
  </si>
  <si>
    <t xml:space="preserve">Washington</t>
  </si>
  <si>
    <t xml:space="preserve">Washington State</t>
  </si>
  <si>
    <t xml:space="preserve">West Virginia</t>
  </si>
  <si>
    <t xml:space="preserve">Western Kentucky</t>
  </si>
  <si>
    <t xml:space="preserve">Western Michigan</t>
  </si>
  <si>
    <t xml:space="preserve">Wisconsin</t>
  </si>
  <si>
    <t xml:space="preserve">Wyoming</t>
  </si>
  <si>
    <t xml:space="preserve">Conference</t>
  </si>
  <si>
    <t xml:space="preserve">Power</t>
  </si>
  <si>
    <t xml:space="preserve">Resume</t>
  </si>
  <si>
    <t xml:space="preserve">Resume Rank</t>
  </si>
  <si>
    <t xml:space="preserve">Games</t>
  </si>
  <si>
    <t xml:space="preserve">SEC</t>
  </si>
  <si>
    <t xml:space="preserve">Big Ten</t>
  </si>
  <si>
    <t xml:space="preserve">Big 12</t>
  </si>
  <si>
    <t xml:space="preserve">ACC</t>
  </si>
  <si>
    <t xml:space="preserve">Independent</t>
  </si>
  <si>
    <t xml:space="preserve">Pac-12</t>
  </si>
  <si>
    <t xml:space="preserve">American</t>
  </si>
  <si>
    <t xml:space="preserve">Mountain West</t>
  </si>
  <si>
    <t xml:space="preserve">Conference USA</t>
  </si>
  <si>
    <t xml:space="preserve">Sun Belt</t>
  </si>
  <si>
    <t xml:space="preserve">MAC</t>
  </si>
  <si>
    <t xml:space="preserve">Missouri State</t>
  </si>
  <si>
    <t xml:space="preserve">Sacramento State</t>
  </si>
  <si>
    <t xml:space="preserve">Delaware</t>
  </si>
  <si>
    <t xml:space="preserve">North Dakota State</t>
  </si>
  <si>
    <t xml:space="preserve">Sam Houston</t>
  </si>
  <si>
    <t xml:space="preserve">Jacksonville State</t>
  </si>
  <si>
    <t xml:space="preserve">Kennesaw State</t>
  </si>
  <si>
    <t xml:space="preserve">Snapshot, not formulas: MRI 2.0 solves the whole season at once as a regularized least-squares system, which a spreadsheet cannot express. Power is points against an average FBS team; Resume is wins above what an average team would manage against the same schedule.</t>
  </si>
  <si>
    <t xml:space="preserve">MRI 2022</t>
  </si>
  <si>
    <t xml:space="preserve">896 games, 131 FBS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</si>
  <si>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</si>
  <si>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</si>
  <si>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</si>
  <si>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A-L of Games are data; M onward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</si>
  <si>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</si>
  <si>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</si>
  <si>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</si>
  <si>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</si>
  <si>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scripts/export_workbooks.py instead.</t>
  </si>
  <si>
    <t xml:space="preserve">NON-FBS OPPONENTS</t>
  </si>
  <si>
    <t xml:space="preserve">Pooled into a single "Non D1A" team, as in the originals. MRI 2.0 rates</t>
  </si>
  <si>
    <t xml:space="preserve">them individually, which is one reason the two ratings disagree.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</si>
  <si>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</si>
  <si>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</si>
  <si>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</si>
  <si>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</si>
  <si>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</si>
  <si>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Rush1</t>
  </si>
  <si>
    <t xml:space="preserve">Rush2</t>
  </si>
  <si>
    <t xml:space="preserve">Pass1</t>
  </si>
  <si>
    <t xml:space="preserve">Pass2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</si>
  <si>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</si>
  <si>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</si>
  <si>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</si>
  <si>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</si>
  <si>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</si>
  <si>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</si>
  <si>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</si>
  <si>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</si>
  <si>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</si>
  <si>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</si>
  <si>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</si>
  <si>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</si>
  <si>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</si>
  <si>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</si>
  <si>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Non D1A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</si>
  <si>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</si>
  <si>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</si>
  <si>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</si>
  <si>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</si>
  <si>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</si>
  <si>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Rush</t>
  </si>
  <si>
    <t xml:space="preserve">RPG</t>
  </si>
  <si>
    <t xml:space="preserve">Orush</t>
  </si>
  <si>
    <t xml:space="preserve">Pass</t>
  </si>
  <si>
    <t xml:space="preserve">PPG</t>
  </si>
  <si>
    <t xml:space="preserve">Opass</t>
  </si>
  <si>
    <t xml:space="preserve">TO's</t>
  </si>
  <si>
    <t xml:space="preserve">O TO's</t>
  </si>
  <si>
    <t xml:space="preserve">Def/G</t>
  </si>
  <si>
    <t xml:space="preserve">TO Diff</t>
  </si>
  <si>
    <t xml:space="preserve">SOS</t>
  </si>
  <si>
    <t xml:space="preserve">SOS Rank</t>
  </si>
  <si>
    <t xml:space="preserve">MRI</t>
  </si>
  <si>
    <t xml:space="preserve">Mean</t>
  </si>
  <si>
    <t xml:space="preserve">StDev</t>
  </si>
  <si>
    <t xml:space="preserve">Mean and StDev cover FBS teams only; the pooled Non D1A row is excluded, as in the original workbooks.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</si>
</sst>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RANK(E2,E$2:E$132)</f>
        <v>16</v>
      </c>
      <c r="B2" s="0" t="s">
        <v>6</v>
      </c>
      <c r="C2" s="0" t="n">
        <f aca="false">VLOOKUP(B2,'Team Data'!$A$2:$V$133,2,FALSE())</f>
        <v>10</v>
      </c>
      <c r="D2" s="0" t="n">
        <f aca="false">VLOOKUP(B2,'Team Data'!$A$2:$V$133,3,FALSE())</f>
        <v>3</v>
      </c>
      <c r="E2" s="2" t="n">
        <f aca="false">VLOOKUP(B2,'Team Data'!$A$2:$V$133,22,FALSE())</f>
        <v>62.7103392368984</v>
      </c>
      <c r="F2" s="2" t="n">
        <f aca="false">IFERROR(E2/(C2+D2),0)</f>
        <v>4.82387224899219</v>
      </c>
    </row>
    <row r="3" customFormat="false" ht="15" hidden="false" customHeight="false" outlineLevel="0" collapsed="false">
      <c r="A3" s="0" t="n">
        <f aca="false">RANK(E3,E$2:E$132)</f>
        <v>115</v>
      </c>
      <c r="B3" s="0" t="s">
        <v>7</v>
      </c>
      <c r="C3" s="0" t="n">
        <f aca="false">VLOOKUP(B3,'Team Data'!$A$2:$V$133,2,FALSE())</f>
        <v>2</v>
      </c>
      <c r="D3" s="0" t="n">
        <f aca="false">VLOOKUP(B3,'Team Data'!$A$2:$V$133,3,FALSE())</f>
        <v>10</v>
      </c>
      <c r="E3" s="2" t="n">
        <f aca="false">VLOOKUP(B3,'Team Data'!$A$2:$V$133,22,FALSE())</f>
        <v>-25.9564539700259</v>
      </c>
      <c r="F3" s="2" t="n">
        <f aca="false">IFERROR(E3/(C3+D3),0)</f>
        <v>-2.16303783083549</v>
      </c>
    </row>
    <row r="4" customFormat="false" ht="15" hidden="false" customHeight="false" outlineLevel="0" collapsed="false">
      <c r="A4" s="0" t="n">
        <f aca="false">RANK(E4,E$2:E$132)</f>
        <v>5</v>
      </c>
      <c r="B4" s="0" t="s">
        <v>8</v>
      </c>
      <c r="C4" s="0" t="n">
        <f aca="false">VLOOKUP(B4,'Team Data'!$A$2:$V$133,2,FALSE())</f>
        <v>11</v>
      </c>
      <c r="D4" s="0" t="n">
        <f aca="false">VLOOKUP(B4,'Team Data'!$A$2:$V$133,3,FALSE())</f>
        <v>2</v>
      </c>
      <c r="E4" s="2" t="n">
        <f aca="false">VLOOKUP(B4,'Team Data'!$A$2:$V$133,22,FALSE())</f>
        <v>88.5573100976711</v>
      </c>
      <c r="F4" s="2" t="n">
        <f aca="false">IFERROR(E4/(C4+D4),0)</f>
        <v>6.81210077674393</v>
      </c>
    </row>
    <row r="5" customFormat="false" ht="15" hidden="false" customHeight="false" outlineLevel="0" collapsed="false">
      <c r="A5" s="0" t="n">
        <f aca="false">RANK(E5,E$2:E$132)</f>
        <v>45</v>
      </c>
      <c r="B5" s="0" t="s">
        <v>9</v>
      </c>
      <c r="C5" s="0" t="n">
        <f aca="false">VLOOKUP(B5,'Team Data'!$A$2:$V$133,2,FALSE())</f>
        <v>6</v>
      </c>
      <c r="D5" s="0" t="n">
        <f aca="false">VLOOKUP(B5,'Team Data'!$A$2:$V$133,3,FALSE())</f>
        <v>6</v>
      </c>
      <c r="E5" s="2" t="n">
        <f aca="false">VLOOKUP(B5,'Team Data'!$A$2:$V$133,22,FALSE())</f>
        <v>36.3765399699834</v>
      </c>
      <c r="F5" s="2" t="n">
        <f aca="false">IFERROR(E5/(C5+D5),0)</f>
        <v>3.03137833083195</v>
      </c>
    </row>
    <row r="6" customFormat="false" ht="15" hidden="false" customHeight="false" outlineLevel="0" collapsed="false">
      <c r="A6" s="0" t="n">
        <f aca="false">RANK(E6,E$2:E$132)</f>
        <v>94</v>
      </c>
      <c r="B6" s="0" t="s">
        <v>10</v>
      </c>
      <c r="C6" s="0" t="n">
        <f aca="false">VLOOKUP(B6,'Team Data'!$A$2:$V$133,2,FALSE())</f>
        <v>5</v>
      </c>
      <c r="D6" s="0" t="n">
        <f aca="false">VLOOKUP(B6,'Team Data'!$A$2:$V$133,3,FALSE())</f>
        <v>7</v>
      </c>
      <c r="E6" s="2" t="n">
        <f aca="false">VLOOKUP(B6,'Team Data'!$A$2:$V$133,22,FALSE())</f>
        <v>-4.39469864557279</v>
      </c>
      <c r="F6" s="2" t="n">
        <f aca="false">IFERROR(E6/(C6+D6),0)</f>
        <v>-0.366224887131066</v>
      </c>
    </row>
    <row r="7" customFormat="false" ht="15" hidden="false" customHeight="false" outlineLevel="0" collapsed="false">
      <c r="A7" s="0" t="n">
        <f aca="false">RANK(E7,E$2:E$132)</f>
        <v>101</v>
      </c>
      <c r="B7" s="0" t="s">
        <v>11</v>
      </c>
      <c r="C7" s="0" t="n">
        <f aca="false">VLOOKUP(B7,'Team Data'!$A$2:$V$133,2,FALSE())</f>
        <v>3</v>
      </c>
      <c r="D7" s="0" t="n">
        <f aca="false">VLOOKUP(B7,'Team Data'!$A$2:$V$133,3,FALSE())</f>
        <v>9</v>
      </c>
      <c r="E7" s="2" t="n">
        <f aca="false">VLOOKUP(B7,'Team Data'!$A$2:$V$133,22,FALSE())</f>
        <v>-10.9679532539405</v>
      </c>
      <c r="F7" s="2" t="n">
        <f aca="false">IFERROR(E7/(C7+D7),0)</f>
        <v>-0.913996104495044</v>
      </c>
    </row>
    <row r="8" customFormat="false" ht="15" hidden="false" customHeight="false" outlineLevel="0" collapsed="false">
      <c r="A8" s="0" t="n">
        <f aca="false">RANK(E8,E$2:E$132)</f>
        <v>54</v>
      </c>
      <c r="B8" s="0" t="s">
        <v>12</v>
      </c>
      <c r="C8" s="0" t="n">
        <f aca="false">VLOOKUP(B8,'Team Data'!$A$2:$V$133,2,FALSE())</f>
        <v>7</v>
      </c>
      <c r="D8" s="0" t="n">
        <f aca="false">VLOOKUP(B8,'Team Data'!$A$2:$V$133,3,FALSE())</f>
        <v>6</v>
      </c>
      <c r="E8" s="2" t="n">
        <f aca="false">VLOOKUP(B8,'Team Data'!$A$2:$V$133,22,FALSE())</f>
        <v>28.5616340559601</v>
      </c>
      <c r="F8" s="2" t="n">
        <f aca="false">IFERROR(E8/(C8+D8),0)</f>
        <v>2.19704877353539</v>
      </c>
    </row>
    <row r="9" customFormat="false" ht="15" hidden="false" customHeight="false" outlineLevel="0" collapsed="false">
      <c r="A9" s="0" t="n">
        <f aca="false">RANK(E9,E$2:E$132)</f>
        <v>110</v>
      </c>
      <c r="B9" s="0" t="s">
        <v>13</v>
      </c>
      <c r="C9" s="0" t="n">
        <f aca="false">VLOOKUP(B9,'Team Data'!$A$2:$V$133,2,FALSE())</f>
        <v>3</v>
      </c>
      <c r="D9" s="0" t="n">
        <f aca="false">VLOOKUP(B9,'Team Data'!$A$2:$V$133,3,FALSE())</f>
        <v>9</v>
      </c>
      <c r="E9" s="2" t="n">
        <f aca="false">VLOOKUP(B9,'Team Data'!$A$2:$V$133,22,FALSE())</f>
        <v>-17.1810039533936</v>
      </c>
      <c r="F9" s="2" t="n">
        <f aca="false">IFERROR(E9/(C9+D9),0)</f>
        <v>-1.43175032944947</v>
      </c>
    </row>
    <row r="10" customFormat="false" ht="15" hidden="false" customHeight="false" outlineLevel="0" collapsed="false">
      <c r="A10" s="0" t="n">
        <f aca="false">RANK(E10,E$2:E$132)</f>
        <v>70</v>
      </c>
      <c r="B10" s="0" t="s">
        <v>14</v>
      </c>
      <c r="C10" s="0" t="n">
        <f aca="false">VLOOKUP(B10,'Team Data'!$A$2:$V$133,2,FALSE())</f>
        <v>6</v>
      </c>
      <c r="D10" s="0" t="n">
        <f aca="false">VLOOKUP(B10,'Team Data'!$A$2:$V$133,3,FALSE())</f>
        <v>6</v>
      </c>
      <c r="E10" s="2" t="n">
        <f aca="false">VLOOKUP(B10,'Team Data'!$A$2:$V$133,22,FALSE())</f>
        <v>17.3507889081225</v>
      </c>
      <c r="F10" s="2" t="n">
        <f aca="false">IFERROR(E10/(C10+D10),0)</f>
        <v>1.44589907567687</v>
      </c>
    </row>
    <row r="11" customFormat="false" ht="15" hidden="false" customHeight="false" outlineLevel="0" collapsed="false">
      <c r="A11" s="0" t="n">
        <f aca="false">RANK(E11,E$2:E$132)</f>
        <v>76</v>
      </c>
      <c r="B11" s="0" t="s">
        <v>15</v>
      </c>
      <c r="C11" s="0" t="n">
        <f aca="false">VLOOKUP(B11,'Team Data'!$A$2:$V$133,2,FALSE())</f>
        <v>5</v>
      </c>
      <c r="D11" s="0" t="n">
        <f aca="false">VLOOKUP(B11,'Team Data'!$A$2:$V$133,3,FALSE())</f>
        <v>7</v>
      </c>
      <c r="E11" s="2" t="n">
        <f aca="false">VLOOKUP(B11,'Team Data'!$A$2:$V$133,22,FALSE())</f>
        <v>10.2014164892713</v>
      </c>
      <c r="F11" s="2" t="n">
        <f aca="false">IFERROR(E11/(C11+D11),0)</f>
        <v>0.850118040772609</v>
      </c>
    </row>
    <row r="12" customFormat="false" ht="15" hidden="false" customHeight="false" outlineLevel="0" collapsed="false">
      <c r="A12" s="0" t="n">
        <f aca="false">RANK(E12,E$2:E$132)</f>
        <v>66</v>
      </c>
      <c r="B12" s="0" t="s">
        <v>16</v>
      </c>
      <c r="C12" s="0" t="n">
        <f aca="false">VLOOKUP(B12,'Team Data'!$A$2:$V$133,2,FALSE())</f>
        <v>8</v>
      </c>
      <c r="D12" s="0" t="n">
        <f aca="false">VLOOKUP(B12,'Team Data'!$A$2:$V$133,3,FALSE())</f>
        <v>5</v>
      </c>
      <c r="E12" s="2" t="n">
        <f aca="false">VLOOKUP(B12,'Team Data'!$A$2:$V$133,22,FALSE())</f>
        <v>19.365085336623</v>
      </c>
      <c r="F12" s="2" t="n">
        <f aca="false">IFERROR(E12/(C12+D12),0)</f>
        <v>1.489621948971</v>
      </c>
    </row>
    <row r="13" customFormat="false" ht="15" hidden="false" customHeight="false" outlineLevel="0" collapsed="false">
      <c r="A13" s="0" t="n">
        <f aca="false">RANK(E13,E$2:E$132)</f>
        <v>85</v>
      </c>
      <c r="B13" s="0" t="s">
        <v>17</v>
      </c>
      <c r="C13" s="0" t="n">
        <f aca="false">VLOOKUP(B13,'Team Data'!$A$2:$V$133,2,FALSE())</f>
        <v>5</v>
      </c>
      <c r="D13" s="0" t="n">
        <f aca="false">VLOOKUP(B13,'Team Data'!$A$2:$V$133,3,FALSE())</f>
        <v>7</v>
      </c>
      <c r="E13" s="2" t="n">
        <f aca="false">VLOOKUP(B13,'Team Data'!$A$2:$V$133,22,FALSE())</f>
        <v>3.04103811585429</v>
      </c>
      <c r="F13" s="2" t="n">
        <f aca="false">IFERROR(E13/(C13+D13),0)</f>
        <v>0.253419842987857</v>
      </c>
    </row>
    <row r="14" customFormat="false" ht="15" hidden="false" customHeight="false" outlineLevel="0" collapsed="false">
      <c r="A14" s="0" t="n">
        <f aca="false">RANK(E14,E$2:E$132)</f>
        <v>55</v>
      </c>
      <c r="B14" s="0" t="s">
        <v>18</v>
      </c>
      <c r="C14" s="0" t="n">
        <f aca="false">VLOOKUP(B14,'Team Data'!$A$2:$V$133,2,FALSE())</f>
        <v>6</v>
      </c>
      <c r="D14" s="0" t="n">
        <f aca="false">VLOOKUP(B14,'Team Data'!$A$2:$V$133,3,FALSE())</f>
        <v>7</v>
      </c>
      <c r="E14" s="2" t="n">
        <f aca="false">VLOOKUP(B14,'Team Data'!$A$2:$V$133,22,FALSE())</f>
        <v>27.9929176782843</v>
      </c>
      <c r="F14" s="2" t="n">
        <f aca="false">IFERROR(E14/(C14+D14),0)</f>
        <v>2.15330135986802</v>
      </c>
    </row>
    <row r="15" customFormat="false" ht="15" hidden="false" customHeight="false" outlineLevel="0" collapsed="false">
      <c r="A15" s="0" t="n">
        <f aca="false">RANK(E15,E$2:E$132)</f>
        <v>27</v>
      </c>
      <c r="B15" s="0" t="s">
        <v>19</v>
      </c>
      <c r="C15" s="0" t="n">
        <f aca="false">VLOOKUP(B15,'Team Data'!$A$2:$V$133,2,FALSE())</f>
        <v>10</v>
      </c>
      <c r="D15" s="0" t="n">
        <f aca="false">VLOOKUP(B15,'Team Data'!$A$2:$V$133,3,FALSE())</f>
        <v>4</v>
      </c>
      <c r="E15" s="2" t="n">
        <f aca="false">VLOOKUP(B15,'Team Data'!$A$2:$V$133,22,FALSE())</f>
        <v>51.5596287764065</v>
      </c>
      <c r="F15" s="2" t="n">
        <f aca="false">IFERROR(E15/(C15+D15),0)</f>
        <v>3.68283062688618</v>
      </c>
    </row>
    <row r="16" customFormat="false" ht="15" hidden="false" customHeight="false" outlineLevel="0" collapsed="false">
      <c r="A16" s="0" t="n">
        <f aca="false">RANK(E16,E$2:E$132)</f>
        <v>121</v>
      </c>
      <c r="B16" s="0" t="s">
        <v>20</v>
      </c>
      <c r="C16" s="0" t="n">
        <f aca="false">VLOOKUP(B16,'Team Data'!$A$2:$V$133,2,FALSE())</f>
        <v>3</v>
      </c>
      <c r="D16" s="0" t="n">
        <f aca="false">VLOOKUP(B16,'Team Data'!$A$2:$V$133,3,FALSE())</f>
        <v>9</v>
      </c>
      <c r="E16" s="2" t="n">
        <f aca="false">VLOOKUP(B16,'Team Data'!$A$2:$V$133,22,FALSE())</f>
        <v>-31.2730484860626</v>
      </c>
      <c r="F16" s="2" t="n">
        <f aca="false">IFERROR(E16/(C16+D16),0)</f>
        <v>-2.60608737383855</v>
      </c>
    </row>
    <row r="17" customFormat="false" ht="15" hidden="false" customHeight="false" outlineLevel="0" collapsed="false">
      <c r="A17" s="0" t="n">
        <f aca="false">RANK(E17,E$2:E$132)</f>
        <v>116</v>
      </c>
      <c r="B17" s="0" t="s">
        <v>21</v>
      </c>
      <c r="C17" s="0" t="n">
        <f aca="false">VLOOKUP(B17,'Team Data'!$A$2:$V$133,2,FALSE())</f>
        <v>6</v>
      </c>
      <c r="D17" s="0" t="n">
        <f aca="false">VLOOKUP(B17,'Team Data'!$A$2:$V$133,3,FALSE())</f>
        <v>7</v>
      </c>
      <c r="E17" s="2" t="n">
        <f aca="false">VLOOKUP(B17,'Team Data'!$A$2:$V$133,22,FALSE())</f>
        <v>-26.0474663805645</v>
      </c>
      <c r="F17" s="2" t="n">
        <f aca="false">IFERROR(E17/(C17+D17),0)</f>
        <v>-2.00365126004343</v>
      </c>
    </row>
    <row r="18" customFormat="false" ht="15" hidden="false" customHeight="false" outlineLevel="0" collapsed="false">
      <c r="A18" s="0" t="n">
        <f aca="false">RANK(E18,E$2:E$132)</f>
        <v>67</v>
      </c>
      <c r="B18" s="0" t="s">
        <v>22</v>
      </c>
      <c r="C18" s="0" t="n">
        <f aca="false">VLOOKUP(B18,'Team Data'!$A$2:$V$133,2,FALSE())</f>
        <v>7</v>
      </c>
      <c r="D18" s="0" t="n">
        <f aca="false">VLOOKUP(B18,'Team Data'!$A$2:$V$133,3,FALSE())</f>
        <v>6</v>
      </c>
      <c r="E18" s="2" t="n">
        <f aca="false">VLOOKUP(B18,'Team Data'!$A$2:$V$133,22,FALSE())</f>
        <v>19.3413574801445</v>
      </c>
      <c r="F18" s="2" t="n">
        <f aca="false">IFERROR(E18/(C18+D18),0)</f>
        <v>1.48779672924189</v>
      </c>
    </row>
    <row r="19" customFormat="false" ht="15" hidden="false" customHeight="false" outlineLevel="0" collapsed="false">
      <c r="A19" s="0" t="n">
        <f aca="false">RANK(E19,E$2:E$132)</f>
        <v>91</v>
      </c>
      <c r="B19" s="0" t="s">
        <v>23</v>
      </c>
      <c r="C19" s="0" t="n">
        <f aca="false">VLOOKUP(B19,'Team Data'!$A$2:$V$133,2,FALSE())</f>
        <v>4</v>
      </c>
      <c r="D19" s="0" t="n">
        <f aca="false">VLOOKUP(B19,'Team Data'!$A$2:$V$133,3,FALSE())</f>
        <v>8</v>
      </c>
      <c r="E19" s="2" t="n">
        <f aca="false">VLOOKUP(B19,'Team Data'!$A$2:$V$133,22,FALSE())</f>
        <v>-0.498601719473957</v>
      </c>
      <c r="F19" s="2" t="n">
        <f aca="false">IFERROR(E19/(C19+D19),0)</f>
        <v>-0.0415501432894964</v>
      </c>
    </row>
    <row r="20" customFormat="false" ht="15" hidden="false" customHeight="false" outlineLevel="0" collapsed="false">
      <c r="A20" s="0" t="n">
        <f aca="false">RANK(E20,E$2:E$132)</f>
        <v>102</v>
      </c>
      <c r="B20" s="0" t="s">
        <v>24</v>
      </c>
      <c r="C20" s="0" t="n">
        <f aca="false">VLOOKUP(B20,'Team Data'!$A$2:$V$133,2,FALSE())</f>
        <v>4</v>
      </c>
      <c r="D20" s="0" t="n">
        <f aca="false">VLOOKUP(B20,'Team Data'!$A$2:$V$133,3,FALSE())</f>
        <v>8</v>
      </c>
      <c r="E20" s="2" t="n">
        <f aca="false">VLOOKUP(B20,'Team Data'!$A$2:$V$133,22,FALSE())</f>
        <v>-10.9788449700227</v>
      </c>
      <c r="F20" s="2" t="n">
        <f aca="false">IFERROR(E20/(C20+D20),0)</f>
        <v>-0.91490374750189</v>
      </c>
    </row>
    <row r="21" customFormat="false" ht="15" hidden="false" customHeight="false" outlineLevel="0" collapsed="false">
      <c r="A21" s="0" t="n">
        <f aca="false">RANK(E21,E$2:E$132)</f>
        <v>128</v>
      </c>
      <c r="B21" s="0" t="s">
        <v>25</v>
      </c>
      <c r="C21" s="0" t="n">
        <f aca="false">VLOOKUP(B21,'Team Data'!$A$2:$V$133,2,FALSE())</f>
        <v>3</v>
      </c>
      <c r="D21" s="0" t="n">
        <f aca="false">VLOOKUP(B21,'Team Data'!$A$2:$V$133,3,FALSE())</f>
        <v>9</v>
      </c>
      <c r="E21" s="2" t="n">
        <f aca="false">VLOOKUP(B21,'Team Data'!$A$2:$V$133,22,FALSE())</f>
        <v>-57.7859896739426</v>
      </c>
      <c r="F21" s="2" t="n">
        <f aca="false">IFERROR(E21/(C21+D21),0)</f>
        <v>-4.81549913949522</v>
      </c>
    </row>
    <row r="22" customFormat="false" ht="15" hidden="false" customHeight="false" outlineLevel="0" collapsed="false">
      <c r="A22" s="0" t="n">
        <f aca="false">RANK(E22,E$2:E$132)</f>
        <v>40</v>
      </c>
      <c r="B22" s="0" t="s">
        <v>26</v>
      </c>
      <c r="C22" s="0" t="n">
        <f aca="false">VLOOKUP(B22,'Team Data'!$A$2:$V$133,2,FALSE())</f>
        <v>9</v>
      </c>
      <c r="D22" s="0" t="n">
        <f aca="false">VLOOKUP(B22,'Team Data'!$A$2:$V$133,3,FALSE())</f>
        <v>4</v>
      </c>
      <c r="E22" s="2" t="n">
        <f aca="false">VLOOKUP(B22,'Team Data'!$A$2:$V$133,22,FALSE())</f>
        <v>40.0205361396592</v>
      </c>
      <c r="F22" s="2" t="n">
        <f aca="false">IFERROR(E22/(C22+D22),0)</f>
        <v>3.07850277997379</v>
      </c>
    </row>
    <row r="23" customFormat="false" ht="15" hidden="false" customHeight="false" outlineLevel="0" collapsed="false">
      <c r="A23" s="0" t="n">
        <f aca="false">RANK(E23,E$2:E$132)</f>
        <v>10</v>
      </c>
      <c r="B23" s="0" t="s">
        <v>27</v>
      </c>
      <c r="C23" s="0" t="n">
        <f aca="false">VLOOKUP(B23,'Team Data'!$A$2:$V$133,2,FALSE())</f>
        <v>11</v>
      </c>
      <c r="D23" s="0" t="n">
        <f aca="false">VLOOKUP(B23,'Team Data'!$A$2:$V$133,3,FALSE())</f>
        <v>3</v>
      </c>
      <c r="E23" s="2" t="n">
        <f aca="false">VLOOKUP(B23,'Team Data'!$A$2:$V$133,22,FALSE())</f>
        <v>67.9309444833137</v>
      </c>
      <c r="F23" s="2" t="n">
        <f aca="false">IFERROR(E23/(C23+D23),0)</f>
        <v>4.85221032023669</v>
      </c>
    </row>
    <row r="24" customFormat="false" ht="15" hidden="false" customHeight="false" outlineLevel="0" collapsed="false">
      <c r="A24" s="0" t="n">
        <f aca="false">RANK(E24,E$2:E$132)</f>
        <v>73</v>
      </c>
      <c r="B24" s="0" t="s">
        <v>28</v>
      </c>
      <c r="C24" s="0" t="n">
        <f aca="false">VLOOKUP(B24,'Team Data'!$A$2:$V$133,2,FALSE())</f>
        <v>9</v>
      </c>
      <c r="D24" s="0" t="n">
        <f aca="false">VLOOKUP(B24,'Team Data'!$A$2:$V$133,3,FALSE())</f>
        <v>4</v>
      </c>
      <c r="E24" s="2" t="n">
        <f aca="false">VLOOKUP(B24,'Team Data'!$A$2:$V$133,22,FALSE())</f>
        <v>12.2777146812585</v>
      </c>
      <c r="F24" s="2" t="n">
        <f aca="false">IFERROR(E24/(C24+D24),0)</f>
        <v>0.944439590866037</v>
      </c>
    </row>
    <row r="25" customFormat="false" ht="15" hidden="false" customHeight="false" outlineLevel="0" collapsed="false">
      <c r="A25" s="0" t="n">
        <f aca="false">RANK(E25,E$2:E$132)</f>
        <v>130</v>
      </c>
      <c r="B25" s="0" t="s">
        <v>29</v>
      </c>
      <c r="C25" s="0" t="n">
        <f aca="false">VLOOKUP(B25,'Team Data'!$A$2:$V$133,2,FALSE())</f>
        <v>1</v>
      </c>
      <c r="D25" s="0" t="n">
        <f aca="false">VLOOKUP(B25,'Team Data'!$A$2:$V$133,3,FALSE())</f>
        <v>11</v>
      </c>
      <c r="E25" s="2" t="n">
        <f aca="false">VLOOKUP(B25,'Team Data'!$A$2:$V$133,22,FALSE())</f>
        <v>-68.457875011553</v>
      </c>
      <c r="F25" s="2" t="n">
        <f aca="false">IFERROR(E25/(C25+D25),0)</f>
        <v>-5.70482291762942</v>
      </c>
    </row>
    <row r="26" customFormat="false" ht="15" hidden="false" customHeight="false" outlineLevel="0" collapsed="false">
      <c r="A26" s="0" t="n">
        <f aca="false">RANK(E26,E$2:E$132)</f>
        <v>122</v>
      </c>
      <c r="B26" s="0" t="s">
        <v>30</v>
      </c>
      <c r="C26" s="0" t="n">
        <f aca="false">VLOOKUP(B26,'Team Data'!$A$2:$V$133,2,FALSE())</f>
        <v>3</v>
      </c>
      <c r="D26" s="0" t="n">
        <f aca="false">VLOOKUP(B26,'Team Data'!$A$2:$V$133,3,FALSE())</f>
        <v>9</v>
      </c>
      <c r="E26" s="2" t="n">
        <f aca="false">VLOOKUP(B26,'Team Data'!$A$2:$V$133,22,FALSE())</f>
        <v>-32.8832701737525</v>
      </c>
      <c r="F26" s="2" t="n">
        <f aca="false">IFERROR(E26/(C26+D26),0)</f>
        <v>-2.74027251447937</v>
      </c>
    </row>
    <row r="27" customFormat="false" ht="15" hidden="false" customHeight="false" outlineLevel="0" collapsed="false">
      <c r="A27" s="0" t="n">
        <f aca="false">RANK(E27,E$2:E$132)</f>
        <v>33</v>
      </c>
      <c r="B27" s="0" t="s">
        <v>31</v>
      </c>
      <c r="C27" s="0" t="n">
        <f aca="false">VLOOKUP(B27,'Team Data'!$A$2:$V$133,2,FALSE())</f>
        <v>9</v>
      </c>
      <c r="D27" s="0" t="n">
        <f aca="false">VLOOKUP(B27,'Team Data'!$A$2:$V$133,3,FALSE())</f>
        <v>4</v>
      </c>
      <c r="E27" s="2" t="n">
        <f aca="false">VLOOKUP(B27,'Team Data'!$A$2:$V$133,22,FALSE())</f>
        <v>46.6787884103085</v>
      </c>
      <c r="F27" s="2" t="n">
        <f aca="false">IFERROR(E27/(C27+D27),0)</f>
        <v>3.59067603156219</v>
      </c>
    </row>
    <row r="28" customFormat="false" ht="15" hidden="false" customHeight="false" outlineLevel="0" collapsed="false">
      <c r="A28" s="0" t="n">
        <f aca="false">RANK(E28,E$2:E$132)</f>
        <v>38</v>
      </c>
      <c r="B28" s="0" t="s">
        <v>32</v>
      </c>
      <c r="C28" s="0" t="n">
        <f aca="false">VLOOKUP(B28,'Team Data'!$A$2:$V$133,2,FALSE())</f>
        <v>8</v>
      </c>
      <c r="D28" s="0" t="n">
        <f aca="false">VLOOKUP(B28,'Team Data'!$A$2:$V$133,3,FALSE())</f>
        <v>5</v>
      </c>
      <c r="E28" s="2" t="n">
        <f aca="false">VLOOKUP(B28,'Team Data'!$A$2:$V$133,22,FALSE())</f>
        <v>41.0676846934913</v>
      </c>
      <c r="F28" s="2" t="n">
        <f aca="false">IFERROR(E28/(C28+D28),0)</f>
        <v>3.1590526687301</v>
      </c>
    </row>
    <row r="29" customFormat="false" ht="15" hidden="false" customHeight="false" outlineLevel="0" collapsed="false">
      <c r="A29" s="0" t="n">
        <f aca="false">RANK(E29,E$2:E$132)</f>
        <v>84</v>
      </c>
      <c r="B29" s="0" t="s">
        <v>33</v>
      </c>
      <c r="C29" s="0" t="n">
        <f aca="false">VLOOKUP(B29,'Team Data'!$A$2:$V$133,2,FALSE())</f>
        <v>9</v>
      </c>
      <c r="D29" s="0" t="n">
        <f aca="false">VLOOKUP(B29,'Team Data'!$A$2:$V$133,3,FALSE())</f>
        <v>4</v>
      </c>
      <c r="E29" s="2" t="n">
        <f aca="false">VLOOKUP(B29,'Team Data'!$A$2:$V$133,22,FALSE())</f>
        <v>3.11001958394393</v>
      </c>
      <c r="F29" s="2" t="n">
        <f aca="false">IFERROR(E29/(C29+D29),0)</f>
        <v>0.239232275687995</v>
      </c>
    </row>
    <row r="30" customFormat="false" ht="15" hidden="false" customHeight="false" outlineLevel="0" collapsed="false">
      <c r="A30" s="0" t="n">
        <f aca="false">RANK(E30,E$2:E$132)</f>
        <v>129</v>
      </c>
      <c r="B30" s="0" t="s">
        <v>34</v>
      </c>
      <c r="C30" s="0" t="n">
        <f aca="false">VLOOKUP(B30,'Team Data'!$A$2:$V$133,2,FALSE())</f>
        <v>4</v>
      </c>
      <c r="D30" s="0" t="n">
        <f aca="false">VLOOKUP(B30,'Team Data'!$A$2:$V$133,3,FALSE())</f>
        <v>8</v>
      </c>
      <c r="E30" s="2" t="n">
        <f aca="false">VLOOKUP(B30,'Team Data'!$A$2:$V$133,22,FALSE())</f>
        <v>-67.126369096356</v>
      </c>
      <c r="F30" s="2" t="n">
        <f aca="false">IFERROR(E30/(C30+D30),0)</f>
        <v>-5.593864091363</v>
      </c>
    </row>
    <row r="31" customFormat="false" ht="15" hidden="false" customHeight="false" outlineLevel="0" collapsed="false">
      <c r="A31" s="0" t="n">
        <f aca="false">RANK(E31,E$2:E$132)</f>
        <v>58</v>
      </c>
      <c r="B31" s="0" t="s">
        <v>35</v>
      </c>
      <c r="C31" s="0" t="n">
        <f aca="false">VLOOKUP(B31,'Team Data'!$A$2:$V$133,2,FALSE())</f>
        <v>6</v>
      </c>
      <c r="D31" s="0" t="n">
        <f aca="false">VLOOKUP(B31,'Team Data'!$A$2:$V$133,3,FALSE())</f>
        <v>7</v>
      </c>
      <c r="E31" s="2" t="n">
        <f aca="false">VLOOKUP(B31,'Team Data'!$A$2:$V$133,22,FALSE())</f>
        <v>26.059752658376</v>
      </c>
      <c r="F31" s="2" t="n">
        <f aca="false">IFERROR(E31/(C31+D31),0)</f>
        <v>2.00459635833661</v>
      </c>
    </row>
    <row r="32" customFormat="false" ht="15" hidden="false" customHeight="false" outlineLevel="0" collapsed="false">
      <c r="A32" s="0" t="n">
        <f aca="false">RANK(E32,E$2:E$132)</f>
        <v>79</v>
      </c>
      <c r="B32" s="0" t="s">
        <v>36</v>
      </c>
      <c r="C32" s="0" t="n">
        <f aca="false">VLOOKUP(B32,'Team Data'!$A$2:$V$133,2,FALSE())</f>
        <v>5</v>
      </c>
      <c r="D32" s="0" t="n">
        <f aca="false">VLOOKUP(B32,'Team Data'!$A$2:$V$133,3,FALSE())</f>
        <v>7</v>
      </c>
      <c r="E32" s="2" t="n">
        <f aca="false">VLOOKUP(B32,'Team Data'!$A$2:$V$133,22,FALSE())</f>
        <v>7.56625635520636</v>
      </c>
      <c r="F32" s="2" t="n">
        <f aca="false">IFERROR(E32/(C32+D32),0)</f>
        <v>0.630521362933863</v>
      </c>
    </row>
    <row r="33" customFormat="false" ht="15" hidden="false" customHeight="false" outlineLevel="0" collapsed="false">
      <c r="A33" s="0" t="n">
        <f aca="false">RANK(E33,E$2:E$132)</f>
        <v>8</v>
      </c>
      <c r="B33" s="0" t="s">
        <v>37</v>
      </c>
      <c r="C33" s="0" t="n">
        <f aca="false">VLOOKUP(B33,'Team Data'!$A$2:$V$133,2,FALSE())</f>
        <v>10</v>
      </c>
      <c r="D33" s="0" t="n">
        <f aca="false">VLOOKUP(B33,'Team Data'!$A$2:$V$133,3,FALSE())</f>
        <v>3</v>
      </c>
      <c r="E33" s="2" t="n">
        <f aca="false">VLOOKUP(B33,'Team Data'!$A$2:$V$133,22,FALSE())</f>
        <v>74.4051331765656</v>
      </c>
      <c r="F33" s="2" t="n">
        <f aca="false">IFERROR(E33/(C33+D33),0)</f>
        <v>5.72347178281274</v>
      </c>
    </row>
    <row r="34" customFormat="false" ht="15" hidden="false" customHeight="false" outlineLevel="0" collapsed="false">
      <c r="A34" s="0" t="n">
        <f aca="false">RANK(E34,E$2:E$132)</f>
        <v>28</v>
      </c>
      <c r="B34" s="0" t="s">
        <v>38</v>
      </c>
      <c r="C34" s="0" t="n">
        <f aca="false">VLOOKUP(B34,'Team Data'!$A$2:$V$133,2,FALSE())</f>
        <v>10</v>
      </c>
      <c r="D34" s="0" t="n">
        <f aca="false">VLOOKUP(B34,'Team Data'!$A$2:$V$133,3,FALSE())</f>
        <v>4</v>
      </c>
      <c r="E34" s="2" t="n">
        <f aca="false">VLOOKUP(B34,'Team Data'!$A$2:$V$133,22,FALSE())</f>
        <v>50.7679312872456</v>
      </c>
      <c r="F34" s="2" t="n">
        <f aca="false">IFERROR(E34/(C34+D34),0)</f>
        <v>3.62628080623183</v>
      </c>
    </row>
    <row r="35" customFormat="false" ht="15" hidden="false" customHeight="false" outlineLevel="0" collapsed="false">
      <c r="A35" s="0" t="n">
        <f aca="false">RANK(E35,E$2:E$132)</f>
        <v>1</v>
      </c>
      <c r="B35" s="0" t="s">
        <v>39</v>
      </c>
      <c r="C35" s="0" t="n">
        <f aca="false">VLOOKUP(B35,'Team Data'!$A$2:$V$133,2,FALSE())</f>
        <v>15</v>
      </c>
      <c r="D35" s="0" t="n">
        <f aca="false">VLOOKUP(B35,'Team Data'!$A$2:$V$133,3,FALSE())</f>
        <v>0</v>
      </c>
      <c r="E35" s="2" t="n">
        <f aca="false">VLOOKUP(B35,'Team Data'!$A$2:$V$133,22,FALSE())</f>
        <v>132.240543095084</v>
      </c>
      <c r="F35" s="2" t="n">
        <f aca="false">IFERROR(E35/(C35+D35),0)</f>
        <v>8.81603620633896</v>
      </c>
    </row>
    <row r="36" customFormat="false" ht="15" hidden="false" customHeight="false" outlineLevel="0" collapsed="false">
      <c r="A36" s="0" t="n">
        <f aca="false">RANK(E36,E$2:E$132)</f>
        <v>92</v>
      </c>
      <c r="B36" s="0" t="s">
        <v>40</v>
      </c>
      <c r="C36" s="0" t="n">
        <f aca="false">VLOOKUP(B36,'Team Data'!$A$2:$V$133,2,FALSE())</f>
        <v>6</v>
      </c>
      <c r="D36" s="0" t="n">
        <f aca="false">VLOOKUP(B36,'Team Data'!$A$2:$V$133,3,FALSE())</f>
        <v>7</v>
      </c>
      <c r="E36" s="2" t="n">
        <f aca="false">VLOOKUP(B36,'Team Data'!$A$2:$V$133,22,FALSE())</f>
        <v>-0.758130201804596</v>
      </c>
      <c r="F36" s="2" t="n">
        <f aca="false">IFERROR(E36/(C36+D36),0)</f>
        <v>-0.0583177078311228</v>
      </c>
    </row>
    <row r="37" customFormat="false" ht="15" hidden="false" customHeight="false" outlineLevel="0" collapsed="false">
      <c r="A37" s="0" t="n">
        <f aca="false">RANK(E37,E$2:E$132)</f>
        <v>71</v>
      </c>
      <c r="B37" s="0" t="s">
        <v>41</v>
      </c>
      <c r="C37" s="0" t="n">
        <f aca="false">VLOOKUP(B37,'Team Data'!$A$2:$V$133,2,FALSE())</f>
        <v>4</v>
      </c>
      <c r="D37" s="0" t="n">
        <f aca="false">VLOOKUP(B37,'Team Data'!$A$2:$V$133,3,FALSE())</f>
        <v>8</v>
      </c>
      <c r="E37" s="2" t="n">
        <f aca="false">VLOOKUP(B37,'Team Data'!$A$2:$V$133,22,FALSE())</f>
        <v>14.1011811033612</v>
      </c>
      <c r="F37" s="2" t="n">
        <f aca="false">IFERROR(E37/(C37+D37),0)</f>
        <v>1.1750984252801</v>
      </c>
    </row>
    <row r="38" customFormat="false" ht="15" hidden="false" customHeight="false" outlineLevel="0" collapsed="false">
      <c r="A38" s="0" t="n">
        <f aca="false">RANK(E38,E$2:E$132)</f>
        <v>104</v>
      </c>
      <c r="B38" s="0" t="s">
        <v>42</v>
      </c>
      <c r="C38" s="0" t="n">
        <f aca="false">VLOOKUP(B38,'Team Data'!$A$2:$V$133,2,FALSE())</f>
        <v>5</v>
      </c>
      <c r="D38" s="0" t="n">
        <f aca="false">VLOOKUP(B38,'Team Data'!$A$2:$V$133,3,FALSE())</f>
        <v>7</v>
      </c>
      <c r="E38" s="2" t="n">
        <f aca="false">VLOOKUP(B38,'Team Data'!$A$2:$V$133,22,FALSE())</f>
        <v>-11.7615649583778</v>
      </c>
      <c r="F38" s="2" t="n">
        <f aca="false">IFERROR(E38/(C38+D38),0)</f>
        <v>-0.980130413198147</v>
      </c>
    </row>
    <row r="39" customFormat="false" ht="15" hidden="false" customHeight="false" outlineLevel="0" collapsed="false">
      <c r="A39" s="0" t="n">
        <f aca="false">RANK(E39,E$2:E$132)</f>
        <v>125</v>
      </c>
      <c r="B39" s="0" t="s">
        <v>43</v>
      </c>
      <c r="C39" s="0" t="n">
        <f aca="false">VLOOKUP(B39,'Team Data'!$A$2:$V$133,2,FALSE())</f>
        <v>3</v>
      </c>
      <c r="D39" s="0" t="n">
        <f aca="false">VLOOKUP(B39,'Team Data'!$A$2:$V$133,3,FALSE())</f>
        <v>10</v>
      </c>
      <c r="E39" s="2" t="n">
        <f aca="false">VLOOKUP(B39,'Team Data'!$A$2:$V$133,22,FALSE())</f>
        <v>-44.4608968293662</v>
      </c>
      <c r="F39" s="2" t="n">
        <f aca="false">IFERROR(E39/(C39+D39),0)</f>
        <v>-3.42006898687432</v>
      </c>
    </row>
    <row r="40" customFormat="false" ht="15" hidden="false" customHeight="false" outlineLevel="0" collapsed="false">
      <c r="A40" s="0" t="n">
        <f aca="false">RANK(E40,E$2:E$132)</f>
        <v>57</v>
      </c>
      <c r="B40" s="0" t="s">
        <v>44</v>
      </c>
      <c r="C40" s="0" t="n">
        <f aca="false">VLOOKUP(B40,'Team Data'!$A$2:$V$133,2,FALSE())</f>
        <v>8</v>
      </c>
      <c r="D40" s="0" t="n">
        <f aca="false">VLOOKUP(B40,'Team Data'!$A$2:$V$133,3,FALSE())</f>
        <v>5</v>
      </c>
      <c r="E40" s="2" t="n">
        <f aca="false">VLOOKUP(B40,'Team Data'!$A$2:$V$133,22,FALSE())</f>
        <v>26.766374981033</v>
      </c>
      <c r="F40" s="2" t="n">
        <f aca="false">IFERROR(E40/(C40+D40),0)</f>
        <v>2.05895192161792</v>
      </c>
    </row>
    <row r="41" customFormat="false" ht="15" hidden="false" customHeight="false" outlineLevel="0" collapsed="false">
      <c r="A41" s="0" t="n">
        <f aca="false">RANK(E41,E$2:E$132)</f>
        <v>21</v>
      </c>
      <c r="B41" s="0" t="s">
        <v>45</v>
      </c>
      <c r="C41" s="0" t="n">
        <f aca="false">VLOOKUP(B41,'Team Data'!$A$2:$V$133,2,FALSE())</f>
        <v>8</v>
      </c>
      <c r="D41" s="0" t="n">
        <f aca="false">VLOOKUP(B41,'Team Data'!$A$2:$V$133,3,FALSE())</f>
        <v>5</v>
      </c>
      <c r="E41" s="2" t="n">
        <f aca="false">VLOOKUP(B41,'Team Data'!$A$2:$V$133,22,FALSE())</f>
        <v>58.8727868834215</v>
      </c>
      <c r="F41" s="2" t="n">
        <f aca="false">IFERROR(E41/(C41+D41),0)</f>
        <v>4.52867591410935</v>
      </c>
    </row>
    <row r="42" customFormat="false" ht="15" hidden="false" customHeight="false" outlineLevel="0" collapsed="false">
      <c r="A42" s="0" t="n">
        <f aca="false">RANK(E42,E$2:E$132)</f>
        <v>108</v>
      </c>
      <c r="B42" s="0" t="s">
        <v>46</v>
      </c>
      <c r="C42" s="0" t="n">
        <f aca="false">VLOOKUP(B42,'Team Data'!$A$2:$V$133,2,FALSE())</f>
        <v>4</v>
      </c>
      <c r="D42" s="0" t="n">
        <f aca="false">VLOOKUP(B42,'Team Data'!$A$2:$V$133,3,FALSE())</f>
        <v>8</v>
      </c>
      <c r="E42" s="2" t="n">
        <f aca="false">VLOOKUP(B42,'Team Data'!$A$2:$V$133,22,FALSE())</f>
        <v>-16.76218929935</v>
      </c>
      <c r="F42" s="2" t="n">
        <f aca="false">IFERROR(E42/(C42+D42),0)</f>
        <v>-1.39684910827917</v>
      </c>
    </row>
    <row r="43" customFormat="false" ht="15" hidden="false" customHeight="false" outlineLevel="0" collapsed="false">
      <c r="A43" s="0" t="n">
        <f aca="false">RANK(E43,E$2:E$132)</f>
        <v>42</v>
      </c>
      <c r="B43" s="0" t="s">
        <v>47</v>
      </c>
      <c r="C43" s="0" t="n">
        <f aca="false">VLOOKUP(B43,'Team Data'!$A$2:$V$133,2,FALSE())</f>
        <v>8</v>
      </c>
      <c r="D43" s="0" t="n">
        <f aca="false">VLOOKUP(B43,'Team Data'!$A$2:$V$133,3,FALSE())</f>
        <v>5</v>
      </c>
      <c r="E43" s="2" t="n">
        <f aca="false">VLOOKUP(B43,'Team Data'!$A$2:$V$133,22,FALSE())</f>
        <v>37.8679462661797</v>
      </c>
      <c r="F43" s="2" t="n">
        <f aca="false">IFERROR(E43/(C43+D43),0)</f>
        <v>2.91291894355228</v>
      </c>
    </row>
    <row r="44" customFormat="false" ht="15" hidden="false" customHeight="false" outlineLevel="0" collapsed="false">
      <c r="A44" s="0" t="n">
        <f aca="false">RANK(E44,E$2:E$132)</f>
        <v>59</v>
      </c>
      <c r="B44" s="0" t="s">
        <v>48</v>
      </c>
      <c r="C44" s="0" t="n">
        <f aca="false">VLOOKUP(B44,'Team Data'!$A$2:$V$133,2,FALSE())</f>
        <v>4</v>
      </c>
      <c r="D44" s="0" t="n">
        <f aca="false">VLOOKUP(B44,'Team Data'!$A$2:$V$133,3,FALSE())</f>
        <v>8</v>
      </c>
      <c r="E44" s="2" t="n">
        <f aca="false">VLOOKUP(B44,'Team Data'!$A$2:$V$133,22,FALSE())</f>
        <v>25.637158901541</v>
      </c>
      <c r="F44" s="2" t="n">
        <f aca="false">IFERROR(E44/(C44+D44),0)</f>
        <v>2.13642990846175</v>
      </c>
    </row>
    <row r="45" customFormat="false" ht="15" hidden="false" customHeight="false" outlineLevel="0" collapsed="false">
      <c r="A45" s="0" t="n">
        <f aca="false">RANK(E45,E$2:E$132)</f>
        <v>15</v>
      </c>
      <c r="B45" s="0" t="s">
        <v>49</v>
      </c>
      <c r="C45" s="0" t="n">
        <f aca="false">VLOOKUP(B45,'Team Data'!$A$2:$V$133,2,FALSE())</f>
        <v>8</v>
      </c>
      <c r="D45" s="0" t="n">
        <f aca="false">VLOOKUP(B45,'Team Data'!$A$2:$V$133,3,FALSE())</f>
        <v>3</v>
      </c>
      <c r="E45" s="2" t="n">
        <f aca="false">VLOOKUP(B45,'Team Data'!$A$2:$V$133,22,FALSE())</f>
        <v>63.3431863975597</v>
      </c>
      <c r="F45" s="2" t="n">
        <f aca="false">IFERROR(E45/(C45+D45),0)</f>
        <v>5.75847149068725</v>
      </c>
    </row>
    <row r="46" customFormat="false" ht="15" hidden="false" customHeight="false" outlineLevel="0" collapsed="false">
      <c r="A46" s="0" t="n">
        <f aca="false">RANK(E46,E$2:E$132)</f>
        <v>74</v>
      </c>
      <c r="B46" s="0" t="s">
        <v>50</v>
      </c>
      <c r="C46" s="0" t="n">
        <f aca="false">VLOOKUP(B46,'Team Data'!$A$2:$V$133,2,FALSE())</f>
        <v>6</v>
      </c>
      <c r="D46" s="0" t="n">
        <f aca="false">VLOOKUP(B46,'Team Data'!$A$2:$V$133,3,FALSE())</f>
        <v>7</v>
      </c>
      <c r="E46" s="2" t="n">
        <f aca="false">VLOOKUP(B46,'Team Data'!$A$2:$V$133,22,FALSE())</f>
        <v>12.1807174501224</v>
      </c>
      <c r="F46" s="2" t="n">
        <f aca="false">IFERROR(E46/(C46+D46),0)</f>
        <v>0.936978265394034</v>
      </c>
    </row>
    <row r="47" customFormat="false" ht="15" hidden="false" customHeight="false" outlineLevel="0" collapsed="false">
      <c r="A47" s="0" t="n">
        <f aca="false">RANK(E47,E$2:E$132)</f>
        <v>17</v>
      </c>
      <c r="B47" s="0" t="s">
        <v>51</v>
      </c>
      <c r="C47" s="0" t="n">
        <f aca="false">VLOOKUP(B47,'Team Data'!$A$2:$V$133,2,FALSE())</f>
        <v>10</v>
      </c>
      <c r="D47" s="0" t="n">
        <f aca="false">VLOOKUP(B47,'Team Data'!$A$2:$V$133,3,FALSE())</f>
        <v>4</v>
      </c>
      <c r="E47" s="2" t="n">
        <f aca="false">VLOOKUP(B47,'Team Data'!$A$2:$V$133,22,FALSE())</f>
        <v>62.4984098506809</v>
      </c>
      <c r="F47" s="2" t="n">
        <f aca="false">IFERROR(E47/(C47+D47),0)</f>
        <v>4.46417213219149</v>
      </c>
    </row>
    <row r="48" customFormat="false" ht="15" hidden="false" customHeight="false" outlineLevel="0" collapsed="false">
      <c r="A48" s="0" t="n">
        <f aca="false">RANK(E48,E$2:E$132)</f>
        <v>83</v>
      </c>
      <c r="B48" s="0" t="s">
        <v>52</v>
      </c>
      <c r="C48" s="0" t="n">
        <f aca="false">VLOOKUP(B48,'Team Data'!$A$2:$V$133,2,FALSE())</f>
        <v>5</v>
      </c>
      <c r="D48" s="0" t="n">
        <f aca="false">VLOOKUP(B48,'Team Data'!$A$2:$V$133,3,FALSE())</f>
        <v>7</v>
      </c>
      <c r="E48" s="2" t="n">
        <f aca="false">VLOOKUP(B48,'Team Data'!$A$2:$V$133,22,FALSE())</f>
        <v>5.55380386419207</v>
      </c>
      <c r="F48" s="2" t="n">
        <f aca="false">IFERROR(E48/(C48+D48),0)</f>
        <v>0.462816988682672</v>
      </c>
    </row>
    <row r="49" customFormat="false" ht="15" hidden="false" customHeight="false" outlineLevel="0" collapsed="false">
      <c r="A49" s="0" t="n">
        <f aca="false">RANK(E49,E$2:E$132)</f>
        <v>56</v>
      </c>
      <c r="B49" s="0" t="s">
        <v>53</v>
      </c>
      <c r="C49" s="0" t="n">
        <f aca="false">VLOOKUP(B49,'Team Data'!$A$2:$V$133,2,FALSE())</f>
        <v>7</v>
      </c>
      <c r="D49" s="0" t="n">
        <f aca="false">VLOOKUP(B49,'Team Data'!$A$2:$V$133,3,FALSE())</f>
        <v>6</v>
      </c>
      <c r="E49" s="2" t="n">
        <f aca="false">VLOOKUP(B49,'Team Data'!$A$2:$V$133,22,FALSE())</f>
        <v>27.7873703644363</v>
      </c>
      <c r="F49" s="2" t="n">
        <f aca="false">IFERROR(E49/(C49+D49),0)</f>
        <v>2.13749002803356</v>
      </c>
    </row>
    <row r="50" customFormat="false" ht="15" hidden="false" customHeight="false" outlineLevel="0" collapsed="false">
      <c r="A50" s="0" t="n">
        <f aca="false">RANK(E50,E$2:E$132)</f>
        <v>19</v>
      </c>
      <c r="B50" s="0" t="s">
        <v>54</v>
      </c>
      <c r="C50" s="0" t="n">
        <f aca="false">VLOOKUP(B50,'Team Data'!$A$2:$V$133,2,FALSE())</f>
        <v>10</v>
      </c>
      <c r="D50" s="0" t="n">
        <f aca="false">VLOOKUP(B50,'Team Data'!$A$2:$V$133,3,FALSE())</f>
        <v>4</v>
      </c>
      <c r="E50" s="2" t="n">
        <f aca="false">VLOOKUP(B50,'Team Data'!$A$2:$V$133,22,FALSE())</f>
        <v>59.9488749063494</v>
      </c>
      <c r="F50" s="2" t="n">
        <f aca="false">IFERROR(E50/(C50+D50),0)</f>
        <v>4.28206249331067</v>
      </c>
    </row>
    <row r="51" customFormat="false" ht="15" hidden="false" customHeight="false" outlineLevel="0" collapsed="false">
      <c r="A51" s="0" t="n">
        <f aca="false">RANK(E51,E$2:E$132)</f>
        <v>61</v>
      </c>
      <c r="B51" s="0" t="s">
        <v>55</v>
      </c>
      <c r="C51" s="0" t="n">
        <f aca="false">VLOOKUP(B51,'Team Data'!$A$2:$V$133,2,FALSE())</f>
        <v>8</v>
      </c>
      <c r="D51" s="0" t="n">
        <f aca="false">VLOOKUP(B51,'Team Data'!$A$2:$V$133,3,FALSE())</f>
        <v>5</v>
      </c>
      <c r="E51" s="2" t="n">
        <f aca="false">VLOOKUP(B51,'Team Data'!$A$2:$V$133,22,FALSE())</f>
        <v>23.8108843829599</v>
      </c>
      <c r="F51" s="2" t="n">
        <f aca="false">IFERROR(E51/(C51+D51),0)</f>
        <v>1.83160649099691</v>
      </c>
    </row>
    <row r="52" customFormat="false" ht="15" hidden="false" customHeight="false" outlineLevel="0" collapsed="false">
      <c r="A52" s="0" t="n">
        <f aca="false">RANK(E52,E$2:E$132)</f>
        <v>63</v>
      </c>
      <c r="B52" s="0" t="s">
        <v>56</v>
      </c>
      <c r="C52" s="0" t="n">
        <f aca="false">VLOOKUP(B52,'Team Data'!$A$2:$V$133,2,FALSE())</f>
        <v>6</v>
      </c>
      <c r="D52" s="0" t="n">
        <f aca="false">VLOOKUP(B52,'Team Data'!$A$2:$V$133,3,FALSE())</f>
        <v>7</v>
      </c>
      <c r="E52" s="2" t="n">
        <f aca="false">VLOOKUP(B52,'Team Data'!$A$2:$V$133,22,FALSE())</f>
        <v>21.296772820841</v>
      </c>
      <c r="F52" s="2" t="n">
        <f aca="false">IFERROR(E52/(C52+D52),0)</f>
        <v>1.63821329391085</v>
      </c>
    </row>
    <row r="53" customFormat="false" ht="15" hidden="false" customHeight="false" outlineLevel="0" collapsed="false">
      <c r="A53" s="0" t="n">
        <f aca="false">RANK(E53,E$2:E$132)</f>
        <v>120</v>
      </c>
      <c r="B53" s="0" t="s">
        <v>57</v>
      </c>
      <c r="C53" s="0" t="n">
        <f aca="false">VLOOKUP(B53,'Team Data'!$A$2:$V$133,2,FALSE())</f>
        <v>3</v>
      </c>
      <c r="D53" s="0" t="n">
        <f aca="false">VLOOKUP(B53,'Team Data'!$A$2:$V$133,3,FALSE())</f>
        <v>9</v>
      </c>
      <c r="E53" s="2" t="n">
        <f aca="false">VLOOKUP(B53,'Team Data'!$A$2:$V$133,22,FALSE())</f>
        <v>-28.8496785360916</v>
      </c>
      <c r="F53" s="2" t="n">
        <f aca="false">IFERROR(E53/(C53+D53),0)</f>
        <v>-2.40413987800763</v>
      </c>
    </row>
    <row r="54" customFormat="false" ht="15" hidden="false" customHeight="false" outlineLevel="0" collapsed="false">
      <c r="A54" s="0" t="n">
        <f aca="false">RANK(E54,E$2:E$132)</f>
        <v>117</v>
      </c>
      <c r="B54" s="0" t="s">
        <v>58</v>
      </c>
      <c r="C54" s="0" t="n">
        <f aca="false">VLOOKUP(B54,'Team Data'!$A$2:$V$133,2,FALSE())</f>
        <v>4</v>
      </c>
      <c r="D54" s="0" t="n">
        <f aca="false">VLOOKUP(B54,'Team Data'!$A$2:$V$133,3,FALSE())</f>
        <v>8</v>
      </c>
      <c r="E54" s="2" t="n">
        <f aca="false">VLOOKUP(B54,'Team Data'!$A$2:$V$133,22,FALSE())</f>
        <v>-27.8081183340941</v>
      </c>
      <c r="F54" s="2" t="n">
        <f aca="false">IFERROR(E54/(C54+D54),0)</f>
        <v>-2.31734319450784</v>
      </c>
    </row>
    <row r="55" customFormat="false" ht="15" hidden="false" customHeight="false" outlineLevel="0" collapsed="false">
      <c r="A55" s="0" t="n">
        <f aca="false">RANK(E55,E$2:E$132)</f>
        <v>24</v>
      </c>
      <c r="B55" s="0" t="s">
        <v>59</v>
      </c>
      <c r="C55" s="0" t="n">
        <f aca="false">VLOOKUP(B55,'Team Data'!$A$2:$V$133,2,FALSE())</f>
        <v>8</v>
      </c>
      <c r="D55" s="0" t="n">
        <f aca="false">VLOOKUP(B55,'Team Data'!$A$2:$V$133,3,FALSE())</f>
        <v>5</v>
      </c>
      <c r="E55" s="2" t="n">
        <f aca="false">VLOOKUP(B55,'Team Data'!$A$2:$V$133,22,FALSE())</f>
        <v>55.0492843369849</v>
      </c>
      <c r="F55" s="2" t="n">
        <f aca="false">IFERROR(E55/(C55+D55),0)</f>
        <v>4.23456033361422</v>
      </c>
    </row>
    <row r="56" customFormat="false" ht="15" hidden="false" customHeight="false" outlineLevel="0" collapsed="false">
      <c r="A56" s="0" t="n">
        <f aca="false">RANK(E56,E$2:E$132)</f>
        <v>29</v>
      </c>
      <c r="B56" s="0" t="s">
        <v>60</v>
      </c>
      <c r="C56" s="0" t="n">
        <f aca="false">VLOOKUP(B56,'Team Data'!$A$2:$V$133,2,FALSE())</f>
        <v>9</v>
      </c>
      <c r="D56" s="0" t="n">
        <f aca="false">VLOOKUP(B56,'Team Data'!$A$2:$V$133,3,FALSE())</f>
        <v>4</v>
      </c>
      <c r="E56" s="2" t="n">
        <f aca="false">VLOOKUP(B56,'Team Data'!$A$2:$V$133,22,FALSE())</f>
        <v>50.4381580409444</v>
      </c>
      <c r="F56" s="2" t="n">
        <f aca="false">IFERROR(E56/(C56+D56),0)</f>
        <v>3.87985831084188</v>
      </c>
    </row>
    <row r="57" customFormat="false" ht="15" hidden="false" customHeight="false" outlineLevel="0" collapsed="false">
      <c r="A57" s="0" t="n">
        <f aca="false">RANK(E57,E$2:E$132)</f>
        <v>34</v>
      </c>
      <c r="B57" s="0" t="s">
        <v>61</v>
      </c>
      <c r="C57" s="0" t="n">
        <f aca="false">VLOOKUP(B57,'Team Data'!$A$2:$V$133,2,FALSE())</f>
        <v>8</v>
      </c>
      <c r="D57" s="0" t="n">
        <f aca="false">VLOOKUP(B57,'Team Data'!$A$2:$V$133,3,FALSE())</f>
        <v>5</v>
      </c>
      <c r="E57" s="2" t="n">
        <f aca="false">VLOOKUP(B57,'Team Data'!$A$2:$V$133,22,FALSE())</f>
        <v>45.3094784305274</v>
      </c>
      <c r="F57" s="2" t="n">
        <f aca="false">IFERROR(E57/(C57+D57),0)</f>
        <v>3.48534449465595</v>
      </c>
    </row>
    <row r="58" customFormat="false" ht="15" hidden="false" customHeight="false" outlineLevel="0" collapsed="false">
      <c r="A58" s="0" t="n">
        <f aca="false">RANK(E58,E$2:E$132)</f>
        <v>43</v>
      </c>
      <c r="B58" s="0" t="s">
        <v>62</v>
      </c>
      <c r="C58" s="0" t="n">
        <f aca="false">VLOOKUP(B58,'Team Data'!$A$2:$V$133,2,FALSE())</f>
        <v>7</v>
      </c>
      <c r="D58" s="0" t="n">
        <f aca="false">VLOOKUP(B58,'Team Data'!$A$2:$V$133,3,FALSE())</f>
        <v>6</v>
      </c>
      <c r="E58" s="2" t="n">
        <f aca="false">VLOOKUP(B58,'Team Data'!$A$2:$V$133,22,FALSE())</f>
        <v>37.7137152454101</v>
      </c>
      <c r="F58" s="2" t="n">
        <f aca="false">IFERROR(E58/(C58+D58),0)</f>
        <v>2.9010550188777</v>
      </c>
    </row>
    <row r="59" customFormat="false" ht="15" hidden="false" customHeight="false" outlineLevel="0" collapsed="false">
      <c r="A59" s="0" t="n">
        <f aca="false">RANK(E59,E$2:E$132)</f>
        <v>88</v>
      </c>
      <c r="B59" s="0" t="s">
        <v>63</v>
      </c>
      <c r="C59" s="0" t="n">
        <f aca="false">VLOOKUP(B59,'Team Data'!$A$2:$V$133,2,FALSE())</f>
        <v>5</v>
      </c>
      <c r="D59" s="0" t="n">
        <f aca="false">VLOOKUP(B59,'Team Data'!$A$2:$V$133,3,FALSE())</f>
        <v>7</v>
      </c>
      <c r="E59" s="2" t="n">
        <f aca="false">VLOOKUP(B59,'Team Data'!$A$2:$V$133,22,FALSE())</f>
        <v>0.226760713996241</v>
      </c>
      <c r="F59" s="2" t="n">
        <f aca="false">IFERROR(E59/(C59+D59),0)</f>
        <v>0.0188967261663534</v>
      </c>
    </row>
    <row r="60" customFormat="false" ht="15" hidden="false" customHeight="false" outlineLevel="0" collapsed="false">
      <c r="A60" s="0" t="n">
        <f aca="false">RANK(E60,E$2:E$132)</f>
        <v>86</v>
      </c>
      <c r="B60" s="0" t="s">
        <v>64</v>
      </c>
      <c r="C60" s="0" t="n">
        <f aca="false">VLOOKUP(B60,'Team Data'!$A$2:$V$133,2,FALSE())</f>
        <v>6</v>
      </c>
      <c r="D60" s="0" t="n">
        <f aca="false">VLOOKUP(B60,'Team Data'!$A$2:$V$133,3,FALSE())</f>
        <v>7</v>
      </c>
      <c r="E60" s="2" t="n">
        <f aca="false">VLOOKUP(B60,'Team Data'!$A$2:$V$133,22,FALSE())</f>
        <v>0.823790840023107</v>
      </c>
      <c r="F60" s="2" t="n">
        <f aca="false">IFERROR(E60/(C60+D60),0)</f>
        <v>0.0633685261556236</v>
      </c>
    </row>
    <row r="61" customFormat="false" ht="15" hidden="false" customHeight="false" outlineLevel="0" collapsed="false">
      <c r="A61" s="0" t="n">
        <f aca="false">RANK(E61,E$2:E$132)</f>
        <v>2</v>
      </c>
      <c r="B61" s="0" t="s">
        <v>65</v>
      </c>
      <c r="C61" s="0" t="n">
        <f aca="false">VLOOKUP(B61,'Team Data'!$A$2:$V$133,2,FALSE())</f>
        <v>13</v>
      </c>
      <c r="D61" s="0" t="n">
        <f aca="false">VLOOKUP(B61,'Team Data'!$A$2:$V$133,3,FALSE())</f>
        <v>1</v>
      </c>
      <c r="E61" s="2" t="n">
        <f aca="false">VLOOKUP(B61,'Team Data'!$A$2:$V$133,22,FALSE())</f>
        <v>119.950720376973</v>
      </c>
      <c r="F61" s="2" t="n">
        <f aca="false">IFERROR(E61/(C61+D61),0)</f>
        <v>8.56790859835522</v>
      </c>
    </row>
    <row r="62" customFormat="false" ht="15" hidden="false" customHeight="false" outlineLevel="0" collapsed="false">
      <c r="A62" s="0" t="n">
        <f aca="false">RANK(E62,E$2:E$132)</f>
        <v>77</v>
      </c>
      <c r="B62" s="0" t="s">
        <v>66</v>
      </c>
      <c r="C62" s="0" t="n">
        <f aca="false">VLOOKUP(B62,'Team Data'!$A$2:$V$133,2,FALSE())</f>
        <v>5</v>
      </c>
      <c r="D62" s="0" t="n">
        <f aca="false">VLOOKUP(B62,'Team Data'!$A$2:$V$133,3,FALSE())</f>
        <v>7</v>
      </c>
      <c r="E62" s="2" t="n">
        <f aca="false">VLOOKUP(B62,'Team Data'!$A$2:$V$133,22,FALSE())</f>
        <v>9.05102635692814</v>
      </c>
      <c r="F62" s="2" t="n">
        <f aca="false">IFERROR(E62/(C62+D62),0)</f>
        <v>0.754252196410678</v>
      </c>
    </row>
    <row r="63" customFormat="false" ht="15" hidden="false" customHeight="false" outlineLevel="0" collapsed="false">
      <c r="A63" s="0" t="n">
        <f aca="false">RANK(E63,E$2:E$132)</f>
        <v>80</v>
      </c>
      <c r="B63" s="0" t="s">
        <v>67</v>
      </c>
      <c r="C63" s="0" t="n">
        <f aca="false">VLOOKUP(B63,'Team Data'!$A$2:$V$133,2,FALSE())</f>
        <v>8</v>
      </c>
      <c r="D63" s="0" t="n">
        <f aca="false">VLOOKUP(B63,'Team Data'!$A$2:$V$133,3,FALSE())</f>
        <v>5</v>
      </c>
      <c r="E63" s="2" t="n">
        <f aca="false">VLOOKUP(B63,'Team Data'!$A$2:$V$133,22,FALSE())</f>
        <v>6.86835133555588</v>
      </c>
      <c r="F63" s="2" t="n">
        <f aca="false">IFERROR(E63/(C63+D63),0)</f>
        <v>0.528334718119683</v>
      </c>
    </row>
    <row r="64" customFormat="false" ht="15" hidden="false" customHeight="false" outlineLevel="0" collapsed="false">
      <c r="A64" s="0" t="n">
        <f aca="false">RANK(E64,E$2:E$132)</f>
        <v>23</v>
      </c>
      <c r="B64" s="0" t="s">
        <v>68</v>
      </c>
      <c r="C64" s="0" t="n">
        <f aca="false">VLOOKUP(B64,'Team Data'!$A$2:$V$133,2,FALSE())</f>
        <v>9</v>
      </c>
      <c r="D64" s="0" t="n">
        <f aca="false">VLOOKUP(B64,'Team Data'!$A$2:$V$133,3,FALSE())</f>
        <v>4</v>
      </c>
      <c r="E64" s="2" t="n">
        <f aca="false">VLOOKUP(B64,'Team Data'!$A$2:$V$133,22,FALSE())</f>
        <v>55.4391825328225</v>
      </c>
      <c r="F64" s="2" t="n">
        <f aca="false">IFERROR(E64/(C64+D64),0)</f>
        <v>4.26455250252481</v>
      </c>
    </row>
    <row r="65" customFormat="false" ht="15" hidden="false" customHeight="false" outlineLevel="0" collapsed="false">
      <c r="A65" s="0" t="n">
        <f aca="false">RANK(E65,E$2:E$132)</f>
        <v>30</v>
      </c>
      <c r="B65" s="0" t="s">
        <v>69</v>
      </c>
      <c r="C65" s="0" t="n">
        <f aca="false">VLOOKUP(B65,'Team Data'!$A$2:$V$133,2,FALSE())</f>
        <v>9</v>
      </c>
      <c r="D65" s="0" t="n">
        <f aca="false">VLOOKUP(B65,'Team Data'!$A$2:$V$133,3,FALSE())</f>
        <v>4</v>
      </c>
      <c r="E65" s="2" t="n">
        <f aca="false">VLOOKUP(B65,'Team Data'!$A$2:$V$133,22,FALSE())</f>
        <v>49.4012245805599</v>
      </c>
      <c r="F65" s="2" t="n">
        <f aca="false">IFERROR(E65/(C65+D65),0)</f>
        <v>3.80009419850461</v>
      </c>
    </row>
    <row r="66" customFormat="false" ht="15" hidden="false" customHeight="false" outlineLevel="0" collapsed="false">
      <c r="A66" s="0" t="n">
        <f aca="false">RANK(E66,E$2:E$132)</f>
        <v>65</v>
      </c>
      <c r="B66" s="0" t="s">
        <v>70</v>
      </c>
      <c r="C66" s="0" t="n">
        <f aca="false">VLOOKUP(B66,'Team Data'!$A$2:$V$133,2,FALSE())</f>
        <v>6</v>
      </c>
      <c r="D66" s="0" t="n">
        <f aca="false">VLOOKUP(B66,'Team Data'!$A$2:$V$133,3,FALSE())</f>
        <v>7</v>
      </c>
      <c r="E66" s="2" t="n">
        <f aca="false">VLOOKUP(B66,'Team Data'!$A$2:$V$133,22,FALSE())</f>
        <v>20.6312719454294</v>
      </c>
      <c r="F66" s="2" t="n">
        <f aca="false">IFERROR(E66/(C66+D66),0)</f>
        <v>1.58702091887918</v>
      </c>
    </row>
    <row r="67" customFormat="false" ht="15" hidden="false" customHeight="false" outlineLevel="0" collapsed="false">
      <c r="A67" s="0" t="n">
        <f aca="false">RANK(E67,E$2:E$132)</f>
        <v>48</v>
      </c>
      <c r="B67" s="0" t="s">
        <v>71</v>
      </c>
      <c r="C67" s="0" t="n">
        <f aca="false">VLOOKUP(B67,'Team Data'!$A$2:$V$133,2,FALSE())</f>
        <v>8</v>
      </c>
      <c r="D67" s="0" t="n">
        <f aca="false">VLOOKUP(B67,'Team Data'!$A$2:$V$133,3,FALSE())</f>
        <v>5</v>
      </c>
      <c r="E67" s="2" t="n">
        <f aca="false">VLOOKUP(B67,'Team Data'!$A$2:$V$133,22,FALSE())</f>
        <v>34.8588287863928</v>
      </c>
      <c r="F67" s="2" t="n">
        <f aca="false">IFERROR(E67/(C67+D67),0)</f>
        <v>2.68144836818406</v>
      </c>
    </row>
    <row r="68" customFormat="false" ht="15" hidden="false" customHeight="false" outlineLevel="0" collapsed="false">
      <c r="A68" s="0" t="n">
        <f aca="false">RANK(E68,E$2:E$132)</f>
        <v>78</v>
      </c>
      <c r="B68" s="0" t="s">
        <v>72</v>
      </c>
      <c r="C68" s="0" t="n">
        <f aca="false">VLOOKUP(B68,'Team Data'!$A$2:$V$133,2,FALSE())</f>
        <v>4</v>
      </c>
      <c r="D68" s="0" t="n">
        <f aca="false">VLOOKUP(B68,'Team Data'!$A$2:$V$133,3,FALSE())</f>
        <v>8</v>
      </c>
      <c r="E68" s="2" t="n">
        <f aca="false">VLOOKUP(B68,'Team Data'!$A$2:$V$133,22,FALSE())</f>
        <v>8.04705830708343</v>
      </c>
      <c r="F68" s="2" t="n">
        <f aca="false">IFERROR(E68/(C68+D68),0)</f>
        <v>0.670588192256953</v>
      </c>
    </row>
    <row r="69" customFormat="false" ht="15" hidden="false" customHeight="false" outlineLevel="0" collapsed="false">
      <c r="A69" s="0" t="n">
        <f aca="false">RANK(E69,E$2:E$132)</f>
        <v>99</v>
      </c>
      <c r="B69" s="0" t="s">
        <v>73</v>
      </c>
      <c r="C69" s="0" t="n">
        <f aca="false">VLOOKUP(B69,'Team Data'!$A$2:$V$133,2,FALSE())</f>
        <v>4</v>
      </c>
      <c r="D69" s="0" t="n">
        <f aca="false">VLOOKUP(B69,'Team Data'!$A$2:$V$133,3,FALSE())</f>
        <v>8</v>
      </c>
      <c r="E69" s="2" t="n">
        <f aca="false">VLOOKUP(B69,'Team Data'!$A$2:$V$133,22,FALSE())</f>
        <v>-7.47367309118995</v>
      </c>
      <c r="F69" s="2" t="n">
        <f aca="false">IFERROR(E69/(C69+D69),0)</f>
        <v>-0.622806090932496</v>
      </c>
    </row>
    <row r="70" customFormat="false" ht="15" hidden="false" customHeight="false" outlineLevel="0" collapsed="false">
      <c r="A70" s="0" t="n">
        <f aca="false">RANK(E70,E$2:E$132)</f>
        <v>123</v>
      </c>
      <c r="B70" s="0" t="s">
        <v>74</v>
      </c>
      <c r="C70" s="0" t="n">
        <f aca="false">VLOOKUP(B70,'Team Data'!$A$2:$V$133,2,FALSE())</f>
        <v>2</v>
      </c>
      <c r="D70" s="0" t="n">
        <f aca="false">VLOOKUP(B70,'Team Data'!$A$2:$V$133,3,FALSE())</f>
        <v>10</v>
      </c>
      <c r="E70" s="2" t="n">
        <f aca="false">VLOOKUP(B70,'Team Data'!$A$2:$V$133,22,FALSE())</f>
        <v>-39.7807410067922</v>
      </c>
      <c r="F70" s="2" t="n">
        <f aca="false">IFERROR(E70/(C70+D70),0)</f>
        <v>-3.31506175056602</v>
      </c>
    </row>
    <row r="71" customFormat="false" ht="15" hidden="false" customHeight="false" outlineLevel="0" collapsed="false">
      <c r="A71" s="0" t="n">
        <f aca="false">RANK(E71,E$2:E$132)</f>
        <v>126</v>
      </c>
      <c r="B71" s="0" t="s">
        <v>75</v>
      </c>
      <c r="C71" s="0" t="n">
        <f aca="false">VLOOKUP(B71,'Team Data'!$A$2:$V$133,2,FALSE())</f>
        <v>2</v>
      </c>
      <c r="D71" s="0" t="n">
        <f aca="false">VLOOKUP(B71,'Team Data'!$A$2:$V$133,3,FALSE())</f>
        <v>10</v>
      </c>
      <c r="E71" s="2" t="n">
        <f aca="false">VLOOKUP(B71,'Team Data'!$A$2:$V$133,22,FALSE())</f>
        <v>-48.4841197896519</v>
      </c>
      <c r="F71" s="2" t="n">
        <f aca="false">IFERROR(E71/(C71+D71),0)</f>
        <v>-4.04034331580432</v>
      </c>
    </row>
    <row r="72" customFormat="false" ht="15" hidden="false" customHeight="false" outlineLevel="0" collapsed="false">
      <c r="A72" s="0" t="n">
        <f aca="false">RANK(E72,E$2:E$132)</f>
        <v>105</v>
      </c>
      <c r="B72" s="0" t="s">
        <v>76</v>
      </c>
      <c r="C72" s="0" t="n">
        <f aca="false">VLOOKUP(B72,'Team Data'!$A$2:$V$133,2,FALSE())</f>
        <v>7</v>
      </c>
      <c r="D72" s="0" t="n">
        <f aca="false">VLOOKUP(B72,'Team Data'!$A$2:$V$133,3,FALSE())</f>
        <v>6</v>
      </c>
      <c r="E72" s="2" t="n">
        <f aca="false">VLOOKUP(B72,'Team Data'!$A$2:$V$133,22,FALSE())</f>
        <v>-12.1549989271399</v>
      </c>
      <c r="F72" s="2" t="n">
        <f aca="false">IFERROR(E72/(C72+D72),0)</f>
        <v>-0.934999917472302</v>
      </c>
    </row>
    <row r="73" customFormat="false" ht="15" hidden="false" customHeight="false" outlineLevel="0" collapsed="false">
      <c r="A73" s="0" t="n">
        <f aca="false">RANK(E73,E$2:E$132)</f>
        <v>52</v>
      </c>
      <c r="B73" s="0" t="s">
        <v>77</v>
      </c>
      <c r="C73" s="0" t="n">
        <f aca="false">VLOOKUP(B73,'Team Data'!$A$2:$V$133,2,FALSE())</f>
        <v>9</v>
      </c>
      <c r="D73" s="0" t="n">
        <f aca="false">VLOOKUP(B73,'Team Data'!$A$2:$V$133,3,FALSE())</f>
        <v>5</v>
      </c>
      <c r="E73" s="2" t="n">
        <f aca="false">VLOOKUP(B73,'Team Data'!$A$2:$V$133,22,FALSE())</f>
        <v>30.1449625098181</v>
      </c>
      <c r="F73" s="2" t="n">
        <f aca="false">IFERROR(E73/(C73+D73),0)</f>
        <v>2.15321160784415</v>
      </c>
    </row>
    <row r="74" customFormat="false" ht="15" hidden="false" customHeight="false" outlineLevel="0" collapsed="false">
      <c r="A74" s="0" t="n">
        <f aca="false">RANK(E74,E$2:E$132)</f>
        <v>93</v>
      </c>
      <c r="B74" s="0" t="s">
        <v>78</v>
      </c>
      <c r="C74" s="0" t="n">
        <f aca="false">VLOOKUP(B74,'Team Data'!$A$2:$V$133,2,FALSE())</f>
        <v>7</v>
      </c>
      <c r="D74" s="0" t="n">
        <f aca="false">VLOOKUP(B74,'Team Data'!$A$2:$V$133,3,FALSE())</f>
        <v>7</v>
      </c>
      <c r="E74" s="2" t="n">
        <f aca="false">VLOOKUP(B74,'Team Data'!$A$2:$V$133,22,FALSE())</f>
        <v>-1.34762974012724</v>
      </c>
      <c r="F74" s="2" t="n">
        <f aca="false">IFERROR(E74/(C74+D74),0)</f>
        <v>-0.0962592671519459</v>
      </c>
    </row>
    <row r="75" customFormat="false" ht="15" hidden="false" customHeight="false" outlineLevel="0" collapsed="false">
      <c r="A75" s="0" t="n">
        <f aca="false">RANK(E75,E$2:E$132)</f>
        <v>112</v>
      </c>
      <c r="B75" s="0" t="s">
        <v>79</v>
      </c>
      <c r="C75" s="0" t="n">
        <f aca="false">VLOOKUP(B75,'Team Data'!$A$2:$V$133,2,FALSE())</f>
        <v>3</v>
      </c>
      <c r="D75" s="0" t="n">
        <f aca="false">VLOOKUP(B75,'Team Data'!$A$2:$V$133,3,FALSE())</f>
        <v>9</v>
      </c>
      <c r="E75" s="2" t="n">
        <f aca="false">VLOOKUP(B75,'Team Data'!$A$2:$V$133,22,FALSE())</f>
        <v>-22.1823940888521</v>
      </c>
      <c r="F75" s="2" t="n">
        <f aca="false">IFERROR(E75/(C75+D75),0)</f>
        <v>-1.84853284073767</v>
      </c>
    </row>
    <row r="76" customFormat="false" ht="15" hidden="false" customHeight="false" outlineLevel="0" collapsed="false">
      <c r="A76" s="0" t="n">
        <f aca="false">RANK(E76,E$2:E$132)</f>
        <v>124</v>
      </c>
      <c r="B76" s="0" t="s">
        <v>80</v>
      </c>
      <c r="C76" s="0" t="n">
        <f aca="false">VLOOKUP(B76,'Team Data'!$A$2:$V$133,2,FALSE())</f>
        <v>1</v>
      </c>
      <c r="D76" s="0" t="n">
        <f aca="false">VLOOKUP(B76,'Team Data'!$A$2:$V$133,3,FALSE())</f>
        <v>11</v>
      </c>
      <c r="E76" s="2" t="n">
        <f aca="false">VLOOKUP(B76,'Team Data'!$A$2:$V$133,22,FALSE())</f>
        <v>-40.0204393561358</v>
      </c>
      <c r="F76" s="2" t="n">
        <f aca="false">IFERROR(E76/(C76+D76),0)</f>
        <v>-3.33503661301132</v>
      </c>
    </row>
    <row r="77" customFormat="false" ht="15" hidden="false" customHeight="false" outlineLevel="0" collapsed="false">
      <c r="A77" s="0" t="n">
        <f aca="false">RANK(E77,E$2:E$132)</f>
        <v>20</v>
      </c>
      <c r="B77" s="0" t="s">
        <v>81</v>
      </c>
      <c r="C77" s="0" t="n">
        <f aca="false">VLOOKUP(B77,'Team Data'!$A$2:$V$133,2,FALSE())</f>
        <v>9</v>
      </c>
      <c r="D77" s="0" t="n">
        <f aca="false">VLOOKUP(B77,'Team Data'!$A$2:$V$133,3,FALSE())</f>
        <v>4</v>
      </c>
      <c r="E77" s="2" t="n">
        <f aca="false">VLOOKUP(B77,'Team Data'!$A$2:$V$133,22,FALSE())</f>
        <v>59.1631317082579</v>
      </c>
      <c r="F77" s="2" t="n">
        <f aca="false">IFERROR(E77/(C77+D77),0)</f>
        <v>4.55101013140446</v>
      </c>
    </row>
    <row r="78" customFormat="false" ht="15" hidden="false" customHeight="false" outlineLevel="0" collapsed="false">
      <c r="A78" s="0" t="n">
        <f aca="false">RANK(E78,E$2:E$132)</f>
        <v>60</v>
      </c>
      <c r="B78" s="0" t="s">
        <v>82</v>
      </c>
      <c r="C78" s="0" t="n">
        <f aca="false">VLOOKUP(B78,'Team Data'!$A$2:$V$133,2,FALSE())</f>
        <v>10</v>
      </c>
      <c r="D78" s="0" t="n">
        <f aca="false">VLOOKUP(B78,'Team Data'!$A$2:$V$133,3,FALSE())</f>
        <v>4</v>
      </c>
      <c r="E78" s="2" t="n">
        <f aca="false">VLOOKUP(B78,'Team Data'!$A$2:$V$133,22,FALSE())</f>
        <v>24.9475767573132</v>
      </c>
      <c r="F78" s="2" t="n">
        <f aca="false">IFERROR(E78/(C78+D78),0)</f>
        <v>1.78196976837952</v>
      </c>
    </row>
    <row r="79" customFormat="false" ht="15" hidden="false" customHeight="false" outlineLevel="0" collapsed="false">
      <c r="A79" s="0" t="n">
        <f aca="false">RANK(E79,E$2:E$132)</f>
        <v>3</v>
      </c>
      <c r="B79" s="0" t="s">
        <v>83</v>
      </c>
      <c r="C79" s="0" t="n">
        <f aca="false">VLOOKUP(B79,'Team Data'!$A$2:$V$133,2,FALSE())</f>
        <v>11</v>
      </c>
      <c r="D79" s="0" t="n">
        <f aca="false">VLOOKUP(B79,'Team Data'!$A$2:$V$133,3,FALSE())</f>
        <v>2</v>
      </c>
      <c r="E79" s="2" t="n">
        <f aca="false">VLOOKUP(B79,'Team Data'!$A$2:$V$133,22,FALSE())</f>
        <v>112.471448843445</v>
      </c>
      <c r="F79" s="2" t="n">
        <f aca="false">IFERROR(E79/(C79+D79),0)</f>
        <v>8.65164991103427</v>
      </c>
    </row>
    <row r="80" customFormat="false" ht="15" hidden="false" customHeight="false" outlineLevel="0" collapsed="false">
      <c r="A80" s="0" t="n">
        <f aca="false">RANK(E80,E$2:E$132)</f>
        <v>44</v>
      </c>
      <c r="B80" s="0" t="s">
        <v>84</v>
      </c>
      <c r="C80" s="0" t="n">
        <f aca="false">VLOOKUP(B80,'Team Data'!$A$2:$V$133,2,FALSE())</f>
        <v>6</v>
      </c>
      <c r="D80" s="0" t="n">
        <f aca="false">VLOOKUP(B80,'Team Data'!$A$2:$V$133,3,FALSE())</f>
        <v>7</v>
      </c>
      <c r="E80" s="2" t="n">
        <f aca="false">VLOOKUP(B80,'Team Data'!$A$2:$V$133,22,FALSE())</f>
        <v>36.4602423572966</v>
      </c>
      <c r="F80" s="2" t="n">
        <f aca="false">IFERROR(E80/(C80+D80),0)</f>
        <v>2.80463402748436</v>
      </c>
    </row>
    <row r="81" customFormat="false" ht="15" hidden="false" customHeight="false" outlineLevel="0" collapsed="false">
      <c r="A81" s="0" t="n">
        <f aca="false">RANK(E81,E$2:E$132)</f>
        <v>81</v>
      </c>
      <c r="B81" s="0" t="s">
        <v>85</v>
      </c>
      <c r="C81" s="0" t="n">
        <f aca="false">VLOOKUP(B81,'Team Data'!$A$2:$V$133,2,FALSE())</f>
        <v>7</v>
      </c>
      <c r="D81" s="0" t="n">
        <f aca="false">VLOOKUP(B81,'Team Data'!$A$2:$V$133,3,FALSE())</f>
        <v>6</v>
      </c>
      <c r="E81" s="2" t="n">
        <f aca="false">VLOOKUP(B81,'Team Data'!$A$2:$V$133,22,FALSE())</f>
        <v>6.85768185179758</v>
      </c>
      <c r="F81" s="2" t="n">
        <f aca="false">IFERROR(E81/(C81+D81),0)</f>
        <v>0.527513988599814</v>
      </c>
    </row>
    <row r="82" customFormat="false" ht="15" hidden="false" customHeight="false" outlineLevel="0" collapsed="false">
      <c r="A82" s="0" t="n">
        <f aca="false">RANK(E82,E$2:E$132)</f>
        <v>109</v>
      </c>
      <c r="B82" s="0" t="s">
        <v>86</v>
      </c>
      <c r="C82" s="0" t="n">
        <f aca="false">VLOOKUP(B82,'Team Data'!$A$2:$V$133,2,FALSE())</f>
        <v>3</v>
      </c>
      <c r="D82" s="0" t="n">
        <f aca="false">VLOOKUP(B82,'Team Data'!$A$2:$V$133,3,FALSE())</f>
        <v>9</v>
      </c>
      <c r="E82" s="2" t="n">
        <f aca="false">VLOOKUP(B82,'Team Data'!$A$2:$V$133,22,FALSE())</f>
        <v>-16.7919319663541</v>
      </c>
      <c r="F82" s="2" t="n">
        <f aca="false">IFERROR(E82/(C82+D82),0)</f>
        <v>-1.39932766386284</v>
      </c>
    </row>
    <row r="83" customFormat="false" ht="15" hidden="false" customHeight="false" outlineLevel="0" collapsed="false">
      <c r="A83" s="0" t="n">
        <f aca="false">RANK(E83,E$2:E$132)</f>
        <v>35</v>
      </c>
      <c r="B83" s="0" t="s">
        <v>87</v>
      </c>
      <c r="C83" s="0" t="n">
        <f aca="false">VLOOKUP(B83,'Team Data'!$A$2:$V$133,2,FALSE())</f>
        <v>8</v>
      </c>
      <c r="D83" s="0" t="n">
        <f aca="false">VLOOKUP(B83,'Team Data'!$A$2:$V$133,3,FALSE())</f>
        <v>5</v>
      </c>
      <c r="E83" s="2" t="n">
        <f aca="false">VLOOKUP(B83,'Team Data'!$A$2:$V$133,22,FALSE())</f>
        <v>44.4511904998283</v>
      </c>
      <c r="F83" s="2" t="n">
        <f aca="false">IFERROR(E83/(C83+D83),0)</f>
        <v>3.41932234614064</v>
      </c>
    </row>
    <row r="84" customFormat="false" ht="15" hidden="false" customHeight="false" outlineLevel="0" collapsed="false">
      <c r="A84" s="0" t="n">
        <f aca="false">RANK(E84,E$2:E$132)</f>
        <v>14</v>
      </c>
      <c r="B84" s="0" t="s">
        <v>88</v>
      </c>
      <c r="C84" s="0" t="n">
        <f aca="false">VLOOKUP(B84,'Team Data'!$A$2:$V$133,2,FALSE())</f>
        <v>10</v>
      </c>
      <c r="D84" s="0" t="n">
        <f aca="false">VLOOKUP(B84,'Team Data'!$A$2:$V$133,3,FALSE())</f>
        <v>3</v>
      </c>
      <c r="E84" s="2" t="n">
        <f aca="false">VLOOKUP(B84,'Team Data'!$A$2:$V$133,22,FALSE())</f>
        <v>64.11726870182</v>
      </c>
      <c r="F84" s="2" t="n">
        <f aca="false">IFERROR(E84/(C84+D84),0)</f>
        <v>4.93209759244769</v>
      </c>
    </row>
    <row r="85" customFormat="false" ht="15" hidden="false" customHeight="false" outlineLevel="0" collapsed="false">
      <c r="A85" s="0" t="n">
        <f aca="false">RANK(E85,E$2:E$132)</f>
        <v>25</v>
      </c>
      <c r="B85" s="0" t="s">
        <v>89</v>
      </c>
      <c r="C85" s="0" t="n">
        <f aca="false">VLOOKUP(B85,'Team Data'!$A$2:$V$133,2,FALSE())</f>
        <v>10</v>
      </c>
      <c r="D85" s="0" t="n">
        <f aca="false">VLOOKUP(B85,'Team Data'!$A$2:$V$133,3,FALSE())</f>
        <v>3</v>
      </c>
      <c r="E85" s="2" t="n">
        <f aca="false">VLOOKUP(B85,'Team Data'!$A$2:$V$133,22,FALSE())</f>
        <v>54.8682475876976</v>
      </c>
      <c r="F85" s="2" t="n">
        <f aca="false">IFERROR(E85/(C85+D85),0)</f>
        <v>4.2206344298229</v>
      </c>
    </row>
    <row r="86" customFormat="false" ht="15" hidden="false" customHeight="false" outlineLevel="0" collapsed="false">
      <c r="A86" s="0" t="n">
        <f aca="false">RANK(E86,E$2:E$132)</f>
        <v>4</v>
      </c>
      <c r="B86" s="0" t="s">
        <v>90</v>
      </c>
      <c r="C86" s="0" t="n">
        <f aca="false">VLOOKUP(B86,'Team Data'!$A$2:$V$133,2,FALSE())</f>
        <v>11</v>
      </c>
      <c r="D86" s="0" t="n">
        <f aca="false">VLOOKUP(B86,'Team Data'!$A$2:$V$133,3,FALSE())</f>
        <v>2</v>
      </c>
      <c r="E86" s="2" t="n">
        <f aca="false">VLOOKUP(B86,'Team Data'!$A$2:$V$133,22,FALSE())</f>
        <v>101.050702451002</v>
      </c>
      <c r="F86" s="2" t="n">
        <f aca="false">IFERROR(E86/(C86+D86),0)</f>
        <v>7.77313095776942</v>
      </c>
    </row>
    <row r="87" customFormat="false" ht="15" hidden="false" customHeight="false" outlineLevel="0" collapsed="false">
      <c r="A87" s="0" t="n">
        <f aca="false">RANK(E87,E$2:E$132)</f>
        <v>36</v>
      </c>
      <c r="B87" s="0" t="s">
        <v>91</v>
      </c>
      <c r="C87" s="0" t="n">
        <f aca="false">VLOOKUP(B87,'Team Data'!$A$2:$V$133,2,FALSE())</f>
        <v>9</v>
      </c>
      <c r="D87" s="0" t="n">
        <f aca="false">VLOOKUP(B87,'Team Data'!$A$2:$V$133,3,FALSE())</f>
        <v>4</v>
      </c>
      <c r="E87" s="2" t="n">
        <f aca="false">VLOOKUP(B87,'Team Data'!$A$2:$V$133,22,FALSE())</f>
        <v>44.3891027106092</v>
      </c>
      <c r="F87" s="2" t="n">
        <f aca="false">IFERROR(E87/(C87+D87),0)</f>
        <v>3.41454636235455</v>
      </c>
    </row>
    <row r="88" customFormat="false" ht="15" hidden="false" customHeight="false" outlineLevel="0" collapsed="false">
      <c r="A88" s="0" t="n">
        <f aca="false">RANK(E88,E$2:E$132)</f>
        <v>69</v>
      </c>
      <c r="B88" s="0" t="s">
        <v>92</v>
      </c>
      <c r="C88" s="0" t="n">
        <f aca="false">VLOOKUP(B88,'Team Data'!$A$2:$V$133,2,FALSE())</f>
        <v>8</v>
      </c>
      <c r="D88" s="0" t="n">
        <f aca="false">VLOOKUP(B88,'Team Data'!$A$2:$V$133,3,FALSE())</f>
        <v>6</v>
      </c>
      <c r="E88" s="2" t="n">
        <f aca="false">VLOOKUP(B88,'Team Data'!$A$2:$V$133,22,FALSE())</f>
        <v>18.9207513503831</v>
      </c>
      <c r="F88" s="2" t="n">
        <f aca="false">IFERROR(E88/(C88+D88),0)</f>
        <v>1.35148223931308</v>
      </c>
    </row>
    <row r="89" customFormat="false" ht="15" hidden="false" customHeight="false" outlineLevel="0" collapsed="false">
      <c r="A89" s="0" t="n">
        <f aca="false">RANK(E89,E$2:E$132)</f>
        <v>114</v>
      </c>
      <c r="B89" s="0" t="s">
        <v>93</v>
      </c>
      <c r="C89" s="0" t="n">
        <f aca="false">VLOOKUP(B89,'Team Data'!$A$2:$V$133,2,FALSE())</f>
        <v>5</v>
      </c>
      <c r="D89" s="0" t="n">
        <f aca="false">VLOOKUP(B89,'Team Data'!$A$2:$V$133,3,FALSE())</f>
        <v>8</v>
      </c>
      <c r="E89" s="2" t="n">
        <f aca="false">VLOOKUP(B89,'Team Data'!$A$2:$V$133,22,FALSE())</f>
        <v>-25.2776577126691</v>
      </c>
      <c r="F89" s="2" t="n">
        <f aca="false">IFERROR(E89/(C89+D89),0)</f>
        <v>-1.94443520866686</v>
      </c>
    </row>
    <row r="90" customFormat="false" ht="15" hidden="false" customHeight="false" outlineLevel="0" collapsed="false">
      <c r="A90" s="0" t="n">
        <f aca="false">RANK(E90,E$2:E$132)</f>
        <v>103</v>
      </c>
      <c r="B90" s="0" t="s">
        <v>94</v>
      </c>
      <c r="C90" s="0" t="n">
        <f aca="false">VLOOKUP(B90,'Team Data'!$A$2:$V$133,2,FALSE())</f>
        <v>4</v>
      </c>
      <c r="D90" s="0" t="n">
        <f aca="false">VLOOKUP(B90,'Team Data'!$A$2:$V$133,3,FALSE())</f>
        <v>8</v>
      </c>
      <c r="E90" s="2" t="n">
        <f aca="false">VLOOKUP(B90,'Team Data'!$A$2:$V$133,22,FALSE())</f>
        <v>-11.4624168459508</v>
      </c>
      <c r="F90" s="2" t="n">
        <f aca="false">IFERROR(E90/(C90+D90),0)</f>
        <v>-0.955201403829236</v>
      </c>
    </row>
    <row r="91" customFormat="false" ht="15" hidden="false" customHeight="false" outlineLevel="0" collapsed="false">
      <c r="A91" s="0" t="n">
        <f aca="false">RANK(E91,E$2:E$132)</f>
        <v>53</v>
      </c>
      <c r="B91" s="0" t="s">
        <v>95</v>
      </c>
      <c r="C91" s="0" t="n">
        <f aca="false">VLOOKUP(B91,'Team Data'!$A$2:$V$133,2,FALSE())</f>
        <v>7</v>
      </c>
      <c r="D91" s="0" t="n">
        <f aca="false">VLOOKUP(B91,'Team Data'!$A$2:$V$133,3,FALSE())</f>
        <v>6</v>
      </c>
      <c r="E91" s="2" t="n">
        <f aca="false">VLOOKUP(B91,'Team Data'!$A$2:$V$133,22,FALSE())</f>
        <v>29.2177031204376</v>
      </c>
      <c r="F91" s="2" t="n">
        <f aca="false">IFERROR(E91/(C91+D91),0)</f>
        <v>2.24751562464904</v>
      </c>
    </row>
    <row r="92" customFormat="false" ht="15" hidden="false" customHeight="false" outlineLevel="0" collapsed="false">
      <c r="A92" s="0" t="n">
        <f aca="false">RANK(E92,E$2:E$132)</f>
        <v>75</v>
      </c>
      <c r="B92" s="0" t="s">
        <v>96</v>
      </c>
      <c r="C92" s="0" t="n">
        <f aca="false">VLOOKUP(B92,'Team Data'!$A$2:$V$133,2,FALSE())</f>
        <v>7</v>
      </c>
      <c r="D92" s="0" t="n">
        <f aca="false">VLOOKUP(B92,'Team Data'!$A$2:$V$133,3,FALSE())</f>
        <v>6</v>
      </c>
      <c r="E92" s="2" t="n">
        <f aca="false">VLOOKUP(B92,'Team Data'!$A$2:$V$133,22,FALSE())</f>
        <v>11.9863584337547</v>
      </c>
      <c r="F92" s="2" t="n">
        <f aca="false">IFERROR(E92/(C92+D92),0)</f>
        <v>0.922027571827286</v>
      </c>
    </row>
    <row r="93" customFormat="false" ht="15" hidden="false" customHeight="false" outlineLevel="0" collapsed="false">
      <c r="A93" s="0" t="n">
        <f aca="false">RANK(E93,E$2:E$132)</f>
        <v>51</v>
      </c>
      <c r="B93" s="0" t="s">
        <v>97</v>
      </c>
      <c r="C93" s="0" t="n">
        <f aca="false">VLOOKUP(B93,'Team Data'!$A$2:$V$133,2,FALSE())</f>
        <v>7</v>
      </c>
      <c r="D93" s="0" t="n">
        <f aca="false">VLOOKUP(B93,'Team Data'!$A$2:$V$133,3,FALSE())</f>
        <v>5</v>
      </c>
      <c r="E93" s="2" t="n">
        <f aca="false">VLOOKUP(B93,'Team Data'!$A$2:$V$133,22,FALSE())</f>
        <v>31.1497819910119</v>
      </c>
      <c r="F93" s="2" t="n">
        <f aca="false">IFERROR(E93/(C93+D93),0)</f>
        <v>2.59581516591766</v>
      </c>
    </row>
    <row r="94" customFormat="false" ht="15" hidden="false" customHeight="false" outlineLevel="0" collapsed="false">
      <c r="A94" s="0" t="n">
        <f aca="false">RANK(E94,E$2:E$132)</f>
        <v>31</v>
      </c>
      <c r="B94" s="0" t="s">
        <v>98</v>
      </c>
      <c r="C94" s="0" t="n">
        <f aca="false">VLOOKUP(B94,'Team Data'!$A$2:$V$133,2,FALSE())</f>
        <v>10</v>
      </c>
      <c r="D94" s="0" t="n">
        <f aca="false">VLOOKUP(B94,'Team Data'!$A$2:$V$133,3,FALSE())</f>
        <v>3</v>
      </c>
      <c r="E94" s="2" t="n">
        <f aca="false">VLOOKUP(B94,'Team Data'!$A$2:$V$133,22,FALSE())</f>
        <v>48.6612188400868</v>
      </c>
      <c r="F94" s="2" t="n">
        <f aca="false">IFERROR(E94/(C94+D94),0)</f>
        <v>3.74317068000668</v>
      </c>
    </row>
    <row r="95" customFormat="false" ht="15" hidden="false" customHeight="false" outlineLevel="0" collapsed="false">
      <c r="A95" s="0" t="n">
        <f aca="false">RANK(E95,E$2:E$132)</f>
        <v>68</v>
      </c>
      <c r="B95" s="0" t="s">
        <v>99</v>
      </c>
      <c r="C95" s="0" t="n">
        <f aca="false">VLOOKUP(B95,'Team Data'!$A$2:$V$133,2,FALSE())</f>
        <v>8</v>
      </c>
      <c r="D95" s="0" t="n">
        <f aca="false">VLOOKUP(B95,'Team Data'!$A$2:$V$133,3,FALSE())</f>
        <v>5</v>
      </c>
      <c r="E95" s="2" t="n">
        <f aca="false">VLOOKUP(B95,'Team Data'!$A$2:$V$133,22,FALSE())</f>
        <v>18.944955657599</v>
      </c>
      <c r="F95" s="2" t="n">
        <f aca="false">IFERROR(E95/(C95+D95),0)</f>
        <v>1.45730428135377</v>
      </c>
    </row>
    <row r="96" customFormat="false" ht="15" hidden="false" customHeight="false" outlineLevel="0" collapsed="false">
      <c r="A96" s="0" t="n">
        <f aca="false">RANK(E96,E$2:E$132)</f>
        <v>82</v>
      </c>
      <c r="B96" s="0" t="s">
        <v>100</v>
      </c>
      <c r="C96" s="0" t="n">
        <f aca="false">VLOOKUP(B96,'Team Data'!$A$2:$V$133,2,FALSE())</f>
        <v>7</v>
      </c>
      <c r="D96" s="0" t="n">
        <f aca="false">VLOOKUP(B96,'Team Data'!$A$2:$V$133,3,FALSE())</f>
        <v>6</v>
      </c>
      <c r="E96" s="2" t="n">
        <f aca="false">VLOOKUP(B96,'Team Data'!$A$2:$V$133,22,FALSE())</f>
        <v>6.65115652406046</v>
      </c>
      <c r="F96" s="2" t="n">
        <f aca="false">IFERROR(E96/(C96+D96),0)</f>
        <v>0.511627424927728</v>
      </c>
    </row>
    <row r="97" customFormat="false" ht="15" hidden="false" customHeight="false" outlineLevel="0" collapsed="false">
      <c r="A97" s="0" t="n">
        <f aca="false">RANK(E97,E$2:E$132)</f>
        <v>118</v>
      </c>
      <c r="B97" s="0" t="s">
        <v>101</v>
      </c>
      <c r="C97" s="0" t="n">
        <f aca="false">VLOOKUP(B97,'Team Data'!$A$2:$V$133,2,FALSE())</f>
        <v>3</v>
      </c>
      <c r="D97" s="0" t="n">
        <f aca="false">VLOOKUP(B97,'Team Data'!$A$2:$V$133,3,FALSE())</f>
        <v>9</v>
      </c>
      <c r="E97" s="2" t="n">
        <f aca="false">VLOOKUP(B97,'Team Data'!$A$2:$V$133,22,FALSE())</f>
        <v>-28.2052216521981</v>
      </c>
      <c r="F97" s="2" t="n">
        <f aca="false">IFERROR(E97/(C97+D97),0)</f>
        <v>-2.35043513768318</v>
      </c>
    </row>
    <row r="98" customFormat="false" ht="15" hidden="false" customHeight="false" outlineLevel="0" collapsed="false">
      <c r="A98" s="0" t="n">
        <f aca="false">RANK(E98,E$2:E$132)</f>
        <v>41</v>
      </c>
      <c r="B98" s="0" t="s">
        <v>102</v>
      </c>
      <c r="C98" s="0" t="n">
        <f aca="false">VLOOKUP(B98,'Team Data'!$A$2:$V$133,2,FALSE())</f>
        <v>7</v>
      </c>
      <c r="D98" s="0" t="n">
        <f aca="false">VLOOKUP(B98,'Team Data'!$A$2:$V$133,3,FALSE())</f>
        <v>6</v>
      </c>
      <c r="E98" s="2" t="n">
        <f aca="false">VLOOKUP(B98,'Team Data'!$A$2:$V$133,22,FALSE())</f>
        <v>38.7309634279303</v>
      </c>
      <c r="F98" s="2" t="n">
        <f aca="false">IFERROR(E98/(C98+D98),0)</f>
        <v>2.97930487907156</v>
      </c>
    </row>
    <row r="99" customFormat="false" ht="15" hidden="false" customHeight="false" outlineLevel="0" collapsed="false">
      <c r="A99" s="0" t="n">
        <f aca="false">RANK(E99,E$2:E$132)</f>
        <v>11</v>
      </c>
      <c r="B99" s="0" t="s">
        <v>103</v>
      </c>
      <c r="C99" s="0" t="n">
        <f aca="false">VLOOKUP(B99,'Team Data'!$A$2:$V$133,2,FALSE())</f>
        <v>13</v>
      </c>
      <c r="D99" s="0" t="n">
        <f aca="false">VLOOKUP(B99,'Team Data'!$A$2:$V$133,3,FALSE())</f>
        <v>2</v>
      </c>
      <c r="E99" s="2" t="n">
        <f aca="false">VLOOKUP(B99,'Team Data'!$A$2:$V$133,22,FALSE())</f>
        <v>67.664181005381</v>
      </c>
      <c r="F99" s="2" t="n">
        <f aca="false">IFERROR(E99/(C99+D99),0)</f>
        <v>4.51094540035873</v>
      </c>
    </row>
    <row r="100" customFormat="false" ht="15" hidden="false" customHeight="false" outlineLevel="0" collapsed="false">
      <c r="A100" s="0" t="n">
        <f aca="false">RANK(E100,E$2:E$132)</f>
        <v>119</v>
      </c>
      <c r="B100" s="0" t="s">
        <v>104</v>
      </c>
      <c r="C100" s="0" t="n">
        <f aca="false">VLOOKUP(B100,'Team Data'!$A$2:$V$133,2,FALSE())</f>
        <v>3</v>
      </c>
      <c r="D100" s="0" t="n">
        <f aca="false">VLOOKUP(B100,'Team Data'!$A$2:$V$133,3,FALSE())</f>
        <v>9</v>
      </c>
      <c r="E100" s="2" t="n">
        <f aca="false">VLOOKUP(B100,'Team Data'!$A$2:$V$133,22,FALSE())</f>
        <v>-28.8260690133695</v>
      </c>
      <c r="F100" s="2" t="n">
        <f aca="false">IFERROR(E100/(C100+D100),0)</f>
        <v>-2.40217241778079</v>
      </c>
    </row>
    <row r="101" customFormat="false" ht="15" hidden="false" customHeight="false" outlineLevel="0" collapsed="false">
      <c r="A101" s="0" t="n">
        <f aca="false">RANK(E101,E$2:E$132)</f>
        <v>6</v>
      </c>
      <c r="B101" s="0" t="s">
        <v>105</v>
      </c>
      <c r="C101" s="0" t="n">
        <f aca="false">VLOOKUP(B101,'Team Data'!$A$2:$V$133,2,FALSE())</f>
        <v>11</v>
      </c>
      <c r="D101" s="0" t="n">
        <f aca="false">VLOOKUP(B101,'Team Data'!$A$2:$V$133,3,FALSE())</f>
        <v>2</v>
      </c>
      <c r="E101" s="2" t="n">
        <f aca="false">VLOOKUP(B101,'Team Data'!$A$2:$V$133,22,FALSE())</f>
        <v>83.0647092934211</v>
      </c>
      <c r="F101" s="2" t="n">
        <f aca="false">IFERROR(E101/(C101+D101),0)</f>
        <v>6.38959302257085</v>
      </c>
    </row>
    <row r="102" customFormat="false" ht="15" hidden="false" customHeight="false" outlineLevel="0" collapsed="false">
      <c r="A102" s="0" t="n">
        <f aca="false">RANK(E102,E$2:E$132)</f>
        <v>12</v>
      </c>
      <c r="B102" s="0" t="s">
        <v>106</v>
      </c>
      <c r="C102" s="0" t="n">
        <f aca="false">VLOOKUP(B102,'Team Data'!$A$2:$V$133,2,FALSE())</f>
        <v>8</v>
      </c>
      <c r="D102" s="0" t="n">
        <f aca="false">VLOOKUP(B102,'Team Data'!$A$2:$V$133,3,FALSE())</f>
        <v>5</v>
      </c>
      <c r="E102" s="2" t="n">
        <f aca="false">VLOOKUP(B102,'Team Data'!$A$2:$V$133,22,FALSE())</f>
        <v>65.5363046065106</v>
      </c>
      <c r="F102" s="2" t="n">
        <f aca="false">IFERROR(E102/(C102+D102),0)</f>
        <v>5.04125420050081</v>
      </c>
    </row>
    <row r="103" customFormat="false" ht="15" hidden="false" customHeight="false" outlineLevel="0" collapsed="false">
      <c r="A103" s="0" t="n">
        <f aca="false">RANK(E103,E$2:E$132)</f>
        <v>72</v>
      </c>
      <c r="B103" s="0" t="s">
        <v>107</v>
      </c>
      <c r="C103" s="0" t="n">
        <f aca="false">VLOOKUP(B103,'Team Data'!$A$2:$V$133,2,FALSE())</f>
        <v>5</v>
      </c>
      <c r="D103" s="0" t="n">
        <f aca="false">VLOOKUP(B103,'Team Data'!$A$2:$V$133,3,FALSE())</f>
        <v>7</v>
      </c>
      <c r="E103" s="2" t="n">
        <f aca="false">VLOOKUP(B103,'Team Data'!$A$2:$V$133,22,FALSE())</f>
        <v>13.4918048262547</v>
      </c>
      <c r="F103" s="2" t="n">
        <f aca="false">IFERROR(E103/(C103+D103),0)</f>
        <v>1.12431706885456</v>
      </c>
    </row>
    <row r="104" customFormat="false" ht="15" hidden="false" customHeight="false" outlineLevel="0" collapsed="false">
      <c r="A104" s="0" t="n">
        <f aca="false">RANK(E104,E$2:E$132)</f>
        <v>113</v>
      </c>
      <c r="B104" s="0" t="s">
        <v>108</v>
      </c>
      <c r="C104" s="0" t="n">
        <f aca="false">VLOOKUP(B104,'Team Data'!$A$2:$V$133,2,FALSE())</f>
        <v>4</v>
      </c>
      <c r="D104" s="0" t="n">
        <f aca="false">VLOOKUP(B104,'Team Data'!$A$2:$V$133,3,FALSE())</f>
        <v>8</v>
      </c>
      <c r="E104" s="2" t="n">
        <f aca="false">VLOOKUP(B104,'Team Data'!$A$2:$V$133,22,FALSE())</f>
        <v>-25.1509940747982</v>
      </c>
      <c r="F104" s="2" t="n">
        <f aca="false">IFERROR(E104/(C104+D104),0)</f>
        <v>-2.09591617289985</v>
      </c>
    </row>
    <row r="105" customFormat="false" ht="15" hidden="false" customHeight="false" outlineLevel="0" collapsed="false">
      <c r="A105" s="0" t="n">
        <f aca="false">RANK(E105,E$2:E$132)</f>
        <v>62</v>
      </c>
      <c r="B105" s="0" t="s">
        <v>109</v>
      </c>
      <c r="C105" s="0" t="n">
        <f aca="false">VLOOKUP(B105,'Team Data'!$A$2:$V$133,2,FALSE())</f>
        <v>8</v>
      </c>
      <c r="D105" s="0" t="n">
        <f aca="false">VLOOKUP(B105,'Team Data'!$A$2:$V$133,3,FALSE())</f>
        <v>5</v>
      </c>
      <c r="E105" s="2" t="n">
        <f aca="false">VLOOKUP(B105,'Team Data'!$A$2:$V$133,22,FALSE())</f>
        <v>22.5872717100724</v>
      </c>
      <c r="F105" s="2" t="n">
        <f aca="false">IFERROR(E105/(C105+D105),0)</f>
        <v>1.73748243923634</v>
      </c>
    </row>
    <row r="106" customFormat="false" ht="15" hidden="false" customHeight="false" outlineLevel="0" collapsed="false">
      <c r="A106" s="0" t="n">
        <f aca="false">RANK(E106,E$2:E$132)</f>
        <v>47</v>
      </c>
      <c r="B106" s="0" t="s">
        <v>110</v>
      </c>
      <c r="C106" s="0" t="n">
        <f aca="false">VLOOKUP(B106,'Team Data'!$A$2:$V$133,2,FALSE())</f>
        <v>9</v>
      </c>
      <c r="D106" s="0" t="n">
        <f aca="false">VLOOKUP(B106,'Team Data'!$A$2:$V$133,3,FALSE())</f>
        <v>5</v>
      </c>
      <c r="E106" s="2" t="n">
        <f aca="false">VLOOKUP(B106,'Team Data'!$A$2:$V$133,22,FALSE())</f>
        <v>34.9319904429554</v>
      </c>
      <c r="F106" s="2" t="n">
        <f aca="false">IFERROR(E106/(C106+D106),0)</f>
        <v>2.49514217449681</v>
      </c>
    </row>
    <row r="107" customFormat="false" ht="15" hidden="false" customHeight="false" outlineLevel="0" collapsed="false">
      <c r="A107" s="0" t="n">
        <f aca="false">RANK(E107,E$2:E$132)</f>
        <v>26</v>
      </c>
      <c r="B107" s="0" t="s">
        <v>111</v>
      </c>
      <c r="C107" s="0" t="n">
        <f aca="false">VLOOKUP(B107,'Team Data'!$A$2:$V$133,2,FALSE())</f>
        <v>12</v>
      </c>
      <c r="D107" s="0" t="n">
        <f aca="false">VLOOKUP(B107,'Team Data'!$A$2:$V$133,3,FALSE())</f>
        <v>2</v>
      </c>
      <c r="E107" s="2" t="n">
        <f aca="false">VLOOKUP(B107,'Team Data'!$A$2:$V$133,22,FALSE())</f>
        <v>51.7614848999806</v>
      </c>
      <c r="F107" s="2" t="n">
        <f aca="false">IFERROR(E107/(C107+D107),0)</f>
        <v>3.69724892142719</v>
      </c>
    </row>
    <row r="108" customFormat="false" ht="15" hidden="false" customHeight="false" outlineLevel="0" collapsed="false">
      <c r="A108" s="0" t="n">
        <f aca="false">RANK(E108,E$2:E$132)</f>
        <v>13</v>
      </c>
      <c r="B108" s="0" t="s">
        <v>112</v>
      </c>
      <c r="C108" s="0" t="n">
        <f aca="false">VLOOKUP(B108,'Team Data'!$A$2:$V$133,2,FALSE())</f>
        <v>12</v>
      </c>
      <c r="D108" s="0" t="n">
        <f aca="false">VLOOKUP(B108,'Team Data'!$A$2:$V$133,3,FALSE())</f>
        <v>2</v>
      </c>
      <c r="E108" s="2" t="n">
        <f aca="false">VLOOKUP(B108,'Team Data'!$A$2:$V$133,22,FALSE())</f>
        <v>64.4096636933038</v>
      </c>
      <c r="F108" s="2" t="n">
        <f aca="false">IFERROR(E108/(C108+D108),0)</f>
        <v>4.60069026380741</v>
      </c>
    </row>
    <row r="109" customFormat="false" ht="15" hidden="false" customHeight="false" outlineLevel="0" collapsed="false">
      <c r="A109" s="0" t="n">
        <f aca="false">RANK(E109,E$2:E$132)</f>
        <v>96</v>
      </c>
      <c r="B109" s="0" t="s">
        <v>113</v>
      </c>
      <c r="C109" s="0" t="n">
        <f aca="false">VLOOKUP(B109,'Team Data'!$A$2:$V$133,2,FALSE())</f>
        <v>5</v>
      </c>
      <c r="D109" s="0" t="n">
        <f aca="false">VLOOKUP(B109,'Team Data'!$A$2:$V$133,3,FALSE())</f>
        <v>7</v>
      </c>
      <c r="E109" s="2" t="n">
        <f aca="false">VLOOKUP(B109,'Team Data'!$A$2:$V$133,22,FALSE())</f>
        <v>-6.55238279288105</v>
      </c>
      <c r="F109" s="2" t="n">
        <f aca="false">IFERROR(E109/(C109+D109),0)</f>
        <v>-0.546031899406755</v>
      </c>
    </row>
    <row r="110" customFormat="false" ht="15" hidden="false" customHeight="false" outlineLevel="0" collapsed="false">
      <c r="A110" s="0" t="n">
        <f aca="false">RANK(E110,E$2:E$132)</f>
        <v>49</v>
      </c>
      <c r="B110" s="0" t="s">
        <v>114</v>
      </c>
      <c r="C110" s="0" t="n">
        <f aca="false">VLOOKUP(B110,'Team Data'!$A$2:$V$133,2,FALSE())</f>
        <v>7</v>
      </c>
      <c r="D110" s="0" t="n">
        <f aca="false">VLOOKUP(B110,'Team Data'!$A$2:$V$133,3,FALSE())</f>
        <v>6</v>
      </c>
      <c r="E110" s="2" t="n">
        <f aca="false">VLOOKUP(B110,'Team Data'!$A$2:$V$133,22,FALSE())</f>
        <v>33.6155313898725</v>
      </c>
      <c r="F110" s="2" t="n">
        <f aca="false">IFERROR(E110/(C110+D110),0)</f>
        <v>2.58581010691327</v>
      </c>
    </row>
    <row r="111" customFormat="false" ht="15" hidden="false" customHeight="false" outlineLevel="0" collapsed="false">
      <c r="A111" s="0" t="n">
        <f aca="false">RANK(E111,E$2:E$132)</f>
        <v>39</v>
      </c>
      <c r="B111" s="0" t="s">
        <v>115</v>
      </c>
      <c r="C111" s="0" t="n">
        <f aca="false">VLOOKUP(B111,'Team Data'!$A$2:$V$133,2,FALSE())</f>
        <v>9</v>
      </c>
      <c r="D111" s="0" t="n">
        <f aca="false">VLOOKUP(B111,'Team Data'!$A$2:$V$133,3,FALSE())</f>
        <v>5</v>
      </c>
      <c r="E111" s="2" t="n">
        <f aca="false">VLOOKUP(B111,'Team Data'!$A$2:$V$133,22,FALSE())</f>
        <v>40.0796174256903</v>
      </c>
      <c r="F111" s="2" t="n">
        <f aca="false">IFERROR(E111/(C111+D111),0)</f>
        <v>2.86282981612073</v>
      </c>
    </row>
    <row r="112" customFormat="false" ht="15" hidden="false" customHeight="false" outlineLevel="0" collapsed="false">
      <c r="A112" s="0" t="n">
        <f aca="false">RANK(E112,E$2:E$132)</f>
        <v>32</v>
      </c>
      <c r="B112" s="0" t="s">
        <v>116</v>
      </c>
      <c r="C112" s="0" t="n">
        <f aca="false">VLOOKUP(B112,'Team Data'!$A$2:$V$133,2,FALSE())</f>
        <v>9</v>
      </c>
      <c r="D112" s="0" t="n">
        <f aca="false">VLOOKUP(B112,'Team Data'!$A$2:$V$133,3,FALSE())</f>
        <v>4</v>
      </c>
      <c r="E112" s="2" t="n">
        <f aca="false">VLOOKUP(B112,'Team Data'!$A$2:$V$133,22,FALSE())</f>
        <v>48.2692828009144</v>
      </c>
      <c r="F112" s="2" t="n">
        <f aca="false">IFERROR(E112/(C112+D112),0)</f>
        <v>3.71302175391649</v>
      </c>
    </row>
    <row r="113" customFormat="false" ht="15" hidden="false" customHeight="false" outlineLevel="0" collapsed="false">
      <c r="A113" s="0" t="n">
        <f aca="false">RANK(E113,E$2:E$132)</f>
        <v>106</v>
      </c>
      <c r="B113" s="0" t="s">
        <v>117</v>
      </c>
      <c r="C113" s="0" t="n">
        <f aca="false">VLOOKUP(B113,'Team Data'!$A$2:$V$133,2,FALSE())</f>
        <v>6</v>
      </c>
      <c r="D113" s="0" t="n">
        <f aca="false">VLOOKUP(B113,'Team Data'!$A$2:$V$133,3,FALSE())</f>
        <v>7</v>
      </c>
      <c r="E113" s="2" t="n">
        <f aca="false">VLOOKUP(B113,'Team Data'!$A$2:$V$133,22,FALSE())</f>
        <v>-12.9122347085693</v>
      </c>
      <c r="F113" s="2" t="n">
        <f aca="false">IFERROR(E113/(C113+D113),0)</f>
        <v>-0.993248823736101</v>
      </c>
    </row>
    <row r="114" customFormat="false" ht="15" hidden="false" customHeight="false" outlineLevel="0" collapsed="false">
      <c r="A114" s="0" t="n">
        <f aca="false">RANK(E114,E$2:E$132)</f>
        <v>131</v>
      </c>
      <c r="B114" s="0" t="s">
        <v>118</v>
      </c>
      <c r="C114" s="0" t="n">
        <f aca="false">VLOOKUP(B114,'Team Data'!$A$2:$V$133,2,FALSE())</f>
        <v>1</v>
      </c>
      <c r="D114" s="0" t="n">
        <f aca="false">VLOOKUP(B114,'Team Data'!$A$2:$V$133,3,FALSE())</f>
        <v>11</v>
      </c>
      <c r="E114" s="2" t="n">
        <f aca="false">VLOOKUP(B114,'Team Data'!$A$2:$V$133,22,FALSE())</f>
        <v>-69.8725006778032</v>
      </c>
      <c r="F114" s="2" t="n">
        <f aca="false">IFERROR(E114/(C114+D114),0)</f>
        <v>-5.82270838981693</v>
      </c>
    </row>
    <row r="115" customFormat="false" ht="15" hidden="false" customHeight="false" outlineLevel="0" collapsed="false">
      <c r="A115" s="0" t="n">
        <f aca="false">RANK(E115,E$2:E$132)</f>
        <v>87</v>
      </c>
      <c r="B115" s="0" t="s">
        <v>119</v>
      </c>
      <c r="C115" s="0" t="n">
        <f aca="false">VLOOKUP(B115,'Team Data'!$A$2:$V$133,2,FALSE())</f>
        <v>5</v>
      </c>
      <c r="D115" s="0" t="n">
        <f aca="false">VLOOKUP(B115,'Team Data'!$A$2:$V$133,3,FALSE())</f>
        <v>7</v>
      </c>
      <c r="E115" s="2" t="n">
        <f aca="false">VLOOKUP(B115,'Team Data'!$A$2:$V$133,22,FALSE())</f>
        <v>0.530247903151193</v>
      </c>
      <c r="F115" s="2" t="n">
        <f aca="false">IFERROR(E115/(C115+D115),0)</f>
        <v>0.0441873252625994</v>
      </c>
    </row>
    <row r="116" customFormat="false" ht="15" hidden="false" customHeight="false" outlineLevel="0" collapsed="false">
      <c r="A116" s="0" t="n">
        <f aca="false">RANK(E116,E$2:E$132)</f>
        <v>9</v>
      </c>
      <c r="B116" s="0" t="s">
        <v>120</v>
      </c>
      <c r="C116" s="0" t="n">
        <f aca="false">VLOOKUP(B116,'Team Data'!$A$2:$V$133,2,FALSE())</f>
        <v>11</v>
      </c>
      <c r="D116" s="0" t="n">
        <f aca="false">VLOOKUP(B116,'Team Data'!$A$2:$V$133,3,FALSE())</f>
        <v>3</v>
      </c>
      <c r="E116" s="2" t="n">
        <f aca="false">VLOOKUP(B116,'Team Data'!$A$2:$V$133,22,FALSE())</f>
        <v>72.5370426350765</v>
      </c>
      <c r="F116" s="2" t="n">
        <f aca="false">IFERROR(E116/(C116+D116),0)</f>
        <v>5.18121733107689</v>
      </c>
    </row>
    <row r="117" customFormat="false" ht="15" hidden="false" customHeight="false" outlineLevel="0" collapsed="false">
      <c r="A117" s="0" t="n">
        <f aca="false">RANK(E117,E$2:E$132)</f>
        <v>127</v>
      </c>
      <c r="B117" s="0" t="s">
        <v>121</v>
      </c>
      <c r="C117" s="0" t="n">
        <f aca="false">VLOOKUP(B117,'Team Data'!$A$2:$V$133,2,FALSE())</f>
        <v>1</v>
      </c>
      <c r="D117" s="0" t="n">
        <f aca="false">VLOOKUP(B117,'Team Data'!$A$2:$V$133,3,FALSE())</f>
        <v>11</v>
      </c>
      <c r="E117" s="2" t="n">
        <f aca="false">VLOOKUP(B117,'Team Data'!$A$2:$V$133,22,FALSE())</f>
        <v>-53.0778855638138</v>
      </c>
      <c r="F117" s="2" t="n">
        <f aca="false">IFERROR(E117/(C117+D117),0)</f>
        <v>-4.42315713031782</v>
      </c>
    </row>
    <row r="118" customFormat="false" ht="15" hidden="false" customHeight="false" outlineLevel="0" collapsed="false">
      <c r="A118" s="0" t="n">
        <f aca="false">RANK(E118,E$2:E$132)</f>
        <v>89</v>
      </c>
      <c r="B118" s="0" t="s">
        <v>122</v>
      </c>
      <c r="C118" s="0" t="n">
        <f aca="false">VLOOKUP(B118,'Team Data'!$A$2:$V$133,2,FALSE())</f>
        <v>5</v>
      </c>
      <c r="D118" s="0" t="n">
        <f aca="false">VLOOKUP(B118,'Team Data'!$A$2:$V$133,3,FALSE())</f>
        <v>7</v>
      </c>
      <c r="E118" s="2" t="n">
        <f aca="false">VLOOKUP(B118,'Team Data'!$A$2:$V$133,22,FALSE())</f>
        <v>0.0704262138481848</v>
      </c>
      <c r="F118" s="2" t="n">
        <f aca="false">IFERROR(E118/(C118+D118),0)</f>
        <v>0.0058688511540154</v>
      </c>
    </row>
    <row r="119" customFormat="false" ht="15" hidden="false" customHeight="false" outlineLevel="0" collapsed="false">
      <c r="A119" s="0" t="n">
        <f aca="false">RANK(E119,E$2:E$132)</f>
        <v>22</v>
      </c>
      <c r="B119" s="0" t="s">
        <v>123</v>
      </c>
      <c r="C119" s="0" t="n">
        <f aca="false">VLOOKUP(B119,'Team Data'!$A$2:$V$133,2,FALSE())</f>
        <v>11</v>
      </c>
      <c r="D119" s="0" t="n">
        <f aca="false">VLOOKUP(B119,'Team Data'!$A$2:$V$133,3,FALSE())</f>
        <v>3</v>
      </c>
      <c r="E119" s="2" t="n">
        <f aca="false">VLOOKUP(B119,'Team Data'!$A$2:$V$133,22,FALSE())</f>
        <v>55.9469523740047</v>
      </c>
      <c r="F119" s="2" t="n">
        <f aca="false">IFERROR(E119/(C119+D119),0)</f>
        <v>3.99621088385748</v>
      </c>
    </row>
    <row r="120" customFormat="false" ht="15" hidden="false" customHeight="false" outlineLevel="0" collapsed="false">
      <c r="A120" s="0" t="n">
        <f aca="false">RANK(E120,E$2:E$132)</f>
        <v>7</v>
      </c>
      <c r="B120" s="0" t="s">
        <v>124</v>
      </c>
      <c r="C120" s="0" t="n">
        <f aca="false">VLOOKUP(B120,'Team Data'!$A$2:$V$133,2,FALSE())</f>
        <v>10</v>
      </c>
      <c r="D120" s="0" t="n">
        <f aca="false">VLOOKUP(B120,'Team Data'!$A$2:$V$133,3,FALSE())</f>
        <v>4</v>
      </c>
      <c r="E120" s="2" t="n">
        <f aca="false">VLOOKUP(B120,'Team Data'!$A$2:$V$133,22,FALSE())</f>
        <v>77.8478659168217</v>
      </c>
      <c r="F120" s="2" t="n">
        <f aca="false">IFERROR(E120/(C120+D120),0)</f>
        <v>5.56056185120155</v>
      </c>
    </row>
    <row r="121" customFormat="false" ht="15" hidden="false" customHeight="false" outlineLevel="0" collapsed="false">
      <c r="A121" s="0" t="n">
        <f aca="false">RANK(E121,E$2:E$132)</f>
        <v>111</v>
      </c>
      <c r="B121" s="0" t="s">
        <v>125</v>
      </c>
      <c r="C121" s="0" t="n">
        <f aca="false">VLOOKUP(B121,'Team Data'!$A$2:$V$133,2,FALSE())</f>
        <v>6</v>
      </c>
      <c r="D121" s="0" t="n">
        <f aca="false">VLOOKUP(B121,'Team Data'!$A$2:$V$133,3,FALSE())</f>
        <v>7</v>
      </c>
      <c r="E121" s="2" t="n">
        <f aca="false">VLOOKUP(B121,'Team Data'!$A$2:$V$133,22,FALSE())</f>
        <v>-21.5431414329847</v>
      </c>
      <c r="F121" s="2" t="n">
        <f aca="false">IFERROR(E121/(C121+D121),0)</f>
        <v>-1.65716472561421</v>
      </c>
    </row>
    <row r="122" customFormat="false" ht="15" hidden="false" customHeight="false" outlineLevel="0" collapsed="false">
      <c r="A122" s="0" t="n">
        <f aca="false">RANK(E122,E$2:E$132)</f>
        <v>100</v>
      </c>
      <c r="B122" s="0" t="s">
        <v>126</v>
      </c>
      <c r="C122" s="0" t="n">
        <f aca="false">VLOOKUP(B122,'Team Data'!$A$2:$V$133,2,FALSE())</f>
        <v>5</v>
      </c>
      <c r="D122" s="0" t="n">
        <f aca="false">VLOOKUP(B122,'Team Data'!$A$2:$V$133,3,FALSE())</f>
        <v>7</v>
      </c>
      <c r="E122" s="2" t="n">
        <f aca="false">VLOOKUP(B122,'Team Data'!$A$2:$V$133,22,FALSE())</f>
        <v>-10.2446944949163</v>
      </c>
      <c r="F122" s="2" t="n">
        <f aca="false">IFERROR(E122/(C122+D122),0)</f>
        <v>-0.853724541243027</v>
      </c>
    </row>
    <row r="123" customFormat="false" ht="15" hidden="false" customHeight="false" outlineLevel="0" collapsed="false">
      <c r="A123" s="0" t="n">
        <f aca="false">RANK(E123,E$2:E$132)</f>
        <v>95</v>
      </c>
      <c r="B123" s="0" t="s">
        <v>127</v>
      </c>
      <c r="C123" s="0" t="n">
        <f aca="false">VLOOKUP(B123,'Team Data'!$A$2:$V$133,2,FALSE())</f>
        <v>3</v>
      </c>
      <c r="D123" s="0" t="n">
        <f aca="false">VLOOKUP(B123,'Team Data'!$A$2:$V$133,3,FALSE())</f>
        <v>7</v>
      </c>
      <c r="E123" s="2" t="n">
        <f aca="false">VLOOKUP(B123,'Team Data'!$A$2:$V$133,22,FALSE())</f>
        <v>-6.38690243349209</v>
      </c>
      <c r="F123" s="2" t="n">
        <f aca="false">IFERROR(E123/(C123+D123),0)</f>
        <v>-0.638690243349209</v>
      </c>
    </row>
    <row r="124" customFormat="false" ht="15" hidden="false" customHeight="false" outlineLevel="0" collapsed="false">
      <c r="A124" s="0" t="n">
        <f aca="false">RANK(E124,E$2:E$132)</f>
        <v>107</v>
      </c>
      <c r="B124" s="0" t="s">
        <v>128</v>
      </c>
      <c r="C124" s="0" t="n">
        <f aca="false">VLOOKUP(B124,'Team Data'!$A$2:$V$133,2,FALSE())</f>
        <v>3</v>
      </c>
      <c r="D124" s="0" t="n">
        <f aca="false">VLOOKUP(B124,'Team Data'!$A$2:$V$133,3,FALSE())</f>
        <v>8</v>
      </c>
      <c r="E124" s="2" t="n">
        <f aca="false">VLOOKUP(B124,'Team Data'!$A$2:$V$133,22,FALSE())</f>
        <v>-16.4270469865834</v>
      </c>
      <c r="F124" s="2" t="n">
        <f aca="false">IFERROR(E124/(C124+D124),0)</f>
        <v>-1.49336790787122</v>
      </c>
    </row>
    <row r="125" customFormat="false" ht="15" hidden="false" customHeight="false" outlineLevel="0" collapsed="false">
      <c r="A125" s="0" t="n">
        <f aca="false">RANK(E125,E$2:E$132)</f>
        <v>46</v>
      </c>
      <c r="B125" s="0" t="s">
        <v>129</v>
      </c>
      <c r="C125" s="0" t="n">
        <f aca="false">VLOOKUP(B125,'Team Data'!$A$2:$V$133,2,FALSE())</f>
        <v>8</v>
      </c>
      <c r="D125" s="0" t="n">
        <f aca="false">VLOOKUP(B125,'Team Data'!$A$2:$V$133,3,FALSE())</f>
        <v>5</v>
      </c>
      <c r="E125" s="2" t="n">
        <f aca="false">VLOOKUP(B125,'Team Data'!$A$2:$V$133,22,FALSE())</f>
        <v>35.9449611018826</v>
      </c>
      <c r="F125" s="2" t="n">
        <f aca="false">IFERROR(E125/(C125+D125),0)</f>
        <v>2.76499700783712</v>
      </c>
    </row>
    <row r="126" customFormat="false" ht="15" hidden="false" customHeight="false" outlineLevel="0" collapsed="false">
      <c r="A126" s="0" t="n">
        <f aca="false">RANK(E126,E$2:E$132)</f>
        <v>18</v>
      </c>
      <c r="B126" s="0" t="s">
        <v>130</v>
      </c>
      <c r="C126" s="0" t="n">
        <f aca="false">VLOOKUP(B126,'Team Data'!$A$2:$V$133,2,FALSE())</f>
        <v>11</v>
      </c>
      <c r="D126" s="0" t="n">
        <f aca="false">VLOOKUP(B126,'Team Data'!$A$2:$V$133,3,FALSE())</f>
        <v>2</v>
      </c>
      <c r="E126" s="2" t="n">
        <f aca="false">VLOOKUP(B126,'Team Data'!$A$2:$V$133,22,FALSE())</f>
        <v>61.6035339723315</v>
      </c>
      <c r="F126" s="2" t="n">
        <f aca="false">IFERROR(E126/(C126+D126),0)</f>
        <v>4.73873338248704</v>
      </c>
    </row>
    <row r="127" customFormat="false" ht="15" hidden="false" customHeight="false" outlineLevel="0" collapsed="false">
      <c r="A127" s="0" t="n">
        <f aca="false">RANK(E127,E$2:E$132)</f>
        <v>64</v>
      </c>
      <c r="B127" s="0" t="s">
        <v>131</v>
      </c>
      <c r="C127" s="0" t="n">
        <f aca="false">VLOOKUP(B127,'Team Data'!$A$2:$V$133,2,FALSE())</f>
        <v>7</v>
      </c>
      <c r="D127" s="0" t="n">
        <f aca="false">VLOOKUP(B127,'Team Data'!$A$2:$V$133,3,FALSE())</f>
        <v>6</v>
      </c>
      <c r="E127" s="2" t="n">
        <f aca="false">VLOOKUP(B127,'Team Data'!$A$2:$V$133,22,FALSE())</f>
        <v>20.7278089825931</v>
      </c>
      <c r="F127" s="2" t="n">
        <f aca="false">IFERROR(E127/(C127+D127),0)</f>
        <v>1.59444684481485</v>
      </c>
    </row>
    <row r="128" customFormat="false" ht="15" hidden="false" customHeight="false" outlineLevel="0" collapsed="false">
      <c r="A128" s="0" t="n">
        <f aca="false">RANK(E128,E$2:E$132)</f>
        <v>98</v>
      </c>
      <c r="B128" s="0" t="s">
        <v>132</v>
      </c>
      <c r="C128" s="0" t="n">
        <f aca="false">VLOOKUP(B128,'Team Data'!$A$2:$V$133,2,FALSE())</f>
        <v>5</v>
      </c>
      <c r="D128" s="0" t="n">
        <f aca="false">VLOOKUP(B128,'Team Data'!$A$2:$V$133,3,FALSE())</f>
        <v>7</v>
      </c>
      <c r="E128" s="2" t="n">
        <f aca="false">VLOOKUP(B128,'Team Data'!$A$2:$V$133,22,FALSE())</f>
        <v>-7.28800973298865</v>
      </c>
      <c r="F128" s="2" t="n">
        <f aca="false">IFERROR(E128/(C128+D128),0)</f>
        <v>-0.607334144415721</v>
      </c>
    </row>
    <row r="129" customFormat="false" ht="15" hidden="false" customHeight="false" outlineLevel="0" collapsed="false">
      <c r="A129" s="0" t="n">
        <f aca="false">RANK(E129,E$2:E$132)</f>
        <v>37</v>
      </c>
      <c r="B129" s="0" t="s">
        <v>133</v>
      </c>
      <c r="C129" s="0" t="n">
        <f aca="false">VLOOKUP(B129,'Team Data'!$A$2:$V$133,2,FALSE())</f>
        <v>9</v>
      </c>
      <c r="D129" s="0" t="n">
        <f aca="false">VLOOKUP(B129,'Team Data'!$A$2:$V$133,3,FALSE())</f>
        <v>5</v>
      </c>
      <c r="E129" s="2" t="n">
        <f aca="false">VLOOKUP(B129,'Team Data'!$A$2:$V$133,22,FALSE())</f>
        <v>43.1646080592388</v>
      </c>
      <c r="F129" s="2" t="n">
        <f aca="false">IFERROR(E129/(C129+D129),0)</f>
        <v>3.08318628994563</v>
      </c>
    </row>
    <row r="130" customFormat="false" ht="15" hidden="false" customHeight="false" outlineLevel="0" collapsed="false">
      <c r="A130" s="0" t="n">
        <f aca="false">RANK(E130,E$2:E$132)</f>
        <v>97</v>
      </c>
      <c r="B130" s="0" t="s">
        <v>134</v>
      </c>
      <c r="C130" s="0" t="n">
        <f aca="false">VLOOKUP(B130,'Team Data'!$A$2:$V$133,2,FALSE())</f>
        <v>5</v>
      </c>
      <c r="D130" s="0" t="n">
        <f aca="false">VLOOKUP(B130,'Team Data'!$A$2:$V$133,3,FALSE())</f>
        <v>7</v>
      </c>
      <c r="E130" s="2" t="n">
        <f aca="false">VLOOKUP(B130,'Team Data'!$A$2:$V$133,22,FALSE())</f>
        <v>-7.19782669642802</v>
      </c>
      <c r="F130" s="2" t="n">
        <f aca="false">IFERROR(E130/(C130+D130),0)</f>
        <v>-0.599818891369002</v>
      </c>
    </row>
    <row r="131" customFormat="false" ht="15" hidden="false" customHeight="false" outlineLevel="0" collapsed="false">
      <c r="A131" s="0" t="n">
        <f aca="false">RANK(E131,E$2:E$132)</f>
        <v>50</v>
      </c>
      <c r="B131" s="0" t="s">
        <v>135</v>
      </c>
      <c r="C131" s="0" t="n">
        <f aca="false">VLOOKUP(B131,'Team Data'!$A$2:$V$133,2,FALSE())</f>
        <v>7</v>
      </c>
      <c r="D131" s="0" t="n">
        <f aca="false">VLOOKUP(B131,'Team Data'!$A$2:$V$133,3,FALSE())</f>
        <v>6</v>
      </c>
      <c r="E131" s="2" t="n">
        <f aca="false">VLOOKUP(B131,'Team Data'!$A$2:$V$133,22,FALSE())</f>
        <v>32.2163011463895</v>
      </c>
      <c r="F131" s="2" t="n">
        <f aca="false">IFERROR(E131/(C131+D131),0)</f>
        <v>2.47817701126073</v>
      </c>
    </row>
    <row r="132" customFormat="false" ht="15" hidden="false" customHeight="false" outlineLevel="0" collapsed="false">
      <c r="A132" s="0" t="n">
        <f aca="false">RANK(E132,E$2:E$132)</f>
        <v>90</v>
      </c>
      <c r="B132" s="0" t="s">
        <v>136</v>
      </c>
      <c r="C132" s="0" t="n">
        <f aca="false">VLOOKUP(B132,'Team Data'!$A$2:$V$133,2,FALSE())</f>
        <v>7</v>
      </c>
      <c r="D132" s="0" t="n">
        <f aca="false">VLOOKUP(B132,'Team Data'!$A$2:$V$133,3,FALSE())</f>
        <v>6</v>
      </c>
      <c r="E132" s="2" t="n">
        <f aca="false">VLOOKUP(B132,'Team Data'!$A$2:$V$133,22,FALSE())</f>
        <v>-0.134421269199972</v>
      </c>
      <c r="F132" s="2" t="n">
        <f aca="false">IFERROR(E132/(C132+D132),0)</f>
        <v>-0.0103400976307671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</row>
    <row r="2" customFormat="false" ht="15" hidden="false" customHeight="false" outlineLevel="0" collapsed="false">
      <c r="A2" s="0" t="n">
        <v>1</v>
      </c>
      <c r="B2" s="0" t="s">
        <v>39</v>
      </c>
      <c r="C2" s="0" t="s">
        <v>142</v>
      </c>
      <c r="D2" s="3" t="n">
        <v>36.1</v>
      </c>
      <c r="E2" s="3" t="n">
        <v>9.74</v>
      </c>
      <c r="F2" s="0" t="n">
        <v>1</v>
      </c>
      <c r="G2" s="0" t="n">
        <v>15</v>
      </c>
    </row>
    <row r="3" customFormat="false" ht="15" hidden="false" customHeight="false" outlineLevel="0" collapsed="false">
      <c r="A3" s="0" t="n">
        <v>2</v>
      </c>
      <c r="B3" s="0" t="s">
        <v>83</v>
      </c>
      <c r="C3" s="0" t="s">
        <v>143</v>
      </c>
      <c r="D3" s="3" t="n">
        <v>31.64</v>
      </c>
      <c r="E3" s="3" t="n">
        <v>6.13</v>
      </c>
      <c r="F3" s="0" t="n">
        <v>4</v>
      </c>
      <c r="G3" s="0" t="n">
        <v>13</v>
      </c>
    </row>
    <row r="4" customFormat="false" ht="15" hidden="false" customHeight="false" outlineLevel="0" collapsed="false">
      <c r="A4" s="0" t="n">
        <v>3</v>
      </c>
      <c r="B4" s="0" t="s">
        <v>8</v>
      </c>
      <c r="C4" s="0" t="s">
        <v>142</v>
      </c>
      <c r="D4" s="3" t="n">
        <v>29.85</v>
      </c>
      <c r="E4" s="3" t="n">
        <v>6.07</v>
      </c>
      <c r="F4" s="0" t="n">
        <v>5</v>
      </c>
      <c r="G4" s="0" t="n">
        <v>13</v>
      </c>
    </row>
    <row r="5" customFormat="false" ht="15" hidden="false" customHeight="false" outlineLevel="0" collapsed="false">
      <c r="A5" s="0" t="n">
        <v>4</v>
      </c>
      <c r="B5" s="0" t="s">
        <v>65</v>
      </c>
      <c r="C5" s="0" t="s">
        <v>143</v>
      </c>
      <c r="D5" s="3" t="n">
        <v>28.67</v>
      </c>
      <c r="E5" s="3" t="n">
        <v>6.85</v>
      </c>
      <c r="F5" s="0" t="n">
        <v>3</v>
      </c>
      <c r="G5" s="0" t="n">
        <v>14</v>
      </c>
    </row>
    <row r="6" customFormat="false" ht="15" hidden="false" customHeight="false" outlineLevel="0" collapsed="false">
      <c r="A6" s="0" t="n">
        <v>5</v>
      </c>
      <c r="B6" s="0" t="s">
        <v>105</v>
      </c>
      <c r="C6" s="0" t="s">
        <v>142</v>
      </c>
      <c r="D6" s="3" t="n">
        <v>24.02</v>
      </c>
      <c r="E6" s="3" t="n">
        <v>5.8</v>
      </c>
      <c r="F6" s="0" t="n">
        <v>8</v>
      </c>
      <c r="G6" s="0" t="n">
        <v>13</v>
      </c>
    </row>
    <row r="7" customFormat="false" ht="15" hidden="false" customHeight="false" outlineLevel="0" collapsed="false">
      <c r="A7" s="0" t="n">
        <v>6</v>
      </c>
      <c r="B7" s="0" t="s">
        <v>90</v>
      </c>
      <c r="C7" s="0" t="s">
        <v>143</v>
      </c>
      <c r="D7" s="3" t="n">
        <v>23.74</v>
      </c>
      <c r="E7" s="3" t="n">
        <v>5.9</v>
      </c>
      <c r="F7" s="0" t="n">
        <v>7</v>
      </c>
      <c r="G7" s="0" t="n">
        <v>13</v>
      </c>
    </row>
    <row r="8" customFormat="false" ht="15" hidden="false" customHeight="false" outlineLevel="0" collapsed="false">
      <c r="A8" s="0" t="n">
        <v>7</v>
      </c>
      <c r="B8" s="0" t="s">
        <v>124</v>
      </c>
      <c r="C8" s="0" t="s">
        <v>144</v>
      </c>
      <c r="D8" s="3" t="n">
        <v>20.43</v>
      </c>
      <c r="E8" s="3" t="n">
        <v>4.09</v>
      </c>
      <c r="F8" s="0" t="n">
        <v>19</v>
      </c>
      <c r="G8" s="0" t="n">
        <v>14</v>
      </c>
    </row>
    <row r="9" customFormat="false" ht="15" hidden="false" customHeight="false" outlineLevel="0" collapsed="false">
      <c r="A9" s="0" t="n">
        <v>8</v>
      </c>
      <c r="B9" s="0" t="s">
        <v>106</v>
      </c>
      <c r="C9" s="0" t="s">
        <v>142</v>
      </c>
      <c r="D9" s="3" t="n">
        <v>19.67</v>
      </c>
      <c r="E9" s="3" t="n">
        <v>4.26</v>
      </c>
      <c r="F9" s="0" t="n">
        <v>18</v>
      </c>
      <c r="G9" s="0" t="n">
        <v>13</v>
      </c>
    </row>
    <row r="10" customFormat="false" ht="15" hidden="false" customHeight="false" outlineLevel="0" collapsed="false">
      <c r="A10" s="0" t="n">
        <v>9</v>
      </c>
      <c r="B10" s="0" t="s">
        <v>51</v>
      </c>
      <c r="C10" s="0" t="s">
        <v>144</v>
      </c>
      <c r="D10" s="3" t="n">
        <v>18.31</v>
      </c>
      <c r="E10" s="3" t="n">
        <v>6.02</v>
      </c>
      <c r="F10" s="0" t="n">
        <v>6</v>
      </c>
      <c r="G10" s="0" t="n">
        <v>14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s">
        <v>145</v>
      </c>
      <c r="D11" s="3" t="n">
        <v>17.57</v>
      </c>
      <c r="E11" s="3" t="n">
        <v>4.9</v>
      </c>
      <c r="F11" s="0" t="n">
        <v>12</v>
      </c>
      <c r="G11" s="0" t="n">
        <v>14</v>
      </c>
    </row>
    <row r="12" customFormat="false" ht="15" hidden="false" customHeight="false" outlineLevel="0" collapsed="false">
      <c r="A12" s="0" t="n">
        <v>11</v>
      </c>
      <c r="B12" s="0" t="s">
        <v>103</v>
      </c>
      <c r="C12" s="0" t="s">
        <v>144</v>
      </c>
      <c r="D12" s="3" t="n">
        <v>17.46</v>
      </c>
      <c r="E12" s="3" t="n">
        <v>8.52</v>
      </c>
      <c r="F12" s="0" t="n">
        <v>2</v>
      </c>
      <c r="G12" s="0" t="n">
        <v>15</v>
      </c>
    </row>
    <row r="13" customFormat="false" ht="15" hidden="false" customHeight="false" outlineLevel="0" collapsed="false">
      <c r="A13" s="0" t="n">
        <v>12</v>
      </c>
      <c r="B13" s="0" t="s">
        <v>54</v>
      </c>
      <c r="C13" s="0" t="s">
        <v>142</v>
      </c>
      <c r="D13" s="3" t="n">
        <v>17.13</v>
      </c>
      <c r="E13" s="3" t="n">
        <v>5.62</v>
      </c>
      <c r="F13" s="0" t="n">
        <v>9</v>
      </c>
      <c r="G13" s="0" t="n">
        <v>14</v>
      </c>
    </row>
    <row r="14" customFormat="false" ht="15" hidden="false" customHeight="false" outlineLevel="0" collapsed="false">
      <c r="A14" s="0" t="n">
        <v>13</v>
      </c>
      <c r="B14" s="0" t="s">
        <v>81</v>
      </c>
      <c r="C14" s="0" t="s">
        <v>146</v>
      </c>
      <c r="D14" s="3" t="n">
        <v>15.71</v>
      </c>
      <c r="E14" s="3" t="n">
        <v>3.4</v>
      </c>
      <c r="F14" s="0" t="n">
        <v>22</v>
      </c>
      <c r="G14" s="0" t="n">
        <v>13</v>
      </c>
    </row>
    <row r="15" customFormat="false" ht="15" hidden="false" customHeight="false" outlineLevel="0" collapsed="false">
      <c r="A15" s="0" t="n">
        <v>14</v>
      </c>
      <c r="B15" s="0" t="s">
        <v>88</v>
      </c>
      <c r="C15" s="0" t="s">
        <v>143</v>
      </c>
      <c r="D15" s="3" t="n">
        <v>15.11</v>
      </c>
      <c r="E15" s="3" t="n">
        <v>4.44</v>
      </c>
      <c r="F15" s="0" t="n">
        <v>16</v>
      </c>
      <c r="G15" s="0" t="n">
        <v>13</v>
      </c>
    </row>
    <row r="16" customFormat="false" ht="15" hidden="false" customHeight="false" outlineLevel="0" collapsed="false">
      <c r="A16" s="0" t="n">
        <v>15</v>
      </c>
      <c r="B16" s="0" t="s">
        <v>37</v>
      </c>
      <c r="C16" s="0" t="s">
        <v>145</v>
      </c>
      <c r="D16" s="3" t="n">
        <v>15.1</v>
      </c>
      <c r="E16" s="3" t="n">
        <v>4.61</v>
      </c>
      <c r="F16" s="0" t="n">
        <v>13</v>
      </c>
      <c r="G16" s="0" t="n">
        <v>13</v>
      </c>
    </row>
    <row r="17" customFormat="false" ht="15" hidden="false" customHeight="false" outlineLevel="0" collapsed="false">
      <c r="A17" s="0" t="n">
        <v>16</v>
      </c>
      <c r="B17" s="0" t="s">
        <v>89</v>
      </c>
      <c r="C17" s="0" t="s">
        <v>147</v>
      </c>
      <c r="D17" s="3" t="n">
        <v>14.24</v>
      </c>
      <c r="E17" s="3" t="n">
        <v>4.48</v>
      </c>
      <c r="F17" s="0" t="n">
        <v>15</v>
      </c>
      <c r="G17" s="0" t="n">
        <v>13</v>
      </c>
    </row>
    <row r="18" customFormat="false" ht="15" hidden="false" customHeight="false" outlineLevel="0" collapsed="false">
      <c r="A18" s="0" t="n">
        <v>17</v>
      </c>
      <c r="B18" s="0" t="s">
        <v>68</v>
      </c>
      <c r="C18" s="0" t="s">
        <v>143</v>
      </c>
      <c r="D18" s="3" t="n">
        <v>14.12</v>
      </c>
      <c r="E18" s="3" t="n">
        <v>2.56</v>
      </c>
      <c r="F18" s="0" t="n">
        <v>30</v>
      </c>
      <c r="G18" s="0" t="n">
        <v>13</v>
      </c>
    </row>
    <row r="19" customFormat="false" ht="15" hidden="false" customHeight="false" outlineLevel="0" collapsed="false">
      <c r="A19" s="0" t="n">
        <v>18</v>
      </c>
      <c r="B19" s="0" t="s">
        <v>69</v>
      </c>
      <c r="C19" s="0" t="s">
        <v>142</v>
      </c>
      <c r="D19" s="3" t="n">
        <v>14.1</v>
      </c>
      <c r="E19" s="3" t="n">
        <v>4.41</v>
      </c>
      <c r="F19" s="0" t="n">
        <v>17</v>
      </c>
      <c r="G19" s="0" t="n">
        <v>13</v>
      </c>
    </row>
    <row r="20" customFormat="false" ht="15" hidden="false" customHeight="false" outlineLevel="0" collapsed="false">
      <c r="A20" s="0" t="n">
        <v>19</v>
      </c>
      <c r="B20" s="0" t="s">
        <v>120</v>
      </c>
      <c r="C20" s="0" t="s">
        <v>143</v>
      </c>
      <c r="D20" s="3" t="n">
        <v>13.68</v>
      </c>
      <c r="E20" s="3" t="n">
        <v>5.06</v>
      </c>
      <c r="F20" s="0" t="n">
        <v>11</v>
      </c>
      <c r="G20" s="0" t="n">
        <v>14</v>
      </c>
    </row>
    <row r="21" customFormat="false" ht="15" hidden="false" customHeight="false" outlineLevel="0" collapsed="false">
      <c r="A21" s="0" t="n">
        <v>20</v>
      </c>
      <c r="B21" s="0" t="s">
        <v>45</v>
      </c>
      <c r="C21" s="0" t="s">
        <v>143</v>
      </c>
      <c r="D21" s="3" t="n">
        <v>12.85</v>
      </c>
      <c r="E21" s="3" t="n">
        <v>2.4</v>
      </c>
      <c r="F21" s="0" t="n">
        <v>33</v>
      </c>
      <c r="G21" s="0" t="n">
        <v>13</v>
      </c>
    </row>
    <row r="22" customFormat="false" ht="15" hidden="false" customHeight="false" outlineLevel="0" collapsed="false">
      <c r="A22" s="0" t="n">
        <v>21</v>
      </c>
      <c r="B22" s="0" t="s">
        <v>84</v>
      </c>
      <c r="C22" s="0" t="s">
        <v>142</v>
      </c>
      <c r="D22" s="3" t="n">
        <v>12.81</v>
      </c>
      <c r="E22" s="3" t="n">
        <v>1.7</v>
      </c>
      <c r="F22" s="0" t="n">
        <v>46</v>
      </c>
      <c r="G22" s="0" t="n">
        <v>13</v>
      </c>
    </row>
    <row r="23" customFormat="false" ht="15" hidden="false" customHeight="false" outlineLevel="0" collapsed="false">
      <c r="A23" s="0" t="n">
        <v>22</v>
      </c>
      <c r="B23" s="0" t="s">
        <v>47</v>
      </c>
      <c r="C23" s="0" t="s">
        <v>143</v>
      </c>
      <c r="D23" s="3" t="n">
        <v>12.38</v>
      </c>
      <c r="E23" s="3" t="n">
        <v>2.9</v>
      </c>
      <c r="F23" s="0" t="n">
        <v>26</v>
      </c>
      <c r="G23" s="0" t="n">
        <v>13</v>
      </c>
    </row>
    <row r="24" customFormat="false" ht="15" hidden="false" customHeight="false" outlineLevel="0" collapsed="false">
      <c r="A24" s="0" t="n">
        <v>23</v>
      </c>
      <c r="B24" s="0" t="s">
        <v>59</v>
      </c>
      <c r="C24" s="0" t="s">
        <v>145</v>
      </c>
      <c r="D24" s="3" t="n">
        <v>11.92</v>
      </c>
      <c r="E24" s="3" t="n">
        <v>3.07</v>
      </c>
      <c r="F24" s="0" t="n">
        <v>23</v>
      </c>
      <c r="G24" s="0" t="n">
        <v>13</v>
      </c>
    </row>
    <row r="25" customFormat="false" ht="15" hidden="false" customHeight="false" outlineLevel="0" collapsed="false">
      <c r="A25" s="0" t="n">
        <v>24</v>
      </c>
      <c r="B25" s="0" t="s">
        <v>130</v>
      </c>
      <c r="C25" s="0" t="s">
        <v>143</v>
      </c>
      <c r="D25" s="3" t="n">
        <v>11.81</v>
      </c>
      <c r="E25" s="3" t="n">
        <v>4.55</v>
      </c>
      <c r="F25" s="0" t="n">
        <v>14</v>
      </c>
      <c r="G25" s="0" t="n">
        <v>13</v>
      </c>
    </row>
    <row r="26" customFormat="false" ht="15" hidden="false" customHeight="false" outlineLevel="0" collapsed="false">
      <c r="A26" s="0" t="n">
        <v>25</v>
      </c>
      <c r="B26" s="0" t="s">
        <v>87</v>
      </c>
      <c r="C26" s="0" t="s">
        <v>142</v>
      </c>
      <c r="D26" s="3" t="n">
        <v>11.59</v>
      </c>
      <c r="E26" s="3" t="n">
        <v>2.83</v>
      </c>
      <c r="F26" s="0" t="n">
        <v>28</v>
      </c>
      <c r="G26" s="0" t="n">
        <v>13</v>
      </c>
    </row>
    <row r="27" customFormat="false" ht="15" hidden="false" customHeight="false" outlineLevel="0" collapsed="false">
      <c r="A27" s="0" t="n">
        <v>26</v>
      </c>
      <c r="B27" s="0" t="s">
        <v>18</v>
      </c>
      <c r="C27" s="0" t="s">
        <v>144</v>
      </c>
      <c r="D27" s="3" t="n">
        <v>11.1</v>
      </c>
      <c r="E27" s="3" t="n">
        <v>1.52</v>
      </c>
      <c r="F27" s="0" t="n">
        <v>50</v>
      </c>
      <c r="G27" s="0" t="n">
        <v>13</v>
      </c>
    </row>
    <row r="28" customFormat="false" ht="15" hidden="false" customHeight="false" outlineLevel="0" collapsed="false">
      <c r="A28" s="0" t="n">
        <v>27</v>
      </c>
      <c r="B28" s="0" t="s">
        <v>112</v>
      </c>
      <c r="C28" s="0" t="s">
        <v>148</v>
      </c>
      <c r="D28" s="3" t="n">
        <v>11.08</v>
      </c>
      <c r="E28" s="3" t="n">
        <v>5.22</v>
      </c>
      <c r="F28" s="0" t="n">
        <v>10</v>
      </c>
      <c r="G28" s="0" t="n">
        <v>14</v>
      </c>
    </row>
    <row r="29" customFormat="false" ht="15" hidden="false" customHeight="false" outlineLevel="0" collapsed="false">
      <c r="A29" s="0" t="n">
        <v>28</v>
      </c>
      <c r="B29" s="0" t="s">
        <v>135</v>
      </c>
      <c r="C29" s="0" t="s">
        <v>143</v>
      </c>
      <c r="D29" s="3" t="n">
        <v>11.02</v>
      </c>
      <c r="E29" s="3" t="n">
        <v>1.78</v>
      </c>
      <c r="F29" s="0" t="n">
        <v>45</v>
      </c>
      <c r="G29" s="0" t="n">
        <v>13</v>
      </c>
    </row>
    <row r="30" customFormat="false" ht="15" hidden="false" customHeight="false" outlineLevel="0" collapsed="false">
      <c r="A30" s="0" t="n">
        <v>29</v>
      </c>
      <c r="B30" s="0" t="s">
        <v>26</v>
      </c>
      <c r="C30" s="0" t="s">
        <v>144</v>
      </c>
      <c r="D30" s="3" t="n">
        <v>10.84</v>
      </c>
      <c r="E30" s="3" t="n">
        <v>2.07</v>
      </c>
      <c r="F30" s="0" t="n">
        <v>40</v>
      </c>
      <c r="G30" s="0" t="n">
        <v>13</v>
      </c>
    </row>
    <row r="31" customFormat="false" ht="15" hidden="false" customHeight="false" outlineLevel="0" collapsed="false">
      <c r="A31" s="0" t="n">
        <v>30</v>
      </c>
      <c r="B31" s="0" t="s">
        <v>129</v>
      </c>
      <c r="C31" s="0" t="s">
        <v>145</v>
      </c>
      <c r="D31" s="3" t="n">
        <v>10.7</v>
      </c>
      <c r="E31" s="3" t="n">
        <v>2.14</v>
      </c>
      <c r="F31" s="0" t="n">
        <v>39</v>
      </c>
      <c r="G31" s="0" t="n">
        <v>13</v>
      </c>
    </row>
    <row r="32" customFormat="false" ht="15" hidden="false" customHeight="false" outlineLevel="0" collapsed="false">
      <c r="A32" s="0" t="n">
        <v>31</v>
      </c>
      <c r="B32" s="0" t="s">
        <v>116</v>
      </c>
      <c r="C32" s="0" t="s">
        <v>143</v>
      </c>
      <c r="D32" s="3" t="n">
        <v>10.3</v>
      </c>
      <c r="E32" s="3" t="n">
        <v>2.26</v>
      </c>
      <c r="F32" s="0" t="n">
        <v>37</v>
      </c>
      <c r="G32" s="0" t="n">
        <v>13</v>
      </c>
    </row>
    <row r="33" customFormat="false" ht="15" hidden="false" customHeight="false" outlineLevel="0" collapsed="false">
      <c r="A33" s="0" t="n">
        <v>32</v>
      </c>
      <c r="B33" s="0" t="s">
        <v>12</v>
      </c>
      <c r="C33" s="0" t="s">
        <v>142</v>
      </c>
      <c r="D33" s="3" t="n">
        <v>10.12</v>
      </c>
      <c r="E33" s="3" t="n">
        <v>2.71</v>
      </c>
      <c r="F33" s="0" t="n">
        <v>29</v>
      </c>
      <c r="G33" s="0" t="n">
        <v>13</v>
      </c>
    </row>
    <row r="34" customFormat="false" ht="15" hidden="false" customHeight="false" outlineLevel="0" collapsed="false">
      <c r="A34" s="0" t="n">
        <v>33</v>
      </c>
      <c r="B34" s="0" t="s">
        <v>91</v>
      </c>
      <c r="C34" s="0" t="s">
        <v>145</v>
      </c>
      <c r="D34" s="3" t="n">
        <v>9.94</v>
      </c>
      <c r="E34" s="3" t="n">
        <v>2.55</v>
      </c>
      <c r="F34" s="0" t="n">
        <v>31</v>
      </c>
      <c r="G34" s="0" t="n">
        <v>13</v>
      </c>
    </row>
    <row r="35" customFormat="false" ht="15" hidden="false" customHeight="false" outlineLevel="0" collapsed="false">
      <c r="A35" s="0" t="n">
        <v>34</v>
      </c>
      <c r="B35" s="0" t="s">
        <v>85</v>
      </c>
      <c r="C35" s="0" t="s">
        <v>144</v>
      </c>
      <c r="D35" s="3" t="n">
        <v>9.71</v>
      </c>
      <c r="E35" s="3" t="n">
        <v>2.34</v>
      </c>
      <c r="F35" s="0" t="n">
        <v>35</v>
      </c>
      <c r="G35" s="0" t="n">
        <v>13</v>
      </c>
    </row>
    <row r="36" customFormat="false" ht="15" hidden="false" customHeight="false" outlineLevel="0" collapsed="false">
      <c r="A36" s="0" t="n">
        <v>35</v>
      </c>
      <c r="B36" s="0" t="s">
        <v>6</v>
      </c>
      <c r="C36" s="0" t="s">
        <v>149</v>
      </c>
      <c r="D36" s="3" t="n">
        <v>9.43</v>
      </c>
      <c r="E36" s="3" t="n">
        <v>1.21</v>
      </c>
      <c r="F36" s="0" t="n">
        <v>57</v>
      </c>
      <c r="G36" s="0" t="n">
        <v>13</v>
      </c>
    </row>
    <row r="37" customFormat="false" ht="15" hidden="false" customHeight="false" outlineLevel="0" collapsed="false">
      <c r="A37" s="0" t="n">
        <v>36</v>
      </c>
      <c r="B37" s="0" t="s">
        <v>109</v>
      </c>
      <c r="C37" s="0" t="s">
        <v>144</v>
      </c>
      <c r="D37" s="3" t="n">
        <v>9.15</v>
      </c>
      <c r="E37" s="3" t="n">
        <v>4.03</v>
      </c>
      <c r="F37" s="0" t="n">
        <v>20</v>
      </c>
      <c r="G37" s="0" t="n">
        <v>13</v>
      </c>
    </row>
    <row r="38" customFormat="false" ht="15" hidden="false" customHeight="false" outlineLevel="0" collapsed="false">
      <c r="A38" s="0" t="n">
        <v>37</v>
      </c>
      <c r="B38" s="0" t="s">
        <v>48</v>
      </c>
      <c r="C38" s="0" t="s">
        <v>144</v>
      </c>
      <c r="D38" s="3" t="n">
        <v>8.97</v>
      </c>
      <c r="E38" s="3" t="n">
        <v>0.09</v>
      </c>
      <c r="F38" s="0" t="n">
        <v>75</v>
      </c>
      <c r="G38" s="0" t="n">
        <v>12</v>
      </c>
    </row>
    <row r="39" customFormat="false" ht="15" hidden="false" customHeight="false" outlineLevel="0" collapsed="false">
      <c r="A39" s="0" t="n">
        <v>38</v>
      </c>
      <c r="B39" s="0" t="s">
        <v>19</v>
      </c>
      <c r="C39" s="0" t="s">
        <v>147</v>
      </c>
      <c r="D39" s="3" t="n">
        <v>8.26</v>
      </c>
      <c r="E39" s="3" t="n">
        <v>1.57</v>
      </c>
      <c r="F39" s="0" t="n">
        <v>48</v>
      </c>
      <c r="G39" s="0" t="n">
        <v>14</v>
      </c>
    </row>
    <row r="40" customFormat="false" ht="15" hidden="false" customHeight="false" outlineLevel="0" collapsed="false">
      <c r="A40" s="0" t="n">
        <v>39</v>
      </c>
      <c r="B40" s="0" t="s">
        <v>61</v>
      </c>
      <c r="C40" s="0" t="s">
        <v>143</v>
      </c>
      <c r="D40" s="3" t="n">
        <v>8.11</v>
      </c>
      <c r="E40" s="3" t="n">
        <v>2.47</v>
      </c>
      <c r="F40" s="0" t="n">
        <v>32</v>
      </c>
      <c r="G40" s="0" t="n">
        <v>13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s">
        <v>147</v>
      </c>
      <c r="D41" s="3" t="n">
        <v>7.91</v>
      </c>
      <c r="E41" s="3" t="n">
        <v>1.69</v>
      </c>
      <c r="F41" s="0" t="n">
        <v>47</v>
      </c>
      <c r="G41" s="0" t="n">
        <v>14</v>
      </c>
    </row>
    <row r="42" customFormat="false" ht="15" hidden="false" customHeight="false" outlineLevel="0" collapsed="false">
      <c r="A42" s="0" t="n">
        <v>41</v>
      </c>
      <c r="B42" s="0" t="s">
        <v>35</v>
      </c>
      <c r="C42" s="0" t="s">
        <v>142</v>
      </c>
      <c r="D42" s="3" t="n">
        <v>7.85</v>
      </c>
      <c r="E42" s="3" t="n">
        <v>1.52</v>
      </c>
      <c r="F42" s="0" t="n">
        <v>49</v>
      </c>
      <c r="G42" s="0" t="n">
        <v>13</v>
      </c>
    </row>
    <row r="43" customFormat="false" ht="15" hidden="false" customHeight="false" outlineLevel="0" collapsed="false">
      <c r="A43" s="0" t="n">
        <v>42</v>
      </c>
      <c r="B43" s="0" t="s">
        <v>107</v>
      </c>
      <c r="C43" s="0" t="s">
        <v>142</v>
      </c>
      <c r="D43" s="3" t="n">
        <v>7.65</v>
      </c>
      <c r="E43" s="3" t="n">
        <v>0.32</v>
      </c>
      <c r="F43" s="0" t="n">
        <v>70</v>
      </c>
      <c r="G43" s="0" t="n">
        <v>12</v>
      </c>
    </row>
    <row r="44" customFormat="false" ht="15" hidden="false" customHeight="false" outlineLevel="0" collapsed="false">
      <c r="A44" s="0" t="n">
        <v>43</v>
      </c>
      <c r="B44" s="0" t="s">
        <v>71</v>
      </c>
      <c r="C44" s="0" t="s">
        <v>145</v>
      </c>
      <c r="D44" s="3" t="n">
        <v>7.53</v>
      </c>
      <c r="E44" s="3" t="n">
        <v>2.39</v>
      </c>
      <c r="F44" s="0" t="n">
        <v>34</v>
      </c>
      <c r="G44" s="0" t="n">
        <v>13</v>
      </c>
    </row>
    <row r="45" customFormat="false" ht="15" hidden="false" customHeight="false" outlineLevel="0" collapsed="false">
      <c r="A45" s="0" t="n">
        <v>44</v>
      </c>
      <c r="B45" s="0" t="s">
        <v>53</v>
      </c>
      <c r="C45" s="0" t="s">
        <v>142</v>
      </c>
      <c r="D45" s="3" t="n">
        <v>7.33</v>
      </c>
      <c r="E45" s="3" t="n">
        <v>1.84</v>
      </c>
      <c r="F45" s="0" t="n">
        <v>42</v>
      </c>
      <c r="G45" s="0" t="n">
        <v>13</v>
      </c>
    </row>
    <row r="46" customFormat="false" ht="15" hidden="false" customHeight="false" outlineLevel="0" collapsed="false">
      <c r="A46" s="0" t="n">
        <v>45</v>
      </c>
      <c r="B46" s="0" t="s">
        <v>115</v>
      </c>
      <c r="C46" s="0" t="s">
        <v>144</v>
      </c>
      <c r="D46" s="3" t="n">
        <v>7.25</v>
      </c>
      <c r="E46" s="3" t="n">
        <v>2.03</v>
      </c>
      <c r="F46" s="0" t="n">
        <v>41</v>
      </c>
      <c r="G46" s="0" t="n">
        <v>14</v>
      </c>
    </row>
    <row r="47" customFormat="false" ht="15" hidden="false" customHeight="false" outlineLevel="0" collapsed="false">
      <c r="A47" s="0" t="n">
        <v>46</v>
      </c>
      <c r="B47" s="0" t="s">
        <v>99</v>
      </c>
      <c r="C47" s="0" t="s">
        <v>142</v>
      </c>
      <c r="D47" s="3" t="n">
        <v>6.54</v>
      </c>
      <c r="E47" s="3" t="n">
        <v>2.94</v>
      </c>
      <c r="F47" s="0" t="n">
        <v>25</v>
      </c>
      <c r="G47" s="0" t="n">
        <v>13</v>
      </c>
    </row>
    <row r="48" customFormat="false" ht="15" hidden="false" customHeight="false" outlineLevel="0" collapsed="false">
      <c r="A48" s="0" t="n">
        <v>47</v>
      </c>
      <c r="B48" s="0" t="s">
        <v>92</v>
      </c>
      <c r="C48" s="0" t="s">
        <v>143</v>
      </c>
      <c r="D48" s="3" t="n">
        <v>6.37</v>
      </c>
      <c r="E48" s="3" t="n">
        <v>2.98</v>
      </c>
      <c r="F48" s="0" t="n">
        <v>24</v>
      </c>
      <c r="G48" s="0" t="n">
        <v>14</v>
      </c>
    </row>
    <row r="49" customFormat="false" ht="15" hidden="false" customHeight="false" outlineLevel="0" collapsed="false">
      <c r="A49" s="0" t="n">
        <v>48</v>
      </c>
      <c r="B49" s="0" t="s">
        <v>77</v>
      </c>
      <c r="C49" s="0" t="s">
        <v>145</v>
      </c>
      <c r="D49" s="3" t="n">
        <v>6.09</v>
      </c>
      <c r="E49" s="3" t="n">
        <v>2.88</v>
      </c>
      <c r="F49" s="0" t="n">
        <v>27</v>
      </c>
      <c r="G49" s="0" t="n">
        <v>14</v>
      </c>
    </row>
    <row r="50" customFormat="false" ht="15" hidden="false" customHeight="false" outlineLevel="0" collapsed="false">
      <c r="A50" s="0" t="n">
        <v>49</v>
      </c>
      <c r="B50" s="0" t="s">
        <v>123</v>
      </c>
      <c r="C50" s="0" t="s">
        <v>148</v>
      </c>
      <c r="D50" s="3" t="n">
        <v>6</v>
      </c>
      <c r="E50" s="3" t="n">
        <v>2.32</v>
      </c>
      <c r="F50" s="0" t="n">
        <v>36</v>
      </c>
      <c r="G50" s="0" t="n">
        <v>14</v>
      </c>
    </row>
    <row r="51" customFormat="false" ht="15" hidden="false" customHeight="false" outlineLevel="0" collapsed="false">
      <c r="A51" s="0" t="n">
        <v>50</v>
      </c>
      <c r="B51" s="0" t="s">
        <v>95</v>
      </c>
      <c r="C51" s="0" t="s">
        <v>145</v>
      </c>
      <c r="D51" s="3" t="n">
        <v>5.92</v>
      </c>
      <c r="E51" s="3" t="n">
        <v>1.23</v>
      </c>
      <c r="F51" s="0" t="n">
        <v>56</v>
      </c>
      <c r="G51" s="0" t="n">
        <v>13</v>
      </c>
    </row>
    <row r="52" customFormat="false" ht="15" hidden="false" customHeight="false" outlineLevel="0" collapsed="false">
      <c r="A52" s="0" t="n">
        <v>51</v>
      </c>
      <c r="B52" s="0" t="s">
        <v>15</v>
      </c>
      <c r="C52" s="0" t="s">
        <v>142</v>
      </c>
      <c r="D52" s="3" t="n">
        <v>5.74</v>
      </c>
      <c r="E52" s="3" t="n">
        <v>1.39</v>
      </c>
      <c r="F52" s="0" t="n">
        <v>53</v>
      </c>
      <c r="G52" s="0" t="n">
        <v>12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s">
        <v>144</v>
      </c>
      <c r="D53" s="3" t="n">
        <v>5.3</v>
      </c>
      <c r="E53" s="3" t="n">
        <v>1.47</v>
      </c>
      <c r="F53" s="0" t="n">
        <v>52</v>
      </c>
      <c r="G53" s="0" t="n">
        <v>13</v>
      </c>
    </row>
    <row r="54" customFormat="false" ht="15" hidden="false" customHeight="false" outlineLevel="0" collapsed="false">
      <c r="A54" s="0" t="n">
        <v>53</v>
      </c>
      <c r="B54" s="0" t="s">
        <v>62</v>
      </c>
      <c r="C54" s="0" t="s">
        <v>148</v>
      </c>
      <c r="D54" s="3" t="n">
        <v>5.27</v>
      </c>
      <c r="E54" s="3" t="n">
        <v>-0.06</v>
      </c>
      <c r="F54" s="0" t="n">
        <v>81</v>
      </c>
      <c r="G54" s="0" t="n">
        <v>13</v>
      </c>
    </row>
    <row r="55" customFormat="false" ht="15" hidden="false" customHeight="false" outlineLevel="0" collapsed="false">
      <c r="A55" s="0" t="n">
        <v>54</v>
      </c>
      <c r="B55" s="0" t="s">
        <v>133</v>
      </c>
      <c r="C55" s="0" t="s">
        <v>150</v>
      </c>
      <c r="D55" s="3" t="n">
        <v>5.22</v>
      </c>
      <c r="E55" s="3" t="n">
        <v>-0.18</v>
      </c>
      <c r="F55" s="0" t="n">
        <v>95</v>
      </c>
      <c r="G55" s="0" t="n">
        <v>14</v>
      </c>
    </row>
    <row r="56" customFormat="false" ht="15" hidden="false" customHeight="false" outlineLevel="0" collapsed="false">
      <c r="A56" s="0" t="n">
        <v>55</v>
      </c>
      <c r="B56" s="0" t="s">
        <v>131</v>
      </c>
      <c r="C56" s="0" t="s">
        <v>147</v>
      </c>
      <c r="D56" s="3" t="n">
        <v>5.05</v>
      </c>
      <c r="E56" s="3" t="n">
        <v>1.37</v>
      </c>
      <c r="F56" s="0" t="n">
        <v>54</v>
      </c>
      <c r="G56" s="0" t="n">
        <v>13</v>
      </c>
    </row>
    <row r="57" customFormat="false" ht="15" hidden="false" customHeight="false" outlineLevel="0" collapsed="false">
      <c r="A57" s="0" t="n">
        <v>56</v>
      </c>
      <c r="B57" s="0" t="s">
        <v>16</v>
      </c>
      <c r="C57" s="0" t="s">
        <v>144</v>
      </c>
      <c r="D57" s="3" t="n">
        <v>4.98</v>
      </c>
      <c r="E57" s="3" t="n">
        <v>1.79</v>
      </c>
      <c r="F57" s="0" t="n">
        <v>44</v>
      </c>
      <c r="G57" s="0" t="n">
        <v>13</v>
      </c>
    </row>
    <row r="58" customFormat="false" ht="15" hidden="false" customHeight="false" outlineLevel="0" collapsed="false">
      <c r="A58" s="0" t="n">
        <v>57</v>
      </c>
      <c r="B58" s="0" t="s">
        <v>66</v>
      </c>
      <c r="C58" s="0" t="s">
        <v>143</v>
      </c>
      <c r="D58" s="3" t="n">
        <v>4.62</v>
      </c>
      <c r="E58" s="3" t="n">
        <v>0.74</v>
      </c>
      <c r="F58" s="0" t="n">
        <v>63</v>
      </c>
      <c r="G58" s="0" t="n">
        <v>12</v>
      </c>
    </row>
    <row r="59" customFormat="false" ht="15" hidden="false" customHeight="false" outlineLevel="0" collapsed="false">
      <c r="A59" s="0" t="n">
        <v>58</v>
      </c>
      <c r="B59" s="0" t="s">
        <v>102</v>
      </c>
      <c r="C59" s="0" t="s">
        <v>145</v>
      </c>
      <c r="D59" s="3" t="n">
        <v>3.91</v>
      </c>
      <c r="E59" s="3" t="n">
        <v>1.84</v>
      </c>
      <c r="F59" s="0" t="n">
        <v>43</v>
      </c>
      <c r="G59" s="0" t="n">
        <v>13</v>
      </c>
    </row>
    <row r="60" customFormat="false" ht="15" hidden="false" customHeight="false" outlineLevel="0" collapsed="false">
      <c r="A60" s="0" t="n">
        <v>59</v>
      </c>
      <c r="B60" s="0" t="s">
        <v>9</v>
      </c>
      <c r="C60" s="0" t="s">
        <v>151</v>
      </c>
      <c r="D60" s="3" t="n">
        <v>3.9</v>
      </c>
      <c r="E60" s="3" t="n">
        <v>-1.43</v>
      </c>
      <c r="F60" s="0" t="n">
        <v>186</v>
      </c>
      <c r="G60" s="0" t="n">
        <v>12</v>
      </c>
    </row>
    <row r="61" customFormat="false" ht="15" hidden="false" customHeight="false" outlineLevel="0" collapsed="false">
      <c r="A61" s="0" t="n">
        <v>60</v>
      </c>
      <c r="B61" s="0" t="s">
        <v>60</v>
      </c>
      <c r="C61" s="0" t="s">
        <v>151</v>
      </c>
      <c r="D61" s="3" t="n">
        <v>3.6</v>
      </c>
      <c r="E61" s="3" t="n">
        <v>0.78</v>
      </c>
      <c r="F61" s="0" t="n">
        <v>62</v>
      </c>
      <c r="G61" s="0" t="n">
        <v>13</v>
      </c>
    </row>
    <row r="62" customFormat="false" ht="15" hidden="false" customHeight="false" outlineLevel="0" collapsed="false">
      <c r="A62" s="0" t="n">
        <v>61</v>
      </c>
      <c r="B62" s="0" t="s">
        <v>32</v>
      </c>
      <c r="C62" s="0" t="s">
        <v>148</v>
      </c>
      <c r="D62" s="3" t="n">
        <v>3.52</v>
      </c>
      <c r="E62" s="3" t="n">
        <v>1.13</v>
      </c>
      <c r="F62" s="0" t="n">
        <v>59</v>
      </c>
      <c r="G62" s="0" t="n">
        <v>13</v>
      </c>
    </row>
    <row r="63" customFormat="false" ht="15" hidden="false" customHeight="false" outlineLevel="0" collapsed="false">
      <c r="A63" s="0" t="n">
        <v>62</v>
      </c>
      <c r="B63" s="0" t="s">
        <v>111</v>
      </c>
      <c r="C63" s="0" t="s">
        <v>151</v>
      </c>
      <c r="D63" s="3" t="n">
        <v>3.4</v>
      </c>
      <c r="E63" s="3" t="n">
        <v>3.95</v>
      </c>
      <c r="F63" s="0" t="n">
        <v>21</v>
      </c>
      <c r="G63" s="0" t="n">
        <v>14</v>
      </c>
    </row>
    <row r="64" customFormat="false" ht="15" hidden="false" customHeight="false" outlineLevel="0" collapsed="false">
      <c r="A64" s="0" t="n">
        <v>63</v>
      </c>
      <c r="B64" s="0" t="s">
        <v>31</v>
      </c>
      <c r="C64" s="0" t="s">
        <v>145</v>
      </c>
      <c r="D64" s="3" t="n">
        <v>2.85</v>
      </c>
      <c r="E64" s="3" t="n">
        <v>1.49</v>
      </c>
      <c r="F64" s="0" t="n">
        <v>51</v>
      </c>
      <c r="G64" s="0" t="n">
        <v>13</v>
      </c>
    </row>
    <row r="65" customFormat="false" ht="15" hidden="false" customHeight="false" outlineLevel="0" collapsed="false">
      <c r="A65" s="0" t="n">
        <v>64</v>
      </c>
      <c r="B65" s="0" t="s">
        <v>70</v>
      </c>
      <c r="C65" s="0" t="s">
        <v>142</v>
      </c>
      <c r="D65" s="3" t="n">
        <v>2.82</v>
      </c>
      <c r="E65" s="3" t="n">
        <v>0.71</v>
      </c>
      <c r="F65" s="0" t="n">
        <v>64</v>
      </c>
      <c r="G65" s="0" t="n">
        <v>13</v>
      </c>
    </row>
    <row r="66" customFormat="false" ht="15" hidden="false" customHeight="false" outlineLevel="0" collapsed="false">
      <c r="A66" s="0" t="n">
        <v>65</v>
      </c>
      <c r="B66" s="0" t="s">
        <v>132</v>
      </c>
      <c r="C66" s="0" t="s">
        <v>144</v>
      </c>
      <c r="D66" s="3" t="n">
        <v>2.47</v>
      </c>
      <c r="E66" s="3" t="n">
        <v>1.26</v>
      </c>
      <c r="F66" s="0" t="n">
        <v>55</v>
      </c>
      <c r="G66" s="0" t="n">
        <v>12</v>
      </c>
    </row>
    <row r="67" customFormat="false" ht="15" hidden="false" customHeight="false" outlineLevel="0" collapsed="false">
      <c r="A67" s="0" t="n">
        <v>66</v>
      </c>
      <c r="B67" s="0" t="s">
        <v>114</v>
      </c>
      <c r="C67" s="0" t="s">
        <v>148</v>
      </c>
      <c r="D67" s="3" t="n">
        <v>1.5</v>
      </c>
      <c r="E67" s="3" t="n">
        <v>-1.4</v>
      </c>
      <c r="F67" s="0" t="n">
        <v>184</v>
      </c>
      <c r="G67" s="0" t="n">
        <v>13</v>
      </c>
    </row>
    <row r="68" customFormat="false" ht="15" hidden="false" customHeight="false" outlineLevel="0" collapsed="false">
      <c r="A68" s="0" t="n">
        <v>67</v>
      </c>
      <c r="B68" s="0" t="s">
        <v>49</v>
      </c>
      <c r="C68" s="0" t="s">
        <v>151</v>
      </c>
      <c r="D68" s="3" t="n">
        <v>1.33</v>
      </c>
      <c r="E68" s="3" t="n">
        <v>0.84</v>
      </c>
      <c r="F68" s="0" t="n">
        <v>61</v>
      </c>
      <c r="G68" s="0" t="n">
        <v>11</v>
      </c>
    </row>
    <row r="69" customFormat="false" ht="15" hidden="false" customHeight="false" outlineLevel="0" collapsed="false">
      <c r="A69" s="0" t="n">
        <v>68</v>
      </c>
      <c r="B69" s="0" t="s">
        <v>50</v>
      </c>
      <c r="C69" s="0" t="s">
        <v>144</v>
      </c>
      <c r="D69" s="3" t="n">
        <v>1.29</v>
      </c>
      <c r="E69" s="3" t="n">
        <v>2.22</v>
      </c>
      <c r="F69" s="0" t="n">
        <v>38</v>
      </c>
      <c r="G69" s="0" t="n">
        <v>13</v>
      </c>
    </row>
    <row r="70" customFormat="false" ht="15" hidden="false" customHeight="false" outlineLevel="0" collapsed="false">
      <c r="A70" s="0" t="n">
        <v>69</v>
      </c>
      <c r="B70" s="0" t="s">
        <v>98</v>
      </c>
      <c r="C70" s="0" t="s">
        <v>151</v>
      </c>
      <c r="D70" s="3" t="n">
        <v>0.65</v>
      </c>
      <c r="E70" s="3" t="n">
        <v>1.18</v>
      </c>
      <c r="F70" s="0" t="n">
        <v>58</v>
      </c>
      <c r="G70" s="0" t="n">
        <v>13</v>
      </c>
    </row>
    <row r="71" customFormat="false" ht="15" hidden="false" customHeight="false" outlineLevel="0" collapsed="false">
      <c r="A71" s="0" t="n">
        <v>70</v>
      </c>
      <c r="B71" s="0" t="s">
        <v>14</v>
      </c>
      <c r="C71" s="0" t="s">
        <v>148</v>
      </c>
      <c r="D71" s="3" t="n">
        <v>0.34</v>
      </c>
      <c r="E71" s="3" t="n">
        <v>-1.67</v>
      </c>
      <c r="F71" s="0" t="n">
        <v>192</v>
      </c>
      <c r="G71" s="0" t="n">
        <v>12</v>
      </c>
    </row>
    <row r="72" customFormat="false" ht="15" hidden="false" customHeight="false" outlineLevel="0" collapsed="false">
      <c r="A72" s="0" t="n">
        <v>71</v>
      </c>
      <c r="B72" s="0" t="s">
        <v>56</v>
      </c>
      <c r="C72" s="0" t="s">
        <v>151</v>
      </c>
      <c r="D72" s="3" t="n">
        <v>0.21</v>
      </c>
      <c r="E72" s="3" t="n">
        <v>-2.35</v>
      </c>
      <c r="F72" s="0" t="n">
        <v>200</v>
      </c>
      <c r="G72" s="0" t="n">
        <v>13</v>
      </c>
    </row>
    <row r="73" customFormat="false" ht="15" hidden="false" customHeight="false" outlineLevel="0" collapsed="false">
      <c r="A73" s="0" t="n">
        <v>72</v>
      </c>
      <c r="B73" s="0" t="s">
        <v>73</v>
      </c>
      <c r="C73" s="0" t="s">
        <v>143</v>
      </c>
      <c r="D73" s="3" t="n">
        <v>0.06</v>
      </c>
      <c r="E73" s="3" t="n">
        <v>-1.11</v>
      </c>
      <c r="F73" s="0" t="n">
        <v>176</v>
      </c>
      <c r="G73" s="0" t="n">
        <v>12</v>
      </c>
    </row>
    <row r="74" customFormat="false" ht="15" hidden="false" customHeight="false" outlineLevel="0" collapsed="false">
      <c r="A74" s="0" t="n">
        <v>73</v>
      </c>
      <c r="B74" s="0" t="s">
        <v>110</v>
      </c>
      <c r="C74" s="0" t="s">
        <v>152</v>
      </c>
      <c r="D74" s="3" t="n">
        <v>0.02</v>
      </c>
      <c r="E74" s="3" t="n">
        <v>-0.72</v>
      </c>
      <c r="F74" s="0" t="n">
        <v>145</v>
      </c>
      <c r="G74" s="0" t="n">
        <v>14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s">
        <v>150</v>
      </c>
      <c r="D75" s="3" t="n">
        <v>-1.29</v>
      </c>
      <c r="E75" s="3" t="n">
        <v>-0.57</v>
      </c>
      <c r="F75" s="0" t="n">
        <v>132</v>
      </c>
      <c r="G75" s="0" t="n">
        <v>13</v>
      </c>
    </row>
    <row r="76" customFormat="false" ht="15" hidden="false" customHeight="false" outlineLevel="0" collapsed="false">
      <c r="A76" s="0" t="n">
        <v>75</v>
      </c>
      <c r="B76" s="0" t="s">
        <v>96</v>
      </c>
      <c r="C76" s="0" t="s">
        <v>147</v>
      </c>
      <c r="D76" s="3" t="n">
        <v>-2.16</v>
      </c>
      <c r="E76" s="3" t="n">
        <v>-0.92</v>
      </c>
      <c r="F76" s="0" t="n">
        <v>164</v>
      </c>
      <c r="G76" s="0" t="n">
        <v>13</v>
      </c>
    </row>
    <row r="77" customFormat="false" ht="15" hidden="false" customHeight="false" outlineLevel="0" collapsed="false">
      <c r="A77" s="0" t="n">
        <v>76</v>
      </c>
      <c r="B77" s="0" t="s">
        <v>72</v>
      </c>
      <c r="C77" s="0" t="s">
        <v>148</v>
      </c>
      <c r="D77" s="3" t="n">
        <v>-2.23</v>
      </c>
      <c r="E77" s="3" t="n">
        <v>-1.17</v>
      </c>
      <c r="F77" s="0" t="n">
        <v>177</v>
      </c>
      <c r="G77" s="0" t="n">
        <v>12</v>
      </c>
    </row>
    <row r="78" customFormat="false" ht="15" hidden="false" customHeight="false" outlineLevel="0" collapsed="false">
      <c r="A78" s="0" t="n">
        <v>77</v>
      </c>
      <c r="B78" s="0" t="s">
        <v>11</v>
      </c>
      <c r="C78" s="0" t="s">
        <v>144</v>
      </c>
      <c r="D78" s="3" t="n">
        <v>-2.35</v>
      </c>
      <c r="E78" s="3" t="n">
        <v>-2.32</v>
      </c>
      <c r="F78" s="0" t="n">
        <v>199</v>
      </c>
      <c r="G78" s="0" t="n">
        <v>12</v>
      </c>
    </row>
    <row r="79" customFormat="false" ht="15" hidden="false" customHeight="false" outlineLevel="0" collapsed="false">
      <c r="A79" s="0" t="n">
        <v>78</v>
      </c>
      <c r="B79" s="0" t="s">
        <v>28</v>
      </c>
      <c r="C79" s="0" t="s">
        <v>151</v>
      </c>
      <c r="D79" s="3" t="n">
        <v>-3.4</v>
      </c>
      <c r="E79" s="3" t="n">
        <v>1.08</v>
      </c>
      <c r="F79" s="0" t="n">
        <v>60</v>
      </c>
      <c r="G79" s="0" t="n">
        <v>13</v>
      </c>
    </row>
    <row r="80" customFormat="false" ht="15" hidden="false" customHeight="false" outlineLevel="0" collapsed="false">
      <c r="A80" s="0" t="n">
        <v>79</v>
      </c>
      <c r="B80" s="0" t="s">
        <v>63</v>
      </c>
      <c r="C80" s="0" t="s">
        <v>145</v>
      </c>
      <c r="D80" s="3" t="n">
        <v>-3.54</v>
      </c>
      <c r="E80" s="3" t="n">
        <v>-1.09</v>
      </c>
      <c r="F80" s="0" t="n">
        <v>174</v>
      </c>
      <c r="G80" s="0" t="n">
        <v>12</v>
      </c>
    </row>
    <row r="81" customFormat="false" ht="15" hidden="false" customHeight="false" outlineLevel="0" collapsed="false">
      <c r="A81" s="0" t="n">
        <v>80</v>
      </c>
      <c r="B81" s="0" t="s">
        <v>23</v>
      </c>
      <c r="C81" s="0" t="s">
        <v>145</v>
      </c>
      <c r="D81" s="3" t="n">
        <v>-3.55</v>
      </c>
      <c r="E81" s="3" t="n">
        <v>-1.45</v>
      </c>
      <c r="F81" s="0" t="n">
        <v>187</v>
      </c>
      <c r="G81" s="0" t="n">
        <v>12</v>
      </c>
    </row>
    <row r="82" customFormat="false" ht="15" hidden="false" customHeight="false" outlineLevel="0" collapsed="false">
      <c r="A82" s="0" t="n">
        <v>81</v>
      </c>
      <c r="B82" s="0" t="s">
        <v>97</v>
      </c>
      <c r="C82" s="0" t="s">
        <v>149</v>
      </c>
      <c r="D82" s="3" t="n">
        <v>-3.8</v>
      </c>
      <c r="E82" s="3" t="n">
        <v>-1.35</v>
      </c>
      <c r="F82" s="0" t="n">
        <v>182</v>
      </c>
      <c r="G82" s="0" t="n">
        <v>12</v>
      </c>
    </row>
    <row r="83" customFormat="false" ht="15" hidden="false" customHeight="false" outlineLevel="0" collapsed="false">
      <c r="A83" s="0" t="n">
        <v>82</v>
      </c>
      <c r="B83" s="0" t="s">
        <v>113</v>
      </c>
      <c r="C83" s="0" t="s">
        <v>148</v>
      </c>
      <c r="D83" s="3" t="n">
        <v>-3.96</v>
      </c>
      <c r="E83" s="3" t="n">
        <v>-1.34</v>
      </c>
      <c r="F83" s="0" t="n">
        <v>181</v>
      </c>
      <c r="G83" s="0" t="n">
        <v>12</v>
      </c>
    </row>
    <row r="84" customFormat="false" ht="15" hidden="false" customHeight="false" outlineLevel="0" collapsed="false">
      <c r="A84" s="0" t="n">
        <v>83</v>
      </c>
      <c r="B84" s="0" t="s">
        <v>82</v>
      </c>
      <c r="C84" s="0" t="s">
        <v>152</v>
      </c>
      <c r="D84" s="3" t="n">
        <v>-4.05</v>
      </c>
      <c r="E84" s="3" t="n">
        <v>0.65</v>
      </c>
      <c r="F84" s="0" t="n">
        <v>65</v>
      </c>
      <c r="G84" s="0" t="n">
        <v>14</v>
      </c>
    </row>
    <row r="85" customFormat="false" ht="15" hidden="false" customHeight="false" outlineLevel="0" collapsed="false">
      <c r="A85" s="0" t="n">
        <v>84</v>
      </c>
      <c r="B85" s="0" t="s">
        <v>78</v>
      </c>
      <c r="C85" s="0" t="s">
        <v>148</v>
      </c>
      <c r="D85" s="3" t="n">
        <v>-4.43</v>
      </c>
      <c r="E85" s="3" t="n">
        <v>-1.22</v>
      </c>
      <c r="F85" s="0" t="n">
        <v>178</v>
      </c>
      <c r="G85" s="0" t="n">
        <v>14</v>
      </c>
    </row>
    <row r="86" customFormat="false" ht="15" hidden="false" customHeight="false" outlineLevel="0" collapsed="false">
      <c r="A86" s="0" t="n">
        <v>85</v>
      </c>
      <c r="B86" s="0" t="s">
        <v>41</v>
      </c>
      <c r="C86" s="0" t="s">
        <v>151</v>
      </c>
      <c r="D86" s="3" t="n">
        <v>-4.61</v>
      </c>
      <c r="E86" s="3" t="n">
        <v>-2.95</v>
      </c>
      <c r="F86" s="0" t="n">
        <v>208</v>
      </c>
      <c r="G86" s="0" t="n">
        <v>12</v>
      </c>
    </row>
    <row r="87" customFormat="false" ht="15" hidden="false" customHeight="false" outlineLevel="0" collapsed="false">
      <c r="A87" s="0" t="n">
        <v>86</v>
      </c>
      <c r="B87" s="0" t="s">
        <v>46</v>
      </c>
      <c r="C87" s="0" t="s">
        <v>143</v>
      </c>
      <c r="D87" s="3" t="n">
        <v>-4.68</v>
      </c>
      <c r="E87" s="3" t="n">
        <v>0.01</v>
      </c>
      <c r="F87" s="0" t="n">
        <v>78</v>
      </c>
      <c r="G87" s="0" t="n">
        <v>12</v>
      </c>
    </row>
    <row r="88" customFormat="false" ht="15" hidden="false" customHeight="false" outlineLevel="0" collapsed="false">
      <c r="A88" s="0" t="n">
        <v>87</v>
      </c>
      <c r="B88" s="0" t="s">
        <v>36</v>
      </c>
      <c r="C88" s="0" t="s">
        <v>148</v>
      </c>
      <c r="D88" s="3" t="n">
        <v>-5.82</v>
      </c>
      <c r="E88" s="3" t="n">
        <v>-2.92</v>
      </c>
      <c r="F88" s="0" t="n">
        <v>207</v>
      </c>
      <c r="G88" s="0" t="n">
        <v>12</v>
      </c>
    </row>
    <row r="89" customFormat="false" ht="15" hidden="false" customHeight="false" outlineLevel="0" collapsed="false">
      <c r="A89" s="0" t="n">
        <v>88</v>
      </c>
      <c r="B89" s="0" t="s">
        <v>127</v>
      </c>
      <c r="C89" s="0" t="s">
        <v>145</v>
      </c>
      <c r="D89" s="3" t="n">
        <v>-5.93</v>
      </c>
      <c r="E89" s="3" t="n">
        <v>-1.85</v>
      </c>
      <c r="F89" s="0" t="n">
        <v>193</v>
      </c>
      <c r="G89" s="0" t="n">
        <v>10</v>
      </c>
    </row>
    <row r="90" customFormat="false" ht="15" hidden="false" customHeight="false" outlineLevel="0" collapsed="false">
      <c r="A90" s="0" t="n">
        <v>89</v>
      </c>
      <c r="B90" s="0" t="s">
        <v>40</v>
      </c>
      <c r="C90" s="0" t="s">
        <v>151</v>
      </c>
      <c r="D90" s="3" t="n">
        <v>-6.42</v>
      </c>
      <c r="E90" s="3" t="n">
        <v>-1.6</v>
      </c>
      <c r="F90" s="0" t="n">
        <v>188</v>
      </c>
      <c r="G90" s="0" t="n">
        <v>13</v>
      </c>
    </row>
    <row r="91" customFormat="false" ht="15" hidden="false" customHeight="false" outlineLevel="0" collapsed="false">
      <c r="A91" s="0" t="n">
        <v>90</v>
      </c>
      <c r="B91" s="0" t="s">
        <v>136</v>
      </c>
      <c r="C91" s="0" t="s">
        <v>149</v>
      </c>
      <c r="D91" s="3" t="n">
        <v>-6.45</v>
      </c>
      <c r="E91" s="3" t="n">
        <v>-0.67</v>
      </c>
      <c r="F91" s="0" t="n">
        <v>140</v>
      </c>
      <c r="G91" s="0" t="n">
        <v>13</v>
      </c>
    </row>
    <row r="92" customFormat="false" ht="15" hidden="false" customHeight="false" outlineLevel="0" collapsed="false">
      <c r="A92" s="0" t="n">
        <v>91</v>
      </c>
      <c r="B92" s="0" t="s">
        <v>10</v>
      </c>
      <c r="C92" s="0" t="s">
        <v>144</v>
      </c>
      <c r="D92" s="3" t="n">
        <v>-6.73</v>
      </c>
      <c r="E92" s="3" t="n">
        <v>0.09</v>
      </c>
      <c r="F92" s="0" t="n">
        <v>76</v>
      </c>
      <c r="G92" s="0" t="n">
        <v>12</v>
      </c>
    </row>
    <row r="93" customFormat="false" ht="15" hidden="false" customHeight="false" outlineLevel="0" collapsed="false">
      <c r="A93" s="0" t="n">
        <v>92</v>
      </c>
      <c r="B93" s="0" t="s">
        <v>22</v>
      </c>
      <c r="C93" s="0" t="s">
        <v>152</v>
      </c>
      <c r="D93" s="3" t="n">
        <v>-6.89</v>
      </c>
      <c r="E93" s="3" t="n">
        <v>-2.13</v>
      </c>
      <c r="F93" s="0" t="n">
        <v>195</v>
      </c>
      <c r="G93" s="0" t="n">
        <v>13</v>
      </c>
    </row>
    <row r="94" customFormat="false" ht="15" hidden="false" customHeight="false" outlineLevel="0" collapsed="false">
      <c r="A94" s="0" t="n">
        <v>93</v>
      </c>
      <c r="B94" s="0" t="s">
        <v>52</v>
      </c>
      <c r="C94" s="0" t="s">
        <v>152</v>
      </c>
      <c r="D94" s="3" t="n">
        <v>-6.97</v>
      </c>
      <c r="E94" s="3" t="n">
        <v>-2.11</v>
      </c>
      <c r="F94" s="0" t="n">
        <v>194</v>
      </c>
      <c r="G94" s="0" t="n">
        <v>12</v>
      </c>
    </row>
    <row r="95" customFormat="false" ht="15" hidden="false" customHeight="false" outlineLevel="0" collapsed="false">
      <c r="A95" s="0" t="n">
        <v>94</v>
      </c>
      <c r="B95" s="0" t="s">
        <v>128</v>
      </c>
      <c r="C95" s="0" t="s">
        <v>145</v>
      </c>
      <c r="D95" s="3" t="n">
        <v>-7.16</v>
      </c>
      <c r="E95" s="3" t="n">
        <v>-3</v>
      </c>
      <c r="F95" s="0" t="n">
        <v>210</v>
      </c>
      <c r="G95" s="0" t="n">
        <v>11</v>
      </c>
    </row>
    <row r="96" customFormat="false" ht="15" hidden="false" customHeight="false" outlineLevel="0" collapsed="false">
      <c r="A96" s="0" t="n">
        <v>95</v>
      </c>
      <c r="B96" s="0" t="s">
        <v>101</v>
      </c>
      <c r="C96" s="0" t="s">
        <v>145</v>
      </c>
      <c r="D96" s="3" t="n">
        <v>-7.26</v>
      </c>
      <c r="E96" s="3" t="n">
        <v>-0.97</v>
      </c>
      <c r="F96" s="0" t="n">
        <v>165</v>
      </c>
      <c r="G96" s="0" t="n">
        <v>12</v>
      </c>
    </row>
    <row r="97" customFormat="false" ht="15" hidden="false" customHeight="false" outlineLevel="0" collapsed="false">
      <c r="A97" s="0" t="n">
        <v>96</v>
      </c>
      <c r="B97" s="0" t="s">
        <v>33</v>
      </c>
      <c r="C97" s="0" t="s">
        <v>152</v>
      </c>
      <c r="D97" s="3" t="n">
        <v>-7.58</v>
      </c>
      <c r="E97" s="3" t="n">
        <v>-0.43</v>
      </c>
      <c r="F97" s="0" t="n">
        <v>122</v>
      </c>
      <c r="G97" s="0" t="n">
        <v>13</v>
      </c>
    </row>
    <row r="98" customFormat="false" ht="15" hidden="false" customHeight="false" outlineLevel="0" collapsed="false">
      <c r="A98" s="0" t="n">
        <v>97</v>
      </c>
      <c r="B98" s="0" t="s">
        <v>42</v>
      </c>
      <c r="C98" s="0" t="s">
        <v>145</v>
      </c>
      <c r="D98" s="3" t="n">
        <v>-7.79</v>
      </c>
      <c r="E98" s="3" t="n">
        <v>0.35</v>
      </c>
      <c r="F98" s="0" t="n">
        <v>69</v>
      </c>
      <c r="G98" s="0" t="n">
        <v>12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s">
        <v>150</v>
      </c>
      <c r="D99" s="3" t="n">
        <v>-7.8</v>
      </c>
      <c r="E99" s="3" t="n">
        <v>-0.83</v>
      </c>
      <c r="F99" s="0" t="n">
        <v>154</v>
      </c>
      <c r="G99" s="0" t="n">
        <v>13</v>
      </c>
    </row>
    <row r="100" customFormat="false" ht="15" hidden="false" customHeight="false" outlineLevel="0" collapsed="false">
      <c r="A100" s="0" t="n">
        <v>99</v>
      </c>
      <c r="B100" s="0" t="s">
        <v>126</v>
      </c>
      <c r="C100" s="0" t="s">
        <v>142</v>
      </c>
      <c r="D100" s="3" t="n">
        <v>-8.22</v>
      </c>
      <c r="E100" s="3" t="n">
        <v>0.48</v>
      </c>
      <c r="F100" s="0" t="n">
        <v>67</v>
      </c>
      <c r="G100" s="0" t="n">
        <v>12</v>
      </c>
    </row>
    <row r="101" customFormat="false" ht="15" hidden="false" customHeight="false" outlineLevel="0" collapsed="false">
      <c r="A101" s="0" t="n">
        <v>100</v>
      </c>
      <c r="B101" s="0" t="s">
        <v>94</v>
      </c>
      <c r="C101" s="0" t="s">
        <v>143</v>
      </c>
      <c r="D101" s="3" t="n">
        <v>-8.6</v>
      </c>
      <c r="E101" s="3" t="n">
        <v>-0.78</v>
      </c>
      <c r="F101" s="0" t="n">
        <v>149</v>
      </c>
      <c r="G101" s="0" t="n">
        <v>12</v>
      </c>
    </row>
    <row r="102" customFormat="false" ht="15" hidden="false" customHeight="false" outlineLevel="0" collapsed="false">
      <c r="A102" s="0" t="n">
        <v>101</v>
      </c>
      <c r="B102" s="0" t="s">
        <v>64</v>
      </c>
      <c r="C102" s="0" t="s">
        <v>152</v>
      </c>
      <c r="D102" s="3" t="n">
        <v>-8.94</v>
      </c>
      <c r="E102" s="3" t="n">
        <v>-2.83</v>
      </c>
      <c r="F102" s="0" t="n">
        <v>205</v>
      </c>
      <c r="G102" s="0" t="n">
        <v>13</v>
      </c>
    </row>
    <row r="103" customFormat="false" ht="15" hidden="false" customHeight="false" outlineLevel="0" collapsed="false">
      <c r="A103" s="0" t="n">
        <v>102</v>
      </c>
      <c r="B103" s="0" t="s">
        <v>80</v>
      </c>
      <c r="C103" s="0" t="s">
        <v>143</v>
      </c>
      <c r="D103" s="3" t="n">
        <v>-8.96</v>
      </c>
      <c r="E103" s="3" t="n">
        <v>-2.91</v>
      </c>
      <c r="F103" s="0" t="n">
        <v>206</v>
      </c>
      <c r="G103" s="0" t="n">
        <v>12</v>
      </c>
    </row>
    <row r="104" customFormat="false" ht="15" hidden="false" customHeight="false" outlineLevel="0" collapsed="false">
      <c r="A104" s="0" t="n">
        <v>103</v>
      </c>
      <c r="B104" s="0" t="s">
        <v>24</v>
      </c>
      <c r="C104" s="0" t="s">
        <v>152</v>
      </c>
      <c r="D104" s="3" t="n">
        <v>-8.99</v>
      </c>
      <c r="E104" s="3" t="n">
        <v>-3.83</v>
      </c>
      <c r="F104" s="0" t="n">
        <v>216</v>
      </c>
      <c r="G104" s="0" t="n">
        <v>12</v>
      </c>
    </row>
    <row r="105" customFormat="false" ht="15" hidden="false" customHeight="false" outlineLevel="0" collapsed="false">
      <c r="A105" s="0" t="n">
        <v>104</v>
      </c>
      <c r="B105" s="0" t="s">
        <v>100</v>
      </c>
      <c r="C105" s="0" t="s">
        <v>151</v>
      </c>
      <c r="D105" s="3" t="n">
        <v>-9.15</v>
      </c>
      <c r="E105" s="3" t="n">
        <v>-1.4</v>
      </c>
      <c r="F105" s="0" t="n">
        <v>185</v>
      </c>
      <c r="G105" s="0" t="n">
        <v>13</v>
      </c>
    </row>
    <row r="106" customFormat="false" ht="15" hidden="false" customHeight="false" outlineLevel="0" collapsed="false">
      <c r="A106" s="0" t="n">
        <v>105</v>
      </c>
      <c r="B106" s="0" t="s">
        <v>125</v>
      </c>
      <c r="C106" s="0" t="s">
        <v>147</v>
      </c>
      <c r="D106" s="3" t="n">
        <v>-9.51</v>
      </c>
      <c r="E106" s="3" t="n">
        <v>-1.67</v>
      </c>
      <c r="F106" s="0" t="n">
        <v>191</v>
      </c>
      <c r="G106" s="0" t="n">
        <v>13</v>
      </c>
    </row>
    <row r="107" customFormat="false" ht="15" hidden="false" customHeight="false" outlineLevel="0" collapsed="false">
      <c r="A107" s="0" t="n">
        <v>106</v>
      </c>
      <c r="B107" s="0" t="s">
        <v>17</v>
      </c>
      <c r="C107" s="0" t="s">
        <v>152</v>
      </c>
      <c r="D107" s="3" t="n">
        <v>-9.66</v>
      </c>
      <c r="E107" s="3" t="n">
        <v>-3.12</v>
      </c>
      <c r="F107" s="0" t="n">
        <v>211</v>
      </c>
      <c r="G107" s="0" t="n">
        <v>12</v>
      </c>
    </row>
    <row r="108" customFormat="false" ht="15" hidden="false" customHeight="false" outlineLevel="0" collapsed="false">
      <c r="A108" s="0" t="n">
        <v>107</v>
      </c>
      <c r="B108" s="0" t="s">
        <v>20</v>
      </c>
      <c r="C108" s="0" t="s">
        <v>145</v>
      </c>
      <c r="D108" s="3" t="n">
        <v>-10.23</v>
      </c>
      <c r="E108" s="3" t="n">
        <v>-2.16</v>
      </c>
      <c r="F108" s="0" t="n">
        <v>196</v>
      </c>
      <c r="G108" s="0" t="n">
        <v>12</v>
      </c>
    </row>
    <row r="109" customFormat="false" ht="15" hidden="false" customHeight="false" outlineLevel="0" collapsed="false">
      <c r="A109" s="0" t="n">
        <v>108</v>
      </c>
      <c r="B109" s="0" t="s">
        <v>119</v>
      </c>
      <c r="C109" s="0" t="s">
        <v>149</v>
      </c>
      <c r="D109" s="3" t="n">
        <v>-10.24</v>
      </c>
      <c r="E109" s="3" t="n">
        <v>-2.4</v>
      </c>
      <c r="F109" s="0" t="n">
        <v>201</v>
      </c>
      <c r="G109" s="0" t="n">
        <v>12</v>
      </c>
    </row>
    <row r="110" customFormat="false" ht="15" hidden="false" customHeight="false" outlineLevel="0" collapsed="false">
      <c r="A110" s="0" t="n">
        <v>109</v>
      </c>
      <c r="B110" s="0" t="s">
        <v>134</v>
      </c>
      <c r="C110" s="0" t="s">
        <v>152</v>
      </c>
      <c r="D110" s="3" t="n">
        <v>-10.37</v>
      </c>
      <c r="E110" s="3" t="n">
        <v>-2.95</v>
      </c>
      <c r="F110" s="0" t="n">
        <v>209</v>
      </c>
      <c r="G110" s="0" t="n">
        <v>12</v>
      </c>
    </row>
    <row r="111" customFormat="false" ht="15" hidden="false" customHeight="false" outlineLevel="0" collapsed="false">
      <c r="A111" s="0" t="n">
        <v>110</v>
      </c>
      <c r="B111" s="0" t="s">
        <v>153</v>
      </c>
      <c r="C111" s="0" t="s">
        <v>150</v>
      </c>
      <c r="D111" s="3" t="n">
        <v>-11.52</v>
      </c>
      <c r="E111" s="3" t="n">
        <v>-0.19</v>
      </c>
      <c r="F111" s="0" t="n">
        <v>99</v>
      </c>
      <c r="G111" s="0" t="n">
        <v>1</v>
      </c>
    </row>
    <row r="112" customFormat="false" ht="15" hidden="false" customHeight="false" outlineLevel="0" collapsed="false">
      <c r="A112" s="0" t="n">
        <v>111</v>
      </c>
      <c r="B112" s="0" t="s">
        <v>86</v>
      </c>
      <c r="C112" s="0" t="s">
        <v>151</v>
      </c>
      <c r="D112" s="3" t="n">
        <v>-11.7</v>
      </c>
      <c r="E112" s="3" t="n">
        <v>-3.78</v>
      </c>
      <c r="F112" s="0" t="n">
        <v>215</v>
      </c>
      <c r="G112" s="0" t="n">
        <v>12</v>
      </c>
    </row>
    <row r="113" customFormat="false" ht="15" hidden="false" customHeight="false" outlineLevel="0" collapsed="false">
      <c r="A113" s="0" t="n">
        <v>112</v>
      </c>
      <c r="B113" s="0" t="s">
        <v>154</v>
      </c>
      <c r="C113" s="0" t="s">
        <v>152</v>
      </c>
      <c r="D113" s="3" t="n">
        <v>-11.73</v>
      </c>
      <c r="E113" s="3" t="n">
        <v>0.15</v>
      </c>
      <c r="F113" s="0" t="n">
        <v>74</v>
      </c>
      <c r="G113" s="0" t="n">
        <v>1</v>
      </c>
    </row>
    <row r="114" customFormat="false" ht="15" hidden="false" customHeight="false" outlineLevel="0" collapsed="false">
      <c r="A114" s="0" t="n">
        <v>113</v>
      </c>
      <c r="B114" s="0" t="s">
        <v>122</v>
      </c>
      <c r="C114" s="0" t="s">
        <v>149</v>
      </c>
      <c r="D114" s="3" t="n">
        <v>-12.43</v>
      </c>
      <c r="E114" s="3" t="n">
        <v>-3.31</v>
      </c>
      <c r="F114" s="0" t="n">
        <v>212</v>
      </c>
      <c r="G114" s="0" t="n">
        <v>12</v>
      </c>
    </row>
    <row r="115" customFormat="false" ht="15" hidden="false" customHeight="false" outlineLevel="0" collapsed="false">
      <c r="A115" s="0" t="n">
        <v>114</v>
      </c>
      <c r="B115" s="0" t="s">
        <v>79</v>
      </c>
      <c r="C115" s="0" t="s">
        <v>149</v>
      </c>
      <c r="D115" s="3" t="n">
        <v>-13.31</v>
      </c>
      <c r="E115" s="3" t="n">
        <v>-5.28</v>
      </c>
      <c r="F115" s="0" t="n">
        <v>225</v>
      </c>
      <c r="G115" s="0" t="n">
        <v>12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s">
        <v>149</v>
      </c>
      <c r="D116" s="3" t="n">
        <v>-13.38</v>
      </c>
      <c r="E116" s="3" t="n">
        <v>-5.26</v>
      </c>
      <c r="F116" s="0" t="n">
        <v>224</v>
      </c>
      <c r="G116" s="0" t="n">
        <v>12</v>
      </c>
    </row>
    <row r="117" customFormat="false" ht="15" hidden="false" customHeight="false" outlineLevel="0" collapsed="false">
      <c r="A117" s="0" t="n">
        <v>116</v>
      </c>
      <c r="B117" s="0" t="s">
        <v>121</v>
      </c>
      <c r="C117" s="0" t="s">
        <v>148</v>
      </c>
      <c r="D117" s="3" t="n">
        <v>-14.3</v>
      </c>
      <c r="E117" s="3" t="n">
        <v>-4.05</v>
      </c>
      <c r="F117" s="0" t="n">
        <v>217</v>
      </c>
      <c r="G117" s="0" t="n">
        <v>12</v>
      </c>
    </row>
    <row r="118" customFormat="false" ht="15" hidden="false" customHeight="false" outlineLevel="0" collapsed="false">
      <c r="A118" s="0" t="n">
        <v>117</v>
      </c>
      <c r="B118" s="0" t="s">
        <v>76</v>
      </c>
      <c r="C118" s="0" t="s">
        <v>150</v>
      </c>
      <c r="D118" s="3" t="n">
        <v>-14.62</v>
      </c>
      <c r="E118" s="3" t="n">
        <v>-2.5</v>
      </c>
      <c r="F118" s="0" t="n">
        <v>202</v>
      </c>
      <c r="G118" s="0" t="n">
        <v>13</v>
      </c>
    </row>
    <row r="119" customFormat="false" ht="15" hidden="false" customHeight="false" outlineLevel="0" collapsed="false">
      <c r="A119" s="0" t="n">
        <v>118</v>
      </c>
      <c r="B119" s="0" t="s">
        <v>104</v>
      </c>
      <c r="C119" s="0" t="s">
        <v>148</v>
      </c>
      <c r="D119" s="3" t="n">
        <v>-15.11</v>
      </c>
      <c r="E119" s="3" t="n">
        <v>-3.72</v>
      </c>
      <c r="F119" s="0" t="n">
        <v>214</v>
      </c>
      <c r="G119" s="0" t="n">
        <v>12</v>
      </c>
    </row>
    <row r="120" customFormat="false" ht="15" hidden="false" customHeight="false" outlineLevel="0" collapsed="false">
      <c r="A120" s="0" t="n">
        <v>119</v>
      </c>
      <c r="B120" s="0" t="s">
        <v>108</v>
      </c>
      <c r="C120" s="0" t="s">
        <v>147</v>
      </c>
      <c r="D120" s="3" t="n">
        <v>-15.21</v>
      </c>
      <c r="E120" s="3" t="n">
        <v>-3.65</v>
      </c>
      <c r="F120" s="0" t="n">
        <v>213</v>
      </c>
      <c r="G120" s="0" t="n">
        <v>12</v>
      </c>
    </row>
    <row r="121" customFormat="false" ht="15" hidden="false" customHeight="false" outlineLevel="0" collapsed="false">
      <c r="A121" s="0" t="n">
        <v>120</v>
      </c>
      <c r="B121" s="0" t="s">
        <v>93</v>
      </c>
      <c r="C121" s="0" t="s">
        <v>148</v>
      </c>
      <c r="D121" s="3" t="n">
        <v>-15.28</v>
      </c>
      <c r="E121" s="3" t="n">
        <v>-2.76</v>
      </c>
      <c r="F121" s="0" t="n">
        <v>204</v>
      </c>
      <c r="G121" s="0" t="n">
        <v>13</v>
      </c>
    </row>
    <row r="122" customFormat="false" ht="15" hidden="false" customHeight="false" outlineLevel="0" collapsed="false">
      <c r="A122" s="0" t="n">
        <v>121</v>
      </c>
      <c r="B122" s="0" t="s">
        <v>58</v>
      </c>
      <c r="C122" s="0" t="s">
        <v>151</v>
      </c>
      <c r="D122" s="3" t="n">
        <v>-15.39</v>
      </c>
      <c r="E122" s="3" t="n">
        <v>-2.56</v>
      </c>
      <c r="F122" s="0" t="n">
        <v>203</v>
      </c>
      <c r="G122" s="0" t="n">
        <v>12</v>
      </c>
    </row>
    <row r="123" customFormat="false" ht="15" hidden="false" customHeight="false" outlineLevel="0" collapsed="false">
      <c r="A123" s="0" t="n">
        <v>122</v>
      </c>
      <c r="B123" s="0" t="s">
        <v>117</v>
      </c>
      <c r="C123" s="0" t="s">
        <v>146</v>
      </c>
      <c r="D123" s="3" t="n">
        <v>-15.46</v>
      </c>
      <c r="E123" s="3" t="n">
        <v>-1.65</v>
      </c>
      <c r="F123" s="0" t="n">
        <v>190</v>
      </c>
      <c r="G123" s="0" t="n">
        <v>13</v>
      </c>
    </row>
    <row r="124" customFormat="false" ht="15" hidden="false" customHeight="false" outlineLevel="0" collapsed="false">
      <c r="A124" s="0" t="n">
        <v>123</v>
      </c>
      <c r="B124" s="0" t="s">
        <v>13</v>
      </c>
      <c r="C124" s="0" t="s">
        <v>151</v>
      </c>
      <c r="D124" s="3" t="n">
        <v>-15.99</v>
      </c>
      <c r="E124" s="3" t="n">
        <v>-4.43</v>
      </c>
      <c r="F124" s="0" t="n">
        <v>219</v>
      </c>
      <c r="G124" s="0" t="n">
        <v>12</v>
      </c>
    </row>
    <row r="125" customFormat="false" ht="15" hidden="false" customHeight="false" outlineLevel="0" collapsed="false">
      <c r="A125" s="0" t="n">
        <v>124</v>
      </c>
      <c r="B125" s="0" t="s">
        <v>30</v>
      </c>
      <c r="C125" s="0" t="s">
        <v>147</v>
      </c>
      <c r="D125" s="3" t="n">
        <v>-16.42</v>
      </c>
      <c r="E125" s="3" t="n">
        <v>-4.11</v>
      </c>
      <c r="F125" s="0" t="n">
        <v>218</v>
      </c>
      <c r="G125" s="0" t="n">
        <v>12</v>
      </c>
    </row>
    <row r="126" customFormat="false" ht="15" hidden="false" customHeight="false" outlineLevel="0" collapsed="false">
      <c r="A126" s="0" t="n">
        <v>125</v>
      </c>
      <c r="B126" s="0" t="s">
        <v>57</v>
      </c>
      <c r="C126" s="0" t="s">
        <v>151</v>
      </c>
      <c r="D126" s="3" t="n">
        <v>-16.49</v>
      </c>
      <c r="E126" s="3" t="n">
        <v>-4.63</v>
      </c>
      <c r="F126" s="0" t="n">
        <v>220</v>
      </c>
      <c r="G126" s="0" t="n">
        <v>12</v>
      </c>
    </row>
    <row r="127" customFormat="false" ht="15" hidden="false" customHeight="false" outlineLevel="0" collapsed="false">
      <c r="A127" s="0" t="n">
        <v>126</v>
      </c>
      <c r="B127" s="0" t="s">
        <v>21</v>
      </c>
      <c r="C127" s="0" t="s">
        <v>152</v>
      </c>
      <c r="D127" s="3" t="n">
        <v>-17.34</v>
      </c>
      <c r="E127" s="3" t="n">
        <v>-2.25</v>
      </c>
      <c r="F127" s="0" t="n">
        <v>197</v>
      </c>
      <c r="G127" s="0" t="n">
        <v>13</v>
      </c>
    </row>
    <row r="128" customFormat="false" ht="15" hidden="false" customHeight="false" outlineLevel="0" collapsed="false">
      <c r="A128" s="0" t="n">
        <v>127</v>
      </c>
      <c r="B128" s="0" t="s">
        <v>155</v>
      </c>
      <c r="C128" s="0" t="s">
        <v>150</v>
      </c>
      <c r="D128" s="3" t="n">
        <v>-17.83</v>
      </c>
      <c r="E128" s="3" t="n">
        <v>0.49</v>
      </c>
      <c r="F128" s="0" t="n">
        <v>66</v>
      </c>
      <c r="G128" s="0" t="n">
        <v>1</v>
      </c>
    </row>
    <row r="129" customFormat="false" ht="15" hidden="false" customHeight="false" outlineLevel="0" collapsed="false">
      <c r="A129" s="0" t="n">
        <v>128</v>
      </c>
      <c r="B129" s="0" t="s">
        <v>43</v>
      </c>
      <c r="C129" s="0" t="s">
        <v>149</v>
      </c>
      <c r="D129" s="3" t="n">
        <v>-17.9</v>
      </c>
      <c r="E129" s="3" t="n">
        <v>-5.33</v>
      </c>
      <c r="F129" s="0" t="n">
        <v>226</v>
      </c>
      <c r="G129" s="0" t="n">
        <v>13</v>
      </c>
    </row>
    <row r="130" customFormat="false" ht="15" hidden="false" customHeight="false" outlineLevel="0" collapsed="false">
      <c r="A130" s="0" t="n">
        <v>129</v>
      </c>
      <c r="B130" s="0" t="s">
        <v>156</v>
      </c>
      <c r="C130" s="0" t="s">
        <v>149</v>
      </c>
      <c r="D130" s="3" t="n">
        <v>-18.64</v>
      </c>
      <c r="E130" s="3" t="n">
        <v>-0.63</v>
      </c>
      <c r="F130" s="0" t="n">
        <v>136</v>
      </c>
      <c r="G130" s="0" t="n">
        <v>1</v>
      </c>
    </row>
    <row r="131" customFormat="false" ht="15" hidden="false" customHeight="false" outlineLevel="0" collapsed="false">
      <c r="A131" s="0" t="n">
        <v>130</v>
      </c>
      <c r="B131" s="0" t="s">
        <v>29</v>
      </c>
      <c r="C131" s="0" t="s">
        <v>144</v>
      </c>
      <c r="D131" s="3" t="n">
        <v>-18.97</v>
      </c>
      <c r="E131" s="3" t="n">
        <v>-2.31</v>
      </c>
      <c r="F131" s="0" t="n">
        <v>198</v>
      </c>
      <c r="G131" s="0" t="n">
        <v>12</v>
      </c>
    </row>
    <row r="132" customFormat="false" ht="15" hidden="false" customHeight="false" outlineLevel="0" collapsed="false">
      <c r="A132" s="0" t="n">
        <v>131</v>
      </c>
      <c r="B132" s="0" t="s">
        <v>7</v>
      </c>
      <c r="C132" s="0" t="s">
        <v>152</v>
      </c>
      <c r="D132" s="3" t="n">
        <v>-20.05</v>
      </c>
      <c r="E132" s="3" t="n">
        <v>-5.68</v>
      </c>
      <c r="F132" s="0" t="n">
        <v>227</v>
      </c>
      <c r="G132" s="0" t="n">
        <v>12</v>
      </c>
    </row>
    <row r="133" customFormat="false" ht="15" hidden="false" customHeight="false" outlineLevel="0" collapsed="false">
      <c r="A133" s="0" t="n">
        <v>132</v>
      </c>
      <c r="B133" s="0" t="s">
        <v>75</v>
      </c>
      <c r="C133" s="0" t="s">
        <v>149</v>
      </c>
      <c r="D133" s="3" t="n">
        <v>-21.08</v>
      </c>
      <c r="E133" s="3" t="n">
        <v>-5.24</v>
      </c>
      <c r="F133" s="0" t="n">
        <v>223</v>
      </c>
      <c r="G133" s="0" t="n">
        <v>12</v>
      </c>
    </row>
    <row r="134" customFormat="false" ht="15" hidden="false" customHeight="false" outlineLevel="0" collapsed="false">
      <c r="A134" s="0" t="n">
        <v>133</v>
      </c>
      <c r="B134" s="0" t="s">
        <v>157</v>
      </c>
      <c r="C134" s="0" t="s">
        <v>150</v>
      </c>
      <c r="D134" s="3" t="n">
        <v>-22.28</v>
      </c>
      <c r="E134" s="3" t="n">
        <v>-0.24</v>
      </c>
      <c r="F134" s="0" t="n">
        <v>105</v>
      </c>
      <c r="G134" s="0" t="n">
        <v>1</v>
      </c>
    </row>
    <row r="135" customFormat="false" ht="15" hidden="false" customHeight="false" outlineLevel="0" collapsed="false">
      <c r="A135" s="0" t="n">
        <v>134</v>
      </c>
      <c r="B135" s="0" t="s">
        <v>158</v>
      </c>
      <c r="C135" s="0" t="s">
        <v>150</v>
      </c>
      <c r="D135" s="3" t="n">
        <v>-22.44</v>
      </c>
      <c r="E135" s="3" t="n">
        <v>-0.56</v>
      </c>
      <c r="F135" s="0" t="n">
        <v>130</v>
      </c>
      <c r="G135" s="0" t="n">
        <v>1</v>
      </c>
    </row>
    <row r="136" customFormat="false" ht="15" hidden="false" customHeight="false" outlineLevel="0" collapsed="false">
      <c r="A136" s="0" t="n">
        <v>135</v>
      </c>
      <c r="B136" s="0" t="s">
        <v>25</v>
      </c>
      <c r="C136" s="0" t="s">
        <v>148</v>
      </c>
      <c r="D136" s="3" t="n">
        <v>-22.68</v>
      </c>
      <c r="E136" s="3" t="n">
        <v>-4.78</v>
      </c>
      <c r="F136" s="0" t="n">
        <v>221</v>
      </c>
      <c r="G136" s="0" t="n">
        <v>12</v>
      </c>
    </row>
    <row r="137" customFormat="false" ht="15" hidden="false" customHeight="false" outlineLevel="0" collapsed="false">
      <c r="A137" s="0" t="n">
        <v>136</v>
      </c>
      <c r="B137" s="0" t="s">
        <v>159</v>
      </c>
      <c r="C137" s="0" t="s">
        <v>150</v>
      </c>
      <c r="D137" s="3" t="n">
        <v>-27.03</v>
      </c>
      <c r="E137" s="3" t="n">
        <v>-0.18</v>
      </c>
      <c r="F137" s="0" t="n">
        <v>96</v>
      </c>
      <c r="G137" s="0" t="n">
        <v>1</v>
      </c>
    </row>
    <row r="138" customFormat="false" ht="15" hidden="false" customHeight="false" outlineLevel="0" collapsed="false">
      <c r="A138" s="0" t="n">
        <v>137</v>
      </c>
      <c r="B138" s="0" t="s">
        <v>34</v>
      </c>
      <c r="C138" s="0" t="s">
        <v>150</v>
      </c>
      <c r="D138" s="3" t="n">
        <v>-29.23</v>
      </c>
      <c r="E138" s="3" t="n">
        <v>-4.88</v>
      </c>
      <c r="F138" s="0" t="n">
        <v>222</v>
      </c>
      <c r="G138" s="0" t="n">
        <v>12</v>
      </c>
    </row>
    <row r="139" customFormat="false" ht="15" hidden="false" customHeight="false" outlineLevel="0" collapsed="false">
      <c r="A139" s="0" t="n">
        <v>138</v>
      </c>
      <c r="B139" s="0" t="s">
        <v>118</v>
      </c>
      <c r="C139" s="0" t="s">
        <v>152</v>
      </c>
      <c r="D139" s="3" t="n">
        <v>-29.74</v>
      </c>
      <c r="E139" s="3" t="n">
        <v>-6.78</v>
      </c>
      <c r="F139" s="0" t="n">
        <v>228</v>
      </c>
      <c r="G139" s="0" t="n">
        <v>12</v>
      </c>
    </row>
    <row r="141" customFormat="false" ht="15" hidden="false" customHeight="false" outlineLevel="0" collapsed="false">
      <c r="A141" s="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161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162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163</v>
      </c>
    </row>
    <row r="6" customFormat="false" ht="15" hidden="false" customHeight="false" outlineLevel="0" collapsed="false">
      <c r="A6" s="6" t="s">
        <v>164</v>
      </c>
    </row>
    <row r="7" customFormat="false" ht="15" hidden="false" customHeight="false" outlineLevel="0" collapsed="false">
      <c r="A7" s="6" t="s">
        <v>165</v>
      </c>
    </row>
    <row r="8" customFormat="false" ht="15" hidden="false" customHeight="false" outlineLevel="0" collapsed="false">
      <c r="A8" s="6" t="s">
        <v>166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167</v>
      </c>
    </row>
    <row r="11" customFormat="false" ht="15" hidden="false" customHeight="false" outlineLevel="0" collapsed="false">
      <c r="A11" s="9" t="s">
        <v>168</v>
      </c>
    </row>
    <row r="12" customFormat="false" ht="15" hidden="false" customHeight="false" outlineLevel="0" collapsed="false">
      <c r="A12" s="6" t="s">
        <v>169</v>
      </c>
    </row>
    <row r="13" customFormat="false" ht="15" hidden="false" customHeight="false" outlineLevel="0" collapsed="false">
      <c r="A13" s="6" t="s">
        <v>170</v>
      </c>
    </row>
    <row r="14" customFormat="false" ht="15" hidden="false" customHeight="false" outlineLevel="0" collapsed="false">
      <c r="A14" s="6" t="s">
        <v>171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172</v>
      </c>
    </row>
    <row r="17" customFormat="false" ht="15" hidden="false" customHeight="false" outlineLevel="0" collapsed="false">
      <c r="A17" s="6" t="s">
        <v>173</v>
      </c>
    </row>
    <row r="18" customFormat="false" ht="15" hidden="false" customHeight="false" outlineLevel="0" collapsed="false">
      <c r="A18" s="6" t="s">
        <v>174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9"/>
  </cols>
  <sheetData>
    <row r="1" customFormat="false" ht="15" hidden="false" customHeight="false" outlineLevel="0" collapsed="false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</row>
    <row r="2" customFormat="false" ht="15" hidden="false" customHeight="false" outlineLevel="0" collapsed="false">
      <c r="A2" s="0" t="s">
        <v>126</v>
      </c>
      <c r="B2" s="0" t="s">
        <v>43</v>
      </c>
      <c r="C2" s="0" t="n">
        <v>63</v>
      </c>
      <c r="D2" s="0" t="n">
        <v>10</v>
      </c>
      <c r="E2" s="0" t="n">
        <v>404</v>
      </c>
      <c r="F2" s="0" t="n">
        <v>108</v>
      </c>
      <c r="G2" s="0" t="n">
        <v>197</v>
      </c>
      <c r="H2" s="0" t="n">
        <v>250</v>
      </c>
      <c r="I2" s="0" t="n">
        <v>0</v>
      </c>
      <c r="J2" s="0" t="n">
        <v>2</v>
      </c>
      <c r="K2" s="0" t="n">
        <v>1</v>
      </c>
      <c r="L2" s="0" t="n">
        <v>0</v>
      </c>
      <c r="M2" s="0" t="n">
        <f aca="false">VLOOKUP(A2,'Team Data'!$A$1:$P$133,2,FALSE())</f>
        <v>5</v>
      </c>
      <c r="N2" s="0" t="n">
        <f aca="false">VLOOKUP(A2,'Team Data'!$A$1:$P$133,3,FALSE())</f>
        <v>7</v>
      </c>
      <c r="O2" s="0" t="n">
        <f aca="false">VLOOKUP(B2,'Team Data'!$A$1:$P$133,2,FALSE())</f>
        <v>3</v>
      </c>
      <c r="P2" s="0" t="n">
        <f aca="false">VLOOKUP(B2,'Team Data'!$A$1:$P$133,3,FALSE())</f>
        <v>10</v>
      </c>
      <c r="Q2" s="0" t="n">
        <f aca="false">VLOOKUP(A2,'Team Data'!$A$1:$P$133,4,FALSE())</f>
        <v>94</v>
      </c>
      <c r="R2" s="0" t="n">
        <f aca="false">VLOOKUP(A2,'Team Data'!$A$1:$P$133,5,FALSE())</f>
        <v>170</v>
      </c>
      <c r="S2" s="0" t="n">
        <f aca="false">VLOOKUP(B2,'Team Data'!$A$1:$P$133,4,FALSE())</f>
        <v>89</v>
      </c>
      <c r="T2" s="0" t="n">
        <f aca="false">VLOOKUP(B2,'Team Data'!$A$1:$P$133,5,FALSE())</f>
        <v>185</v>
      </c>
      <c r="U2" s="0" t="n">
        <f aca="false">IF(K2=1,(MIN(35,(C2-D2)))*(O2/(O2+P2))*(S2/(S2+T2)),(MAX(-35,(C2-D2)))*(IF(P2=0,0.1,(P2/(O2+P2))))*(T2/(S2+T2)))</f>
        <v>2.62352610892757</v>
      </c>
      <c r="V2" s="0" t="n">
        <f aca="false">IF(L2=1,(MIN(35,(D2-C2)))*(M2/(M2+N2))*(Q2/(Q2+R2)),(MAX(-35,(D2-C2)))*(IF(N2=0,0.1,(N2/(M2+N2))))*(R2/(R2+Q2)))</f>
        <v>-13.147095959596</v>
      </c>
    </row>
    <row r="3" customFormat="false" ht="15" hidden="false" customHeight="false" outlineLevel="0" collapsed="false">
      <c r="A3" s="0" t="s">
        <v>125</v>
      </c>
      <c r="B3" s="0" t="s">
        <v>8</v>
      </c>
      <c r="C3" s="0" t="n">
        <v>0</v>
      </c>
      <c r="D3" s="0" t="n">
        <v>55</v>
      </c>
      <c r="E3" s="0" t="n">
        <v>79</v>
      </c>
      <c r="F3" s="0" t="n">
        <v>278</v>
      </c>
      <c r="G3" s="0" t="n">
        <v>57</v>
      </c>
      <c r="H3" s="0" t="n">
        <v>281</v>
      </c>
      <c r="I3" s="0" t="n">
        <v>0</v>
      </c>
      <c r="J3" s="0" t="n">
        <v>1</v>
      </c>
      <c r="K3" s="0" t="n">
        <v>0</v>
      </c>
      <c r="L3" s="0" t="n">
        <v>1</v>
      </c>
      <c r="M3" s="0" t="n">
        <f aca="false">VLOOKUP(A3,'Team Data'!$A$1:$P$133,2,FALSE())</f>
        <v>6</v>
      </c>
      <c r="N3" s="0" t="n">
        <f aca="false">VLOOKUP(A3,'Team Data'!$A$1:$P$133,3,FALSE())</f>
        <v>7</v>
      </c>
      <c r="O3" s="0" t="n">
        <f aca="false">VLOOKUP(B3,'Team Data'!$A$1:$P$133,2,FALSE())</f>
        <v>11</v>
      </c>
      <c r="P3" s="0" t="n">
        <f aca="false">VLOOKUP(B3,'Team Data'!$A$1:$P$133,3,FALSE())</f>
        <v>2</v>
      </c>
      <c r="Q3" s="0" t="n">
        <f aca="false">VLOOKUP(A3,'Team Data'!$A$1:$P$133,4,FALSE())</f>
        <v>87</v>
      </c>
      <c r="R3" s="0" t="n">
        <f aca="false">VLOOKUP(A3,'Team Data'!$A$1:$P$133,5,FALSE())</f>
        <v>186</v>
      </c>
      <c r="S3" s="0" t="n">
        <f aca="false">VLOOKUP(B3,'Team Data'!$A$1:$P$133,4,FALSE())</f>
        <v>96</v>
      </c>
      <c r="T3" s="0" t="n">
        <f aca="false">VLOOKUP(B3,'Team Data'!$A$1:$P$133,5,FALSE())</f>
        <v>178</v>
      </c>
      <c r="U3" s="0" t="n">
        <f aca="false">IF(K3=1,(MIN(35,(C3-D3)))*(O3/(O3+P3))*(S3/(S3+T3)),(MAX(-35,(C3-D3)))*(IF(P3=0,0.1,(P3/(O3+P3))))*(T3/(S3+T3)))</f>
        <v>-3.49803481190343</v>
      </c>
      <c r="V3" s="0" t="n">
        <f aca="false">IF(L3=1,(MIN(35,(D3-C3)))*(M3/(M3+N3))*(Q3/(Q3+R3)),(MAX(-35,(D3-C3)))*(IF(N3=0,0.1,(N3/(M3+N3))))*(R3/(R3+Q3)))</f>
        <v>5.14792899408284</v>
      </c>
    </row>
    <row r="4" customFormat="false" ht="15" hidden="false" customHeight="false" outlineLevel="0" collapsed="false">
      <c r="A4" s="0" t="s">
        <v>26</v>
      </c>
      <c r="B4" s="0" t="s">
        <v>12</v>
      </c>
      <c r="C4" s="0" t="n">
        <v>24</v>
      </c>
      <c r="D4" s="0" t="n">
        <v>31</v>
      </c>
      <c r="E4" s="0" t="n">
        <v>113</v>
      </c>
      <c r="F4" s="0" t="n">
        <v>224</v>
      </c>
      <c r="G4" s="0" t="n">
        <v>325</v>
      </c>
      <c r="H4" s="0" t="n">
        <v>223</v>
      </c>
      <c r="I4" s="0" t="n">
        <v>2</v>
      </c>
      <c r="J4" s="0" t="n">
        <v>1</v>
      </c>
      <c r="K4" s="0" t="n">
        <v>0</v>
      </c>
      <c r="L4" s="0" t="n">
        <v>1</v>
      </c>
      <c r="M4" s="0" t="n">
        <f aca="false">VLOOKUP(A4,'Team Data'!$A$1:$P$133,2,FALSE())</f>
        <v>9</v>
      </c>
      <c r="N4" s="0" t="n">
        <f aca="false">VLOOKUP(A4,'Team Data'!$A$1:$P$133,3,FALSE())</f>
        <v>4</v>
      </c>
      <c r="O4" s="0" t="n">
        <f aca="false">VLOOKUP(B4,'Team Data'!$A$1:$P$133,2,FALSE())</f>
        <v>7</v>
      </c>
      <c r="P4" s="0" t="n">
        <f aca="false">VLOOKUP(B4,'Team Data'!$A$1:$P$133,3,FALSE())</f>
        <v>6</v>
      </c>
      <c r="Q4" s="0" t="n">
        <f aca="false">VLOOKUP(A4,'Team Data'!$A$1:$P$133,4,FALSE())</f>
        <v>82</v>
      </c>
      <c r="R4" s="0" t="n">
        <f aca="false">VLOOKUP(A4,'Team Data'!$A$1:$P$133,5,FALSE())</f>
        <v>191</v>
      </c>
      <c r="S4" s="0" t="n">
        <f aca="false">VLOOKUP(B4,'Team Data'!$A$1:$P$133,4,FALSE())</f>
        <v>101</v>
      </c>
      <c r="T4" s="0" t="n">
        <f aca="false">VLOOKUP(B4,'Team Data'!$A$1:$P$133,5,FALSE())</f>
        <v>174</v>
      </c>
      <c r="U4" s="0" t="n">
        <f aca="false">IF(K4=1,(MIN(35,(C4-D4)))*(O4/(O4+P4))*(S4/(S4+T4)),(MAX(-35,(C4-D4)))*(IF(P4=0,0.1,(P4/(O4+P4))))*(T4/(S4+T4)))</f>
        <v>-2.0441958041958</v>
      </c>
      <c r="V4" s="0" t="n">
        <f aca="false">IF(L4=1,(MIN(35,(D4-C4)))*(M4/(M4+N4))*(Q4/(Q4+R4)),(MAX(-35,(D4-C4)))*(IF(N4=0,0.1,(N4/(M4+N4))))*(R4/(R4+Q4)))</f>
        <v>1.45562130177515</v>
      </c>
    </row>
    <row r="5" customFormat="false" ht="15" hidden="false" customHeight="false" outlineLevel="0" collapsed="false">
      <c r="A5" s="0" t="s">
        <v>198</v>
      </c>
      <c r="B5" s="0" t="s">
        <v>15</v>
      </c>
      <c r="C5" s="0" t="n">
        <v>16</v>
      </c>
      <c r="D5" s="0" t="n">
        <v>42</v>
      </c>
      <c r="E5" s="0" t="n">
        <v>74</v>
      </c>
      <c r="F5" s="0" t="n">
        <v>285</v>
      </c>
      <c r="G5" s="0" t="n">
        <v>197</v>
      </c>
      <c r="H5" s="0" t="n">
        <v>212</v>
      </c>
      <c r="I5" s="0" t="n">
        <v>0</v>
      </c>
      <c r="J5" s="0" t="n">
        <v>2</v>
      </c>
      <c r="K5" s="0" t="n">
        <v>0</v>
      </c>
      <c r="L5" s="0" t="n">
        <v>1</v>
      </c>
      <c r="M5" s="0" t="n">
        <f aca="false">VLOOKUP(A5,'Team Data'!$A$1:$P$133,2,FALSE())</f>
        <v>8</v>
      </c>
      <c r="N5" s="0" t="n">
        <f aca="false">VLOOKUP(A5,'Team Data'!$A$1:$P$133,3,FALSE())</f>
        <v>112</v>
      </c>
      <c r="O5" s="0" t="n">
        <f aca="false">VLOOKUP(B5,'Team Data'!$A$1:$P$133,2,FALSE())</f>
        <v>5</v>
      </c>
      <c r="P5" s="0" t="n">
        <f aca="false">VLOOKUP(B5,'Team Data'!$A$1:$P$133,3,FALSE())</f>
        <v>7</v>
      </c>
      <c r="Q5" s="0" t="n">
        <f aca="false">VLOOKUP(A5,'Team Data'!$A$1:$P$133,4,FALSE())</f>
        <v>805</v>
      </c>
      <c r="R5" s="0" t="n">
        <f aca="false">VLOOKUP(A5,'Team Data'!$A$1:$P$133,5,FALSE())</f>
        <v>725</v>
      </c>
      <c r="S5" s="0" t="n">
        <f aca="false">VLOOKUP(B5,'Team Data'!$A$1:$P$133,4,FALSE())</f>
        <v>106</v>
      </c>
      <c r="T5" s="0" t="n">
        <f aca="false">VLOOKUP(B5,'Team Data'!$A$1:$P$133,5,FALSE())</f>
        <v>159</v>
      </c>
      <c r="U5" s="0" t="n">
        <f aca="false">IF(K5=1,(MIN(35,(C5-D5)))*(O5/(O5+P5))*(S5/(S5+T5)),(MAX(-35,(C5-D5)))*(IF(P5=0,0.1,(P5/(O5+P5))))*(T5/(S5+T5)))</f>
        <v>-9.1</v>
      </c>
      <c r="V5" s="0" t="n">
        <f aca="false">IF(L5=1,(MIN(35,(D5-C5)))*(M5/(M5+N5))*(Q5/(Q5+R5)),(MAX(-35,(D5-C5)))*(IF(N5=0,0.1,(N5/(M5+N5))))*(R5/(R5+Q5)))</f>
        <v>0.9119825708061</v>
      </c>
    </row>
    <row r="6" customFormat="false" ht="15" hidden="false" customHeight="false" outlineLevel="0" collapsed="false">
      <c r="A6" s="0" t="s">
        <v>124</v>
      </c>
      <c r="B6" s="0" t="s">
        <v>35</v>
      </c>
      <c r="C6" s="0" t="n">
        <v>26</v>
      </c>
      <c r="D6" s="0" t="n">
        <v>29</v>
      </c>
      <c r="E6" s="0" t="n">
        <v>230</v>
      </c>
      <c r="F6" s="0" t="n">
        <v>283</v>
      </c>
      <c r="G6" s="0" t="n">
        <v>216</v>
      </c>
      <c r="H6" s="0" t="n">
        <v>168</v>
      </c>
      <c r="I6" s="0" t="n">
        <v>1</v>
      </c>
      <c r="J6" s="0" t="n">
        <v>1</v>
      </c>
      <c r="K6" s="0" t="n">
        <v>0</v>
      </c>
      <c r="L6" s="0" t="n">
        <v>1</v>
      </c>
      <c r="M6" s="0" t="n">
        <f aca="false">VLOOKUP(A6,'Team Data'!$A$1:$P$133,2,FALSE())</f>
        <v>10</v>
      </c>
      <c r="N6" s="0" t="n">
        <f aca="false">VLOOKUP(A6,'Team Data'!$A$1:$P$133,3,FALSE())</f>
        <v>4</v>
      </c>
      <c r="O6" s="0" t="n">
        <f aca="false">VLOOKUP(B6,'Team Data'!$A$1:$P$133,2,FALSE())</f>
        <v>6</v>
      </c>
      <c r="P6" s="0" t="n">
        <f aca="false">VLOOKUP(B6,'Team Data'!$A$1:$P$133,3,FALSE())</f>
        <v>7</v>
      </c>
      <c r="Q6" s="0" t="n">
        <f aca="false">VLOOKUP(A6,'Team Data'!$A$1:$P$133,4,FALSE())</f>
        <v>102</v>
      </c>
      <c r="R6" s="0" t="n">
        <f aca="false">VLOOKUP(A6,'Team Data'!$A$1:$P$133,5,FALSE())</f>
        <v>185</v>
      </c>
      <c r="S6" s="0" t="n">
        <f aca="false">VLOOKUP(B6,'Team Data'!$A$1:$P$133,4,FALSE())</f>
        <v>106</v>
      </c>
      <c r="T6" s="0" t="n">
        <f aca="false">VLOOKUP(B6,'Team Data'!$A$1:$P$133,5,FALSE())</f>
        <v>171</v>
      </c>
      <c r="U6" s="0" t="n">
        <f aca="false">IF(K6=1,(MIN(35,(C6-D6)))*(O6/(O6+P6))*(S6/(S6+T6)),(MAX(-35,(C6-D6)))*(IF(P6=0,0.1,(P6/(O6+P6))))*(T6/(S6+T6)))</f>
        <v>-0.997222993612885</v>
      </c>
      <c r="V6" s="0" t="n">
        <f aca="false">IF(L6=1,(MIN(35,(D6-C6)))*(M6/(M6+N6))*(Q6/(Q6+R6)),(MAX(-35,(D6-C6)))*(IF(N6=0,0.1,(N6/(M6+N6))))*(R6/(R6+Q6)))</f>
        <v>0.761572921851668</v>
      </c>
    </row>
    <row r="7" customFormat="false" ht="15" hidden="false" customHeight="false" outlineLevel="0" collapsed="false">
      <c r="A7" s="0" t="s">
        <v>88</v>
      </c>
      <c r="B7" s="0" t="s">
        <v>39</v>
      </c>
      <c r="C7" s="0" t="n">
        <v>3</v>
      </c>
      <c r="D7" s="0" t="n">
        <v>49</v>
      </c>
      <c r="E7" s="0" t="n">
        <v>140</v>
      </c>
      <c r="F7" s="0" t="n">
        <v>132</v>
      </c>
      <c r="G7" s="0" t="n">
        <v>173</v>
      </c>
      <c r="H7" s="0" t="n">
        <v>439</v>
      </c>
      <c r="I7" s="0" t="n">
        <v>2</v>
      </c>
      <c r="J7" s="0" t="n">
        <v>0</v>
      </c>
      <c r="K7" s="0" t="n">
        <v>0</v>
      </c>
      <c r="L7" s="0" t="n">
        <v>1</v>
      </c>
      <c r="M7" s="0" t="n">
        <f aca="false">VLOOKUP(A7,'Team Data'!$A$1:$P$133,2,FALSE())</f>
        <v>10</v>
      </c>
      <c r="N7" s="0" t="n">
        <f aca="false">VLOOKUP(A7,'Team Data'!$A$1:$P$133,3,FALSE())</f>
        <v>3</v>
      </c>
      <c r="O7" s="0" t="n">
        <f aca="false">VLOOKUP(B7,'Team Data'!$A$1:$P$133,2,FALSE())</f>
        <v>15</v>
      </c>
      <c r="P7" s="0" t="n">
        <f aca="false">VLOOKUP(B7,'Team Data'!$A$1:$P$133,3,FALSE())</f>
        <v>0</v>
      </c>
      <c r="Q7" s="0" t="n">
        <f aca="false">VLOOKUP(A7,'Team Data'!$A$1:$P$133,4,FALSE())</f>
        <v>100</v>
      </c>
      <c r="R7" s="0" t="n">
        <f aca="false">VLOOKUP(A7,'Team Data'!$A$1:$P$133,5,FALSE())</f>
        <v>176</v>
      </c>
      <c r="S7" s="0" t="n">
        <f aca="false">VLOOKUP(B7,'Team Data'!$A$1:$P$133,4,FALSE())</f>
        <v>119</v>
      </c>
      <c r="T7" s="0" t="n">
        <f aca="false">VLOOKUP(B7,'Team Data'!$A$1:$P$133,5,FALSE())</f>
        <v>182</v>
      </c>
      <c r="U7" s="0" t="n">
        <f aca="false">IF(K7=1,(MIN(35,(C7-D7)))*(O7/(O7+P7))*(S7/(S7+T7)),(MAX(-35,(C7-D7)))*(IF(P7=0,0.1,(P7/(O7+P7))))*(T7/(S7+T7)))</f>
        <v>-2.11627906976744</v>
      </c>
      <c r="V7" s="0" t="n">
        <f aca="false">IF(L7=1,(MIN(35,(D7-C7)))*(M7/(M7+N7))*(Q7/(Q7+R7)),(MAX(-35,(D7-C7)))*(IF(N7=0,0.1,(N7/(M7+N7))))*(R7/(R7+Q7)))</f>
        <v>9.75473801560758</v>
      </c>
    </row>
    <row r="8" customFormat="false" ht="15" hidden="false" customHeight="false" outlineLevel="0" collapsed="false">
      <c r="A8" s="0" t="s">
        <v>64</v>
      </c>
      <c r="B8" s="0" t="s">
        <v>53</v>
      </c>
      <c r="C8" s="0" t="n">
        <v>13</v>
      </c>
      <c r="D8" s="0" t="n">
        <v>37</v>
      </c>
      <c r="E8" s="0" t="n">
        <v>111</v>
      </c>
      <c r="F8" s="0" t="n">
        <v>50</v>
      </c>
      <c r="G8" s="0" t="n">
        <v>179</v>
      </c>
      <c r="H8" s="0" t="n">
        <v>303</v>
      </c>
      <c r="I8" s="0" t="n">
        <v>1</v>
      </c>
      <c r="J8" s="0" t="n">
        <v>1</v>
      </c>
      <c r="K8" s="0" t="n">
        <v>0</v>
      </c>
      <c r="L8" s="0" t="n">
        <v>1</v>
      </c>
      <c r="M8" s="0" t="n">
        <f aca="false">VLOOKUP(A8,'Team Data'!$A$1:$P$133,2,FALSE())</f>
        <v>6</v>
      </c>
      <c r="N8" s="0" t="n">
        <f aca="false">VLOOKUP(A8,'Team Data'!$A$1:$P$133,3,FALSE())</f>
        <v>7</v>
      </c>
      <c r="O8" s="0" t="n">
        <f aca="false">VLOOKUP(B8,'Team Data'!$A$1:$P$133,2,FALSE())</f>
        <v>7</v>
      </c>
      <c r="P8" s="0" t="n">
        <f aca="false">VLOOKUP(B8,'Team Data'!$A$1:$P$133,3,FALSE())</f>
        <v>6</v>
      </c>
      <c r="Q8" s="0" t="n">
        <f aca="false">VLOOKUP(A8,'Team Data'!$A$1:$P$133,4,FALSE())</f>
        <v>75</v>
      </c>
      <c r="R8" s="0" t="n">
        <f aca="false">VLOOKUP(A8,'Team Data'!$A$1:$P$133,5,FALSE())</f>
        <v>196</v>
      </c>
      <c r="S8" s="0" t="n">
        <f aca="false">VLOOKUP(B8,'Team Data'!$A$1:$P$133,4,FALSE())</f>
        <v>101</v>
      </c>
      <c r="T8" s="0" t="n">
        <f aca="false">VLOOKUP(B8,'Team Data'!$A$1:$P$133,5,FALSE())</f>
        <v>175</v>
      </c>
      <c r="U8" s="0" t="n">
        <f aca="false">IF(K8=1,(MIN(35,(C8-D8)))*(O8/(O8+P8))*(S8/(S8+T8)),(MAX(-35,(C8-D8)))*(IF(P8=0,0.1,(P8/(O8+P8))))*(T8/(S8+T8)))</f>
        <v>-7.02341137123746</v>
      </c>
      <c r="V8" s="0" t="n">
        <f aca="false">IF(L8=1,(MIN(35,(D8-C8)))*(M8/(M8+N8))*(Q8/(Q8+R8)),(MAX(-35,(D8-C8)))*(IF(N8=0,0.1,(N8/(M8+N8))))*(R8/(R8+Q8)))</f>
        <v>3.06556911722963</v>
      </c>
    </row>
    <row r="9" customFormat="false" ht="15" hidden="false" customHeight="false" outlineLevel="0" collapsed="false">
      <c r="A9" s="0" t="s">
        <v>111</v>
      </c>
      <c r="B9" s="0" t="s">
        <v>87</v>
      </c>
      <c r="C9" s="0" t="n">
        <v>10</v>
      </c>
      <c r="D9" s="0" t="n">
        <v>28</v>
      </c>
      <c r="E9" s="0" t="n">
        <v>60</v>
      </c>
      <c r="F9" s="0" t="n">
        <v>266</v>
      </c>
      <c r="G9" s="0" t="n">
        <v>286</v>
      </c>
      <c r="H9" s="0" t="n">
        <v>167</v>
      </c>
      <c r="I9" s="0" t="n">
        <v>2</v>
      </c>
      <c r="J9" s="0" t="n">
        <v>3</v>
      </c>
      <c r="K9" s="0" t="n">
        <v>0</v>
      </c>
      <c r="L9" s="0" t="n">
        <v>1</v>
      </c>
      <c r="M9" s="0" t="n">
        <f aca="false">VLOOKUP(A9,'Team Data'!$A$1:$P$133,2,FALSE())</f>
        <v>12</v>
      </c>
      <c r="N9" s="0" t="n">
        <f aca="false">VLOOKUP(A9,'Team Data'!$A$1:$P$133,3,FALSE())</f>
        <v>2</v>
      </c>
      <c r="O9" s="0" t="n">
        <f aca="false">VLOOKUP(B9,'Team Data'!$A$1:$P$133,2,FALSE())</f>
        <v>8</v>
      </c>
      <c r="P9" s="0" t="n">
        <f aca="false">VLOOKUP(B9,'Team Data'!$A$1:$P$133,3,FALSE())</f>
        <v>5</v>
      </c>
      <c r="Q9" s="0" t="n">
        <f aca="false">VLOOKUP(A9,'Team Data'!$A$1:$P$133,4,FALSE())</f>
        <v>100</v>
      </c>
      <c r="R9" s="0" t="n">
        <f aca="false">VLOOKUP(A9,'Team Data'!$A$1:$P$133,5,FALSE())</f>
        <v>186</v>
      </c>
      <c r="S9" s="0" t="n">
        <f aca="false">VLOOKUP(B9,'Team Data'!$A$1:$P$133,4,FALSE())</f>
        <v>97</v>
      </c>
      <c r="T9" s="0" t="n">
        <f aca="false">VLOOKUP(B9,'Team Data'!$A$1:$P$133,5,FALSE())</f>
        <v>176</v>
      </c>
      <c r="U9" s="0" t="n">
        <f aca="false">IF(K9=1,(MIN(35,(C9-D9)))*(O9/(O9+P9))*(S9/(S9+T9)),(MAX(-35,(C9-D9)))*(IF(P9=0,0.1,(P9/(O9+P9))))*(T9/(S9+T9)))</f>
        <v>-4.46322907861369</v>
      </c>
      <c r="V9" s="0" t="n">
        <f aca="false">IF(L9=1,(MIN(35,(D9-C9)))*(M9/(M9+N9))*(Q9/(Q9+R9)),(MAX(-35,(D9-C9)))*(IF(N9=0,0.1,(N9/(M9+N9))))*(R9/(R9+Q9)))</f>
        <v>5.39460539460539</v>
      </c>
    </row>
    <row r="10" customFormat="false" ht="15" hidden="false" customHeight="false" outlineLevel="0" collapsed="false">
      <c r="A10" s="0" t="s">
        <v>62</v>
      </c>
      <c r="B10" s="0" t="s">
        <v>69</v>
      </c>
      <c r="C10" s="0" t="n">
        <v>23</v>
      </c>
      <c r="D10" s="0" t="n">
        <v>49</v>
      </c>
      <c r="E10" s="0" t="n">
        <v>129</v>
      </c>
      <c r="F10" s="0" t="n">
        <v>97</v>
      </c>
      <c r="G10" s="0" t="n">
        <v>165</v>
      </c>
      <c r="H10" s="0" t="n">
        <v>450</v>
      </c>
      <c r="I10" s="0" t="n">
        <v>1</v>
      </c>
      <c r="J10" s="0" t="n">
        <v>2</v>
      </c>
      <c r="K10" s="0" t="n">
        <v>0</v>
      </c>
      <c r="L10" s="0" t="n">
        <v>1</v>
      </c>
      <c r="M10" s="0" t="n">
        <f aca="false">VLOOKUP(A10,'Team Data'!$A$1:$P$133,2,FALSE())</f>
        <v>7</v>
      </c>
      <c r="N10" s="0" t="n">
        <f aca="false">VLOOKUP(A10,'Team Data'!$A$1:$P$133,3,FALSE())</f>
        <v>6</v>
      </c>
      <c r="O10" s="0" t="n">
        <f aca="false">VLOOKUP(B10,'Team Data'!$A$1:$P$133,2,FALSE())</f>
        <v>9</v>
      </c>
      <c r="P10" s="0" t="n">
        <f aca="false">VLOOKUP(B10,'Team Data'!$A$1:$P$133,3,FALSE())</f>
        <v>4</v>
      </c>
      <c r="Q10" s="0" t="n">
        <f aca="false">VLOOKUP(A10,'Team Data'!$A$1:$P$133,4,FALSE())</f>
        <v>89</v>
      </c>
      <c r="R10" s="0" t="n">
        <f aca="false">VLOOKUP(A10,'Team Data'!$A$1:$P$133,5,FALSE())</f>
        <v>186</v>
      </c>
      <c r="S10" s="0" t="n">
        <f aca="false">VLOOKUP(B10,'Team Data'!$A$1:$P$133,4,FALSE())</f>
        <v>102</v>
      </c>
      <c r="T10" s="0" t="n">
        <f aca="false">VLOOKUP(B10,'Team Data'!$A$1:$P$133,5,FALSE())</f>
        <v>174</v>
      </c>
      <c r="U10" s="0" t="n">
        <f aca="false">IF(K10=1,(MIN(35,(C10-D10)))*(O10/(O10+P10))*(S10/(S10+T10)),(MAX(-35,(C10-D10)))*(IF(P10=0,0.1,(P10/(O10+P10))))*(T10/(S10+T10)))</f>
        <v>-5.04347826086957</v>
      </c>
      <c r="V10" s="0" t="n">
        <f aca="false">IF(L10=1,(MIN(35,(D10-C10)))*(M10/(M10+N10))*(Q10/(Q10+R10)),(MAX(-35,(D10-C10)))*(IF(N10=0,0.1,(N10/(M10+N10))))*(R10/(R10+Q10)))</f>
        <v>4.53090909090909</v>
      </c>
    </row>
    <row r="11" customFormat="false" ht="15" hidden="false" customHeight="false" outlineLevel="0" collapsed="false">
      <c r="A11" s="0" t="s">
        <v>41</v>
      </c>
      <c r="B11" s="0" t="s">
        <v>99</v>
      </c>
      <c r="C11" s="0" t="n">
        <v>14</v>
      </c>
      <c r="D11" s="0" t="n">
        <v>35</v>
      </c>
      <c r="E11" s="0" t="n">
        <v>200</v>
      </c>
      <c r="F11" s="0" t="n">
        <v>79</v>
      </c>
      <c r="G11" s="0" t="n">
        <v>111</v>
      </c>
      <c r="H11" s="0" t="n">
        <v>227</v>
      </c>
      <c r="I11" s="0" t="n">
        <v>1</v>
      </c>
      <c r="J11" s="0" t="n">
        <v>2</v>
      </c>
      <c r="K11" s="0" t="n">
        <v>0</v>
      </c>
      <c r="L11" s="0" t="n">
        <v>1</v>
      </c>
      <c r="M11" s="0" t="n">
        <f aca="false">VLOOKUP(A11,'Team Data'!$A$1:$P$133,2,FALSE())</f>
        <v>4</v>
      </c>
      <c r="N11" s="0" t="n">
        <f aca="false">VLOOKUP(A11,'Team Data'!$A$1:$P$133,3,FALSE())</f>
        <v>8</v>
      </c>
      <c r="O11" s="0" t="n">
        <f aca="false">VLOOKUP(B11,'Team Data'!$A$1:$P$133,2,FALSE())</f>
        <v>8</v>
      </c>
      <c r="P11" s="0" t="n">
        <f aca="false">VLOOKUP(B11,'Team Data'!$A$1:$P$133,3,FALSE())</f>
        <v>5</v>
      </c>
      <c r="Q11" s="0" t="n">
        <f aca="false">VLOOKUP(A11,'Team Data'!$A$1:$P$133,4,FALSE())</f>
        <v>78</v>
      </c>
      <c r="R11" s="0" t="n">
        <f aca="false">VLOOKUP(A11,'Team Data'!$A$1:$P$133,5,FALSE())</f>
        <v>72</v>
      </c>
      <c r="S11" s="0" t="n">
        <f aca="false">VLOOKUP(B11,'Team Data'!$A$1:$P$133,4,FALSE())</f>
        <v>97</v>
      </c>
      <c r="T11" s="0" t="n">
        <f aca="false">VLOOKUP(B11,'Team Data'!$A$1:$P$133,5,FALSE())</f>
        <v>178</v>
      </c>
      <c r="U11" s="0" t="n">
        <f aca="false">IF(K11=1,(MIN(35,(C11-D11)))*(O11/(O11+P11))*(S11/(S11+T11)),(MAX(-35,(C11-D11)))*(IF(P11=0,0.1,(P11/(O11+P11))))*(T11/(S11+T11)))</f>
        <v>-5.22797202797203</v>
      </c>
      <c r="V11" s="0" t="n">
        <f aca="false">IF(L11=1,(MIN(35,(D11-C11)))*(M11/(M11+N11))*(Q11/(Q11+R11)),(MAX(-35,(D11-C11)))*(IF(N11=0,0.1,(N11/(M11+N11))))*(R11/(R11+Q11)))</f>
        <v>3.64</v>
      </c>
    </row>
    <row r="12" customFormat="false" ht="15" hidden="false" customHeight="false" outlineLevel="0" collapsed="false">
      <c r="A12" s="0" t="s">
        <v>17</v>
      </c>
      <c r="B12" s="0" t="s">
        <v>105</v>
      </c>
      <c r="C12" s="0" t="n">
        <v>10</v>
      </c>
      <c r="D12" s="0" t="n">
        <v>59</v>
      </c>
      <c r="E12" s="0" t="n">
        <v>74</v>
      </c>
      <c r="F12" s="0" t="n">
        <v>218</v>
      </c>
      <c r="G12" s="0" t="n">
        <v>269</v>
      </c>
      <c r="H12" s="0" t="n">
        <v>351</v>
      </c>
      <c r="I12" s="0" t="n">
        <v>3</v>
      </c>
      <c r="J12" s="0" t="n">
        <v>1</v>
      </c>
      <c r="K12" s="0" t="n">
        <v>0</v>
      </c>
      <c r="L12" s="0" t="n">
        <v>1</v>
      </c>
      <c r="M12" s="0" t="n">
        <f aca="false">VLOOKUP(A12,'Team Data'!$A$1:$P$133,2,FALSE())</f>
        <v>5</v>
      </c>
      <c r="N12" s="0" t="n">
        <f aca="false">VLOOKUP(A12,'Team Data'!$A$1:$P$133,3,FALSE())</f>
        <v>7</v>
      </c>
      <c r="O12" s="0" t="n">
        <f aca="false">VLOOKUP(B12,'Team Data'!$A$1:$P$133,2,FALSE())</f>
        <v>11</v>
      </c>
      <c r="P12" s="0" t="n">
        <f aca="false">VLOOKUP(B12,'Team Data'!$A$1:$P$133,3,FALSE())</f>
        <v>2</v>
      </c>
      <c r="Q12" s="0" t="n">
        <f aca="false">VLOOKUP(A12,'Team Data'!$A$1:$P$133,4,FALSE())</f>
        <v>82</v>
      </c>
      <c r="R12" s="0" t="n">
        <f aca="false">VLOOKUP(A12,'Team Data'!$A$1:$P$133,5,FALSE())</f>
        <v>179</v>
      </c>
      <c r="S12" s="0" t="n">
        <f aca="false">VLOOKUP(B12,'Team Data'!$A$1:$P$133,4,FALSE())</f>
        <v>103</v>
      </c>
      <c r="T12" s="0" t="n">
        <f aca="false">VLOOKUP(B12,'Team Data'!$A$1:$P$133,5,FALSE())</f>
        <v>174</v>
      </c>
      <c r="U12" s="0" t="n">
        <f aca="false">IF(K12=1,(MIN(35,(C12-D12)))*(O12/(O12+P12))*(S12/(S12+T12)),(MAX(-35,(C12-D12)))*(IF(P12=0,0.1,(P12/(O12+P12))))*(T12/(S12+T12)))</f>
        <v>-3.38239377950569</v>
      </c>
      <c r="V12" s="0" t="n">
        <f aca="false">IF(L12=1,(MIN(35,(D12-C12)))*(M12/(M12+N12))*(Q12/(Q12+R12)),(MAX(-35,(D12-C12)))*(IF(N12=0,0.1,(N12/(M12+N12))))*(R12/(R12+Q12)))</f>
        <v>4.58173690932312</v>
      </c>
    </row>
    <row r="13" customFormat="false" ht="15" hidden="false" customHeight="false" outlineLevel="0" collapsed="false">
      <c r="A13" s="0" t="s">
        <v>198</v>
      </c>
      <c r="B13" s="0" t="s">
        <v>107</v>
      </c>
      <c r="C13" s="0" t="n">
        <v>0</v>
      </c>
      <c r="D13" s="0" t="n">
        <v>31</v>
      </c>
      <c r="E13" s="0" t="n">
        <v>107</v>
      </c>
      <c r="F13" s="0" t="n">
        <v>110</v>
      </c>
      <c r="G13" s="0" t="n">
        <v>91</v>
      </c>
      <c r="H13" s="0" t="n">
        <v>387</v>
      </c>
      <c r="I13" s="0" t="n">
        <v>2</v>
      </c>
      <c r="J13" s="0" t="n">
        <v>2</v>
      </c>
      <c r="K13" s="0" t="n">
        <v>0</v>
      </c>
      <c r="L13" s="0" t="n">
        <v>1</v>
      </c>
      <c r="M13" s="0" t="n">
        <f aca="false">VLOOKUP(A13,'Team Data'!$A$1:$P$133,2,FALSE())</f>
        <v>8</v>
      </c>
      <c r="N13" s="0" t="n">
        <f aca="false">VLOOKUP(A13,'Team Data'!$A$1:$P$133,3,FALSE())</f>
        <v>112</v>
      </c>
      <c r="O13" s="0" t="n">
        <f aca="false">VLOOKUP(B13,'Team Data'!$A$1:$P$133,2,FALSE())</f>
        <v>5</v>
      </c>
      <c r="P13" s="0" t="n">
        <f aca="false">VLOOKUP(B13,'Team Data'!$A$1:$P$133,3,FALSE())</f>
        <v>7</v>
      </c>
      <c r="Q13" s="0" t="n">
        <f aca="false">VLOOKUP(A13,'Team Data'!$A$1:$P$133,4,FALSE())</f>
        <v>805</v>
      </c>
      <c r="R13" s="0" t="n">
        <f aca="false">VLOOKUP(A13,'Team Data'!$A$1:$P$133,5,FALSE())</f>
        <v>725</v>
      </c>
      <c r="S13" s="0" t="n">
        <f aca="false">VLOOKUP(B13,'Team Data'!$A$1:$P$133,4,FALSE())</f>
        <v>84</v>
      </c>
      <c r="T13" s="0" t="n">
        <f aca="false">VLOOKUP(B13,'Team Data'!$A$1:$P$133,5,FALSE())</f>
        <v>176</v>
      </c>
      <c r="U13" s="0" t="n">
        <f aca="false">IF(K13=1,(MIN(35,(C13-D13)))*(O13/(O13+P13))*(S13/(S13+T13)),(MAX(-35,(C13-D13)))*(IF(P13=0,0.1,(P13/(O13+P13))))*(T13/(S13+T13)))</f>
        <v>-12.2410256410256</v>
      </c>
      <c r="V13" s="0" t="n">
        <f aca="false">IF(L13=1,(MIN(35,(D13-C13)))*(M13/(M13+N13))*(Q13/(Q13+R13)),(MAX(-35,(D13-C13)))*(IF(N13=0,0.1,(N13/(M13+N13))))*(R13/(R13+Q13)))</f>
        <v>1.08736383442266</v>
      </c>
    </row>
    <row r="14" customFormat="false" ht="15" hidden="false" customHeight="false" outlineLevel="0" collapsed="false">
      <c r="A14" s="0" t="s">
        <v>198</v>
      </c>
      <c r="B14" s="0" t="s">
        <v>126</v>
      </c>
      <c r="C14" s="0" t="n">
        <v>31</v>
      </c>
      <c r="D14" s="0" t="n">
        <v>42</v>
      </c>
      <c r="E14" s="0" t="n">
        <v>152</v>
      </c>
      <c r="F14" s="0" t="n">
        <v>179</v>
      </c>
      <c r="G14" s="0" t="n">
        <v>343</v>
      </c>
      <c r="H14" s="0" t="n">
        <v>245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f aca="false">VLOOKUP(A14,'Team Data'!$A$1:$P$133,2,FALSE())</f>
        <v>8</v>
      </c>
      <c r="N14" s="0" t="n">
        <f aca="false">VLOOKUP(A14,'Team Data'!$A$1:$P$133,3,FALSE())</f>
        <v>112</v>
      </c>
      <c r="O14" s="0" t="n">
        <f aca="false">VLOOKUP(B14,'Team Data'!$A$1:$P$133,2,FALSE())</f>
        <v>5</v>
      </c>
      <c r="P14" s="0" t="n">
        <f aca="false">VLOOKUP(B14,'Team Data'!$A$1:$P$133,3,FALSE())</f>
        <v>7</v>
      </c>
      <c r="Q14" s="0" t="n">
        <f aca="false">VLOOKUP(A14,'Team Data'!$A$1:$P$133,4,FALSE())</f>
        <v>805</v>
      </c>
      <c r="R14" s="0" t="n">
        <f aca="false">VLOOKUP(A14,'Team Data'!$A$1:$P$133,5,FALSE())</f>
        <v>725</v>
      </c>
      <c r="S14" s="0" t="n">
        <f aca="false">VLOOKUP(B14,'Team Data'!$A$1:$P$133,4,FALSE())</f>
        <v>94</v>
      </c>
      <c r="T14" s="0" t="n">
        <f aca="false">VLOOKUP(B14,'Team Data'!$A$1:$P$133,5,FALSE())</f>
        <v>170</v>
      </c>
      <c r="U14" s="0" t="n">
        <f aca="false">IF(K14=1,(MIN(35,(C14-D14)))*(O14/(O14+P14))*(S14/(S14+T14)),(MAX(-35,(C14-D14)))*(IF(P14=0,0.1,(P14/(O14+P14))))*(T14/(S14+T14)))</f>
        <v>-4.13194444444445</v>
      </c>
      <c r="V14" s="0" t="n">
        <f aca="false">IF(L14=1,(MIN(35,(D14-C14)))*(M14/(M14+N14))*(Q14/(Q14+R14)),(MAX(-35,(D14-C14)))*(IF(N14=0,0.1,(N14/(M14+N14))))*(R14/(R14+Q14)))</f>
        <v>0.385838779956427</v>
      </c>
    </row>
    <row r="15" customFormat="false" ht="15" hidden="false" customHeight="false" outlineLevel="0" collapsed="false">
      <c r="A15" s="0" t="s">
        <v>54</v>
      </c>
      <c r="B15" s="0" t="s">
        <v>37</v>
      </c>
      <c r="C15" s="0" t="n">
        <v>23</v>
      </c>
      <c r="D15" s="0" t="n">
        <v>24</v>
      </c>
      <c r="E15" s="0" t="n">
        <v>139</v>
      </c>
      <c r="F15" s="0" t="n">
        <v>132</v>
      </c>
      <c r="G15" s="0" t="n">
        <v>209</v>
      </c>
      <c r="H15" s="0" t="n">
        <v>260</v>
      </c>
      <c r="I15" s="0" t="n">
        <v>2</v>
      </c>
      <c r="J15" s="0" t="n">
        <v>1</v>
      </c>
      <c r="K15" s="0" t="n">
        <v>0</v>
      </c>
      <c r="L15" s="0" t="n">
        <v>1</v>
      </c>
      <c r="M15" s="0" t="n">
        <f aca="false">VLOOKUP(A15,'Team Data'!$A$1:$P$133,2,FALSE())</f>
        <v>10</v>
      </c>
      <c r="N15" s="0" t="n">
        <f aca="false">VLOOKUP(A15,'Team Data'!$A$1:$P$133,3,FALSE())</f>
        <v>4</v>
      </c>
      <c r="O15" s="0" t="n">
        <f aca="false">VLOOKUP(B15,'Team Data'!$A$1:$P$133,2,FALSE())</f>
        <v>10</v>
      </c>
      <c r="P15" s="0" t="n">
        <f aca="false">VLOOKUP(B15,'Team Data'!$A$1:$P$133,3,FALSE())</f>
        <v>3</v>
      </c>
      <c r="Q15" s="0" t="n">
        <f aca="false">VLOOKUP(A15,'Team Data'!$A$1:$P$133,4,FALSE())</f>
        <v>112</v>
      </c>
      <c r="R15" s="0" t="n">
        <f aca="false">VLOOKUP(A15,'Team Data'!$A$1:$P$133,5,FALSE())</f>
        <v>177</v>
      </c>
      <c r="S15" s="0" t="n">
        <f aca="false">VLOOKUP(B15,'Team Data'!$A$1:$P$133,4,FALSE())</f>
        <v>91</v>
      </c>
      <c r="T15" s="0" t="n">
        <f aca="false">VLOOKUP(B15,'Team Data'!$A$1:$P$133,5,FALSE())</f>
        <v>184</v>
      </c>
      <c r="U15" s="0" t="n">
        <f aca="false">IF(K15=1,(MIN(35,(C15-D15)))*(O15/(O15+P15))*(S15/(S15+T15)),(MAX(-35,(C15-D15)))*(IF(P15=0,0.1,(P15/(O15+P15))))*(T15/(S15+T15)))</f>
        <v>-0.154405594405594</v>
      </c>
      <c r="V15" s="0" t="n">
        <f aca="false">IF(L15=1,(MIN(35,(D15-C15)))*(M15/(M15+N15))*(Q15/(Q15+R15)),(MAX(-35,(D15-C15)))*(IF(N15=0,0.1,(N15/(M15+N15))))*(R15/(R15+Q15)))</f>
        <v>0.27681660899654</v>
      </c>
    </row>
    <row r="16" customFormat="false" ht="15" hidden="false" customHeight="false" outlineLevel="0" collapsed="false">
      <c r="A16" s="0" t="s">
        <v>198</v>
      </c>
      <c r="B16" s="0" t="s">
        <v>11</v>
      </c>
      <c r="C16" s="0" t="n">
        <v>3</v>
      </c>
      <c r="D16" s="0" t="n">
        <v>40</v>
      </c>
      <c r="E16" s="0" t="n">
        <v>23</v>
      </c>
      <c r="F16" s="0" t="n">
        <v>267</v>
      </c>
      <c r="G16" s="0" t="n">
        <v>97</v>
      </c>
      <c r="H16" s="0" t="n">
        <v>152</v>
      </c>
      <c r="I16" s="0" t="n">
        <v>2</v>
      </c>
      <c r="J16" s="0" t="n">
        <v>1</v>
      </c>
      <c r="K16" s="0" t="n">
        <v>0</v>
      </c>
      <c r="L16" s="0" t="n">
        <v>1</v>
      </c>
      <c r="M16" s="0" t="n">
        <f aca="false">VLOOKUP(A16,'Team Data'!$A$1:$P$133,2,FALSE())</f>
        <v>8</v>
      </c>
      <c r="N16" s="0" t="n">
        <f aca="false">VLOOKUP(A16,'Team Data'!$A$1:$P$133,3,FALSE())</f>
        <v>112</v>
      </c>
      <c r="O16" s="0" t="n">
        <f aca="false">VLOOKUP(B16,'Team Data'!$A$1:$P$133,2,FALSE())</f>
        <v>3</v>
      </c>
      <c r="P16" s="0" t="n">
        <f aca="false">VLOOKUP(B16,'Team Data'!$A$1:$P$133,3,FALSE())</f>
        <v>9</v>
      </c>
      <c r="Q16" s="0" t="n">
        <f aca="false">VLOOKUP(A16,'Team Data'!$A$1:$P$133,4,FALSE())</f>
        <v>805</v>
      </c>
      <c r="R16" s="0" t="n">
        <f aca="false">VLOOKUP(A16,'Team Data'!$A$1:$P$133,5,FALSE())</f>
        <v>725</v>
      </c>
      <c r="S16" s="0" t="n">
        <f aca="false">VLOOKUP(B16,'Team Data'!$A$1:$P$133,4,FALSE())</f>
        <v>91</v>
      </c>
      <c r="T16" s="0" t="n">
        <f aca="false">VLOOKUP(B16,'Team Data'!$A$1:$P$133,5,FALSE())</f>
        <v>171</v>
      </c>
      <c r="U16" s="0" t="n">
        <f aca="false">IF(K16=1,(MIN(35,(C16-D16)))*(O16/(O16+P16))*(S16/(S16+T16)),(MAX(-35,(C16-D16)))*(IF(P16=0,0.1,(P16/(O16+P16))))*(T16/(S16+T16)))</f>
        <v>-17.1326335877863</v>
      </c>
      <c r="V16" s="0" t="n">
        <f aca="false">IF(L16=1,(MIN(35,(D16-C16)))*(M16/(M16+N16))*(Q16/(Q16+R16)),(MAX(-35,(D16-C16)))*(IF(N16=0,0.1,(N16/(M16+N16))))*(R16/(R16+Q16)))</f>
        <v>1.2276688453159</v>
      </c>
    </row>
    <row r="17" customFormat="false" ht="15" hidden="false" customHeight="false" outlineLevel="0" collapsed="false">
      <c r="A17" s="0" t="s">
        <v>103</v>
      </c>
      <c r="B17" s="0" t="s">
        <v>29</v>
      </c>
      <c r="C17" s="0" t="n">
        <v>38</v>
      </c>
      <c r="D17" s="0" t="n">
        <v>13</v>
      </c>
      <c r="E17" s="0" t="n">
        <v>275</v>
      </c>
      <c r="F17" s="0" t="n">
        <v>113</v>
      </c>
      <c r="G17" s="0" t="n">
        <v>138</v>
      </c>
      <c r="H17" s="0" t="n">
        <v>235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f aca="false">VLOOKUP(A17,'Team Data'!$A$1:$P$133,2,FALSE())</f>
        <v>13</v>
      </c>
      <c r="N17" s="0" t="n">
        <f aca="false">VLOOKUP(A17,'Team Data'!$A$1:$P$133,3,FALSE())</f>
        <v>2</v>
      </c>
      <c r="O17" s="0" t="n">
        <f aca="false">VLOOKUP(B17,'Team Data'!$A$1:$P$133,2,FALSE())</f>
        <v>1</v>
      </c>
      <c r="P17" s="0" t="n">
        <f aca="false">VLOOKUP(B17,'Team Data'!$A$1:$P$133,3,FALSE())</f>
        <v>11</v>
      </c>
      <c r="Q17" s="0" t="n">
        <f aca="false">VLOOKUP(A17,'Team Data'!$A$1:$P$133,4,FALSE())</f>
        <v>114</v>
      </c>
      <c r="R17" s="0" t="n">
        <f aca="false">VLOOKUP(A17,'Team Data'!$A$1:$P$133,5,FALSE())</f>
        <v>190</v>
      </c>
      <c r="S17" s="0" t="n">
        <f aca="false">VLOOKUP(B17,'Team Data'!$A$1:$P$133,4,FALSE())</f>
        <v>105</v>
      </c>
      <c r="T17" s="0" t="n">
        <f aca="false">VLOOKUP(B17,'Team Data'!$A$1:$P$133,5,FALSE())</f>
        <v>52</v>
      </c>
      <c r="U17" s="0" t="n">
        <f aca="false">IF(K17=1,(MIN(35,(C17-D17)))*(O17/(O17+P17))*(S17/(S17+T17)),(MAX(-35,(C17-D17)))*(IF(P17=0,0.1,(P17/(O17+P17))))*(T17/(S17+T17)))</f>
        <v>1.39331210191083</v>
      </c>
      <c r="V17" s="0" t="n">
        <f aca="false">IF(L17=1,(MIN(35,(D17-C17)))*(M17/(M17+N17))*(Q17/(Q17+R17)),(MAX(-35,(D17-C17)))*(IF(N17=0,0.1,(N17/(M17+N17))))*(R17/(R17+Q17)))</f>
        <v>-2.08333333333333</v>
      </c>
    </row>
    <row r="18" customFormat="false" ht="15" hidden="false" customHeight="false" outlineLevel="0" collapsed="false">
      <c r="A18" s="0" t="s">
        <v>10</v>
      </c>
      <c r="B18" s="0" t="s">
        <v>96</v>
      </c>
      <c r="C18" s="0" t="n">
        <v>38</v>
      </c>
      <c r="D18" s="0" t="n">
        <v>20</v>
      </c>
      <c r="E18" s="0" t="n">
        <v>162</v>
      </c>
      <c r="F18" s="0" t="n">
        <v>170</v>
      </c>
      <c r="G18" s="0" t="n">
        <v>299</v>
      </c>
      <c r="H18" s="0" t="n">
        <v>62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f aca="false">VLOOKUP(A18,'Team Data'!$A$1:$P$133,2,FALSE())</f>
        <v>5</v>
      </c>
      <c r="N18" s="0" t="n">
        <f aca="false">VLOOKUP(A18,'Team Data'!$A$1:$P$133,3,FALSE())</f>
        <v>7</v>
      </c>
      <c r="O18" s="0" t="n">
        <f aca="false">VLOOKUP(B18,'Team Data'!$A$1:$P$133,2,FALSE())</f>
        <v>7</v>
      </c>
      <c r="P18" s="0" t="n">
        <f aca="false">VLOOKUP(B18,'Team Data'!$A$1:$P$133,3,FALSE())</f>
        <v>6</v>
      </c>
      <c r="Q18" s="0" t="n">
        <f aca="false">VLOOKUP(A18,'Team Data'!$A$1:$P$133,4,FALSE())</f>
        <v>90</v>
      </c>
      <c r="R18" s="0" t="n">
        <f aca="false">VLOOKUP(A18,'Team Data'!$A$1:$P$133,5,FALSE())</f>
        <v>172</v>
      </c>
      <c r="S18" s="0" t="n">
        <f aca="false">VLOOKUP(B18,'Team Data'!$A$1:$P$133,4,FALSE())</f>
        <v>89</v>
      </c>
      <c r="T18" s="0" t="n">
        <f aca="false">VLOOKUP(B18,'Team Data'!$A$1:$P$133,5,FALSE())</f>
        <v>186</v>
      </c>
      <c r="U18" s="0" t="n">
        <f aca="false">IF(K18=1,(MIN(35,(C18-D18)))*(O18/(O18+P18))*(S18/(S18+T18)),(MAX(-35,(C18-D18)))*(IF(P18=0,0.1,(P18/(O18+P18))))*(T18/(S18+T18)))</f>
        <v>3.13678321678322</v>
      </c>
      <c r="V18" s="0" t="n">
        <f aca="false">IF(L18=1,(MIN(35,(D18-C18)))*(M18/(M18+N18))*(Q18/(Q18+R18)),(MAX(-35,(D18-C18)))*(IF(N18=0,0.1,(N18/(M18+N18))))*(R18/(R18+Q18)))</f>
        <v>-6.89312977099237</v>
      </c>
    </row>
    <row r="19" customFormat="false" ht="15" hidden="false" customHeight="false" outlineLevel="0" collapsed="false">
      <c r="A19" s="0" t="s">
        <v>198</v>
      </c>
      <c r="B19" s="0" t="s">
        <v>23</v>
      </c>
      <c r="C19" s="0" t="n">
        <v>13</v>
      </c>
      <c r="D19" s="0" t="n">
        <v>34</v>
      </c>
      <c r="E19" s="0" t="n">
        <v>145</v>
      </c>
      <c r="F19" s="0" t="n">
        <v>147</v>
      </c>
      <c r="G19" s="0" t="n">
        <v>242</v>
      </c>
      <c r="H19" s="0" t="n">
        <v>268</v>
      </c>
      <c r="I19" s="0" t="n">
        <v>2</v>
      </c>
      <c r="J19" s="0" t="n">
        <v>1</v>
      </c>
      <c r="K19" s="0" t="n">
        <v>0</v>
      </c>
      <c r="L19" s="0" t="n">
        <v>1</v>
      </c>
      <c r="M19" s="0" t="n">
        <f aca="false">VLOOKUP(A19,'Team Data'!$A$1:$P$133,2,FALSE())</f>
        <v>8</v>
      </c>
      <c r="N19" s="0" t="n">
        <f aca="false">VLOOKUP(A19,'Team Data'!$A$1:$P$133,3,FALSE())</f>
        <v>112</v>
      </c>
      <c r="O19" s="0" t="n">
        <f aca="false">VLOOKUP(B19,'Team Data'!$A$1:$P$133,2,FALSE())</f>
        <v>4</v>
      </c>
      <c r="P19" s="0" t="n">
        <f aca="false">VLOOKUP(B19,'Team Data'!$A$1:$P$133,3,FALSE())</f>
        <v>8</v>
      </c>
      <c r="Q19" s="0" t="n">
        <f aca="false">VLOOKUP(A19,'Team Data'!$A$1:$P$133,4,FALSE())</f>
        <v>805</v>
      </c>
      <c r="R19" s="0" t="n">
        <f aca="false">VLOOKUP(A19,'Team Data'!$A$1:$P$133,5,FALSE())</f>
        <v>725</v>
      </c>
      <c r="S19" s="0" t="n">
        <f aca="false">VLOOKUP(B19,'Team Data'!$A$1:$P$133,4,FALSE())</f>
        <v>89</v>
      </c>
      <c r="T19" s="0" t="n">
        <f aca="false">VLOOKUP(B19,'Team Data'!$A$1:$P$133,5,FALSE())</f>
        <v>171</v>
      </c>
      <c r="U19" s="0" t="n">
        <f aca="false">IF(K19=1,(MIN(35,(C19-D19)))*(O19/(O19+P19))*(S19/(S19+T19)),(MAX(-35,(C19-D19)))*(IF(P19=0,0.1,(P19/(O19+P19))))*(T19/(S19+T19)))</f>
        <v>-9.20769230769231</v>
      </c>
      <c r="V19" s="0" t="n">
        <f aca="false">IF(L19=1,(MIN(35,(D19-C19)))*(M19/(M19+N19))*(Q19/(Q19+R19)),(MAX(-35,(D19-C19)))*(IF(N19=0,0.1,(N19/(M19+N19))))*(R19/(R19+Q19)))</f>
        <v>0.736601307189542</v>
      </c>
    </row>
    <row r="20" customFormat="false" ht="15" hidden="false" customHeight="false" outlineLevel="0" collapsed="false">
      <c r="A20" s="0" t="s">
        <v>19</v>
      </c>
      <c r="B20" s="0" t="s">
        <v>89</v>
      </c>
      <c r="C20" s="0" t="n">
        <v>17</v>
      </c>
      <c r="D20" s="0" t="n">
        <v>34</v>
      </c>
      <c r="E20" s="0" t="n">
        <v>126</v>
      </c>
      <c r="F20" s="0" t="n">
        <v>178</v>
      </c>
      <c r="G20" s="0" t="n">
        <v>185</v>
      </c>
      <c r="H20" s="0" t="n">
        <v>292</v>
      </c>
      <c r="I20" s="0" t="n">
        <v>5</v>
      </c>
      <c r="J20" s="0" t="n">
        <v>3</v>
      </c>
      <c r="K20" s="0" t="n">
        <v>0</v>
      </c>
      <c r="L20" s="0" t="n">
        <v>1</v>
      </c>
      <c r="M20" s="0" t="n">
        <f aca="false">VLOOKUP(A20,'Team Data'!$A$1:$P$133,2,FALSE())</f>
        <v>10</v>
      </c>
      <c r="N20" s="0" t="n">
        <f aca="false">VLOOKUP(A20,'Team Data'!$A$1:$P$133,3,FALSE())</f>
        <v>4</v>
      </c>
      <c r="O20" s="0" t="n">
        <f aca="false">VLOOKUP(B20,'Team Data'!$A$1:$P$133,2,FALSE())</f>
        <v>10</v>
      </c>
      <c r="P20" s="0" t="n">
        <f aca="false">VLOOKUP(B20,'Team Data'!$A$1:$P$133,3,FALSE())</f>
        <v>3</v>
      </c>
      <c r="Q20" s="0" t="n">
        <f aca="false">VLOOKUP(A20,'Team Data'!$A$1:$P$133,4,FALSE())</f>
        <v>95</v>
      </c>
      <c r="R20" s="0" t="n">
        <f aca="false">VLOOKUP(A20,'Team Data'!$A$1:$P$133,5,FALSE())</f>
        <v>193</v>
      </c>
      <c r="S20" s="0" t="n">
        <f aca="false">VLOOKUP(B20,'Team Data'!$A$1:$P$133,4,FALSE())</f>
        <v>94</v>
      </c>
      <c r="T20" s="0" t="n">
        <f aca="false">VLOOKUP(B20,'Team Data'!$A$1:$P$133,5,FALSE())</f>
        <v>182</v>
      </c>
      <c r="U20" s="0" t="n">
        <f aca="false">IF(K20=1,(MIN(35,(C20-D20)))*(O20/(O20+P20))*(S20/(S20+T20)),(MAX(-35,(C20-D20)))*(IF(P20=0,0.1,(P20/(O20+P20))))*(T20/(S20+T20)))</f>
        <v>-2.58695652173913</v>
      </c>
      <c r="V20" s="0" t="n">
        <f aca="false">IF(L20=1,(MIN(35,(D20-C20)))*(M20/(M20+N20))*(Q20/(Q20+R20)),(MAX(-35,(D20-C20)))*(IF(N20=0,0.1,(N20/(M20+N20))))*(R20/(R20+Q20)))</f>
        <v>4.00545634920635</v>
      </c>
    </row>
    <row r="21" customFormat="false" ht="15" hidden="false" customHeight="false" outlineLevel="0" collapsed="false">
      <c r="A21" s="0" t="s">
        <v>198</v>
      </c>
      <c r="B21" s="0" t="s">
        <v>101</v>
      </c>
      <c r="C21" s="0" t="n">
        <v>10</v>
      </c>
      <c r="D21" s="0" t="n">
        <v>41</v>
      </c>
      <c r="E21" s="0" t="n">
        <v>159</v>
      </c>
      <c r="F21" s="0" t="n">
        <v>169</v>
      </c>
      <c r="G21" s="0" t="n">
        <v>59</v>
      </c>
      <c r="H21" s="0" t="n">
        <v>328</v>
      </c>
      <c r="I21" s="0" t="n">
        <v>1</v>
      </c>
      <c r="J21" s="0" t="n">
        <v>4</v>
      </c>
      <c r="K21" s="0" t="n">
        <v>0</v>
      </c>
      <c r="L21" s="0" t="n">
        <v>1</v>
      </c>
      <c r="M21" s="0" t="n">
        <f aca="false">VLOOKUP(A21,'Team Data'!$A$1:$P$133,2,FALSE())</f>
        <v>8</v>
      </c>
      <c r="N21" s="0" t="n">
        <f aca="false">VLOOKUP(A21,'Team Data'!$A$1:$P$133,3,FALSE())</f>
        <v>112</v>
      </c>
      <c r="O21" s="0" t="n">
        <f aca="false">VLOOKUP(B21,'Team Data'!$A$1:$P$133,2,FALSE())</f>
        <v>3</v>
      </c>
      <c r="P21" s="0" t="n">
        <f aca="false">VLOOKUP(B21,'Team Data'!$A$1:$P$133,3,FALSE())</f>
        <v>9</v>
      </c>
      <c r="Q21" s="0" t="n">
        <f aca="false">VLOOKUP(A21,'Team Data'!$A$1:$P$133,4,FALSE())</f>
        <v>805</v>
      </c>
      <c r="R21" s="0" t="n">
        <f aca="false">VLOOKUP(A21,'Team Data'!$A$1:$P$133,5,FALSE())</f>
        <v>725</v>
      </c>
      <c r="S21" s="0" t="n">
        <f aca="false">VLOOKUP(B21,'Team Data'!$A$1:$P$133,4,FALSE())</f>
        <v>100</v>
      </c>
      <c r="T21" s="0" t="n">
        <f aca="false">VLOOKUP(B21,'Team Data'!$A$1:$P$133,5,FALSE())</f>
        <v>163</v>
      </c>
      <c r="U21" s="0" t="n">
        <f aca="false">IF(K21=1,(MIN(35,(C21-D21)))*(O21/(O21+P21))*(S21/(S21+T21)),(MAX(-35,(C21-D21)))*(IF(P21=0,0.1,(P21/(O21+P21))))*(T21/(S21+T21)))</f>
        <v>-14.4096958174905</v>
      </c>
      <c r="V21" s="0" t="n">
        <f aca="false">IF(L21=1,(MIN(35,(D21-C21)))*(M21/(M21+N21))*(Q21/(Q21+R21)),(MAX(-35,(D21-C21)))*(IF(N21=0,0.1,(N21/(M21+N21))))*(R21/(R21+Q21)))</f>
        <v>1.08736383442266</v>
      </c>
    </row>
    <row r="22" customFormat="false" ht="15" hidden="false" customHeight="false" outlineLevel="0" collapsed="false">
      <c r="A22" s="0" t="s">
        <v>21</v>
      </c>
      <c r="B22" s="0" t="s">
        <v>116</v>
      </c>
      <c r="C22" s="0" t="n">
        <v>17</v>
      </c>
      <c r="D22" s="0" t="n">
        <v>45</v>
      </c>
      <c r="E22" s="0" t="n">
        <v>37</v>
      </c>
      <c r="F22" s="0" t="n">
        <v>269</v>
      </c>
      <c r="G22" s="0" t="n">
        <v>125</v>
      </c>
      <c r="H22" s="0" t="n">
        <v>357</v>
      </c>
      <c r="I22" s="0" t="n">
        <v>1</v>
      </c>
      <c r="J22" s="0" t="n">
        <v>2</v>
      </c>
      <c r="K22" s="0" t="n">
        <v>0</v>
      </c>
      <c r="L22" s="0" t="n">
        <v>1</v>
      </c>
      <c r="M22" s="0" t="n">
        <f aca="false">VLOOKUP(A22,'Team Data'!$A$1:$P$133,2,FALSE())</f>
        <v>6</v>
      </c>
      <c r="N22" s="0" t="n">
        <f aca="false">VLOOKUP(A22,'Team Data'!$A$1:$P$133,3,FALSE())</f>
        <v>7</v>
      </c>
      <c r="O22" s="0" t="n">
        <f aca="false">VLOOKUP(B22,'Team Data'!$A$1:$P$133,2,FALSE())</f>
        <v>9</v>
      </c>
      <c r="P22" s="0" t="n">
        <f aca="false">VLOOKUP(B22,'Team Data'!$A$1:$P$133,3,FALSE())</f>
        <v>4</v>
      </c>
      <c r="Q22" s="0" t="n">
        <f aca="false">VLOOKUP(A22,'Team Data'!$A$1:$P$133,4,FALSE())</f>
        <v>90</v>
      </c>
      <c r="R22" s="0" t="n">
        <f aca="false">VLOOKUP(A22,'Team Data'!$A$1:$P$133,5,FALSE())</f>
        <v>184</v>
      </c>
      <c r="S22" s="0" t="n">
        <f aca="false">VLOOKUP(B22,'Team Data'!$A$1:$P$133,4,FALSE())</f>
        <v>91</v>
      </c>
      <c r="T22" s="0" t="n">
        <f aca="false">VLOOKUP(B22,'Team Data'!$A$1:$P$133,5,FALSE())</f>
        <v>182</v>
      </c>
      <c r="U22" s="0" t="n">
        <f aca="false">IF(K22=1,(MIN(35,(C22-D22)))*(O22/(O22+P22))*(S22/(S22+T22)),(MAX(-35,(C22-D22)))*(IF(P22=0,0.1,(P22/(O22+P22))))*(T22/(S22+T22)))</f>
        <v>-5.74358974358974</v>
      </c>
      <c r="V22" s="0" t="n">
        <f aca="false">IF(L22=1,(MIN(35,(D22-C22)))*(M22/(M22+N22))*(Q22/(Q22+R22)),(MAX(-35,(D22-C22)))*(IF(N22=0,0.1,(N22/(M22+N22))))*(R22/(R22+Q22)))</f>
        <v>4.24480628860191</v>
      </c>
    </row>
    <row r="23" customFormat="false" ht="15" hidden="false" customHeight="false" outlineLevel="0" collapsed="false">
      <c r="A23" s="0" t="s">
        <v>52</v>
      </c>
      <c r="B23" s="0" t="s">
        <v>130</v>
      </c>
      <c r="C23" s="0" t="n">
        <v>20</v>
      </c>
      <c r="D23" s="0" t="n">
        <v>45</v>
      </c>
      <c r="E23" s="0" t="n">
        <v>147</v>
      </c>
      <c r="F23" s="0" t="n">
        <v>132</v>
      </c>
      <c r="G23" s="0" t="n">
        <v>193</v>
      </c>
      <c r="H23" s="0" t="n">
        <v>393</v>
      </c>
      <c r="I23" s="0" t="n">
        <v>3</v>
      </c>
      <c r="J23" s="0" t="n">
        <v>1</v>
      </c>
      <c r="K23" s="0" t="n">
        <v>0</v>
      </c>
      <c r="L23" s="0" t="n">
        <v>1</v>
      </c>
      <c r="M23" s="0" t="n">
        <f aca="false">VLOOKUP(A23,'Team Data'!$A$1:$P$133,2,FALSE())</f>
        <v>5</v>
      </c>
      <c r="N23" s="0" t="n">
        <f aca="false">VLOOKUP(A23,'Team Data'!$A$1:$P$133,3,FALSE())</f>
        <v>7</v>
      </c>
      <c r="O23" s="0" t="n">
        <f aca="false">VLOOKUP(B23,'Team Data'!$A$1:$P$133,2,FALSE())</f>
        <v>11</v>
      </c>
      <c r="P23" s="0" t="n">
        <f aca="false">VLOOKUP(B23,'Team Data'!$A$1:$P$133,3,FALSE())</f>
        <v>2</v>
      </c>
      <c r="Q23" s="0" t="n">
        <f aca="false">VLOOKUP(A23,'Team Data'!$A$1:$P$133,4,FALSE())</f>
        <v>94</v>
      </c>
      <c r="R23" s="0" t="n">
        <f aca="false">VLOOKUP(A23,'Team Data'!$A$1:$P$133,5,FALSE())</f>
        <v>171</v>
      </c>
      <c r="S23" s="0" t="n">
        <f aca="false">VLOOKUP(B23,'Team Data'!$A$1:$P$133,4,FALSE())</f>
        <v>78</v>
      </c>
      <c r="T23" s="0" t="n">
        <f aca="false">VLOOKUP(B23,'Team Data'!$A$1:$P$133,5,FALSE())</f>
        <v>191</v>
      </c>
      <c r="U23" s="0" t="n">
        <f aca="false">IF(K23=1,(MIN(35,(C23-D23)))*(O23/(O23+P23))*(S23/(S23+T23)),(MAX(-35,(C23-D23)))*(IF(P23=0,0.1,(P23/(O23+P23))))*(T23/(S23+T23)))</f>
        <v>-2.73091221046611</v>
      </c>
      <c r="V23" s="0" t="n">
        <f aca="false">IF(L23=1,(MIN(35,(D23-C23)))*(M23/(M23+N23))*(Q23/(Q23+R23)),(MAX(-35,(D23-C23)))*(IF(N23=0,0.1,(N23/(M23+N23))))*(R23/(R23+Q23)))</f>
        <v>3.69496855345912</v>
      </c>
    </row>
    <row r="24" customFormat="false" ht="15" hidden="false" customHeight="false" outlineLevel="0" collapsed="false">
      <c r="A24" s="0" t="s">
        <v>198</v>
      </c>
      <c r="B24" s="0" t="s">
        <v>131</v>
      </c>
      <c r="C24" s="0" t="n">
        <v>17</v>
      </c>
      <c r="D24" s="0" t="n">
        <v>24</v>
      </c>
      <c r="E24" s="0" t="n">
        <v>62</v>
      </c>
      <c r="F24" s="0" t="n">
        <v>143</v>
      </c>
      <c r="G24" s="0" t="n">
        <v>212</v>
      </c>
      <c r="H24" s="0" t="n">
        <v>215</v>
      </c>
      <c r="I24" s="0" t="n">
        <v>2</v>
      </c>
      <c r="J24" s="0" t="n">
        <v>3</v>
      </c>
      <c r="K24" s="0" t="n">
        <v>0</v>
      </c>
      <c r="L24" s="0" t="n">
        <v>1</v>
      </c>
      <c r="M24" s="0" t="n">
        <f aca="false">VLOOKUP(A24,'Team Data'!$A$1:$P$133,2,FALSE())</f>
        <v>8</v>
      </c>
      <c r="N24" s="0" t="n">
        <f aca="false">VLOOKUP(A24,'Team Data'!$A$1:$P$133,3,FALSE())</f>
        <v>112</v>
      </c>
      <c r="O24" s="0" t="n">
        <f aca="false">VLOOKUP(B24,'Team Data'!$A$1:$P$133,2,FALSE())</f>
        <v>7</v>
      </c>
      <c r="P24" s="0" t="n">
        <f aca="false">VLOOKUP(B24,'Team Data'!$A$1:$P$133,3,FALSE())</f>
        <v>6</v>
      </c>
      <c r="Q24" s="0" t="n">
        <f aca="false">VLOOKUP(A24,'Team Data'!$A$1:$P$133,4,FALSE())</f>
        <v>805</v>
      </c>
      <c r="R24" s="0" t="n">
        <f aca="false">VLOOKUP(A24,'Team Data'!$A$1:$P$133,5,FALSE())</f>
        <v>725</v>
      </c>
      <c r="S24" s="0" t="n">
        <f aca="false">VLOOKUP(B24,'Team Data'!$A$1:$P$133,4,FALSE())</f>
        <v>95</v>
      </c>
      <c r="T24" s="0" t="n">
        <f aca="false">VLOOKUP(B24,'Team Data'!$A$1:$P$133,5,FALSE())</f>
        <v>179</v>
      </c>
      <c r="U24" s="0" t="n">
        <f aca="false">IF(K24=1,(MIN(35,(C24-D24)))*(O24/(O24+P24))*(S24/(S24+T24)),(MAX(-35,(C24-D24)))*(IF(P24=0,0.1,(P24/(O24+P24))))*(T24/(S24+T24)))</f>
        <v>-2.11061201572151</v>
      </c>
      <c r="V24" s="0" t="n">
        <f aca="false">IF(L24=1,(MIN(35,(D24-C24)))*(M24/(M24+N24))*(Q24/(Q24+R24)),(MAX(-35,(D24-C24)))*(IF(N24=0,0.1,(N24/(M24+N24))))*(R24/(R24+Q24)))</f>
        <v>0.245533769063181</v>
      </c>
    </row>
    <row r="25" customFormat="false" ht="15" hidden="false" customHeight="false" outlineLevel="0" collapsed="false">
      <c r="A25" s="0" t="s">
        <v>198</v>
      </c>
      <c r="B25" s="0" t="s">
        <v>50</v>
      </c>
      <c r="C25" s="0" t="n">
        <v>10</v>
      </c>
      <c r="D25" s="0" t="n">
        <v>56</v>
      </c>
      <c r="E25" s="0" t="n">
        <v>93</v>
      </c>
      <c r="F25" s="0" t="n">
        <v>297</v>
      </c>
      <c r="G25" s="0" t="n">
        <v>97</v>
      </c>
      <c r="H25" s="0" t="n">
        <v>205</v>
      </c>
      <c r="I25" s="0" t="n">
        <v>1</v>
      </c>
      <c r="J25" s="0" t="n">
        <v>3</v>
      </c>
      <c r="K25" s="0" t="n">
        <v>0</v>
      </c>
      <c r="L25" s="0" t="n">
        <v>1</v>
      </c>
      <c r="M25" s="0" t="n">
        <f aca="false">VLOOKUP(A25,'Team Data'!$A$1:$P$133,2,FALSE())</f>
        <v>8</v>
      </c>
      <c r="N25" s="0" t="n">
        <f aca="false">VLOOKUP(A25,'Team Data'!$A$1:$P$133,3,FALSE())</f>
        <v>112</v>
      </c>
      <c r="O25" s="0" t="n">
        <f aca="false">VLOOKUP(B25,'Team Data'!$A$1:$P$133,2,FALSE())</f>
        <v>6</v>
      </c>
      <c r="P25" s="0" t="n">
        <f aca="false">VLOOKUP(B25,'Team Data'!$A$1:$P$133,3,FALSE())</f>
        <v>7</v>
      </c>
      <c r="Q25" s="0" t="n">
        <f aca="false">VLOOKUP(A25,'Team Data'!$A$1:$P$133,4,FALSE())</f>
        <v>805</v>
      </c>
      <c r="R25" s="0" t="n">
        <f aca="false">VLOOKUP(A25,'Team Data'!$A$1:$P$133,5,FALSE())</f>
        <v>725</v>
      </c>
      <c r="S25" s="0" t="n">
        <f aca="false">VLOOKUP(B25,'Team Data'!$A$1:$P$133,4,FALSE())</f>
        <v>99</v>
      </c>
      <c r="T25" s="0" t="n">
        <f aca="false">VLOOKUP(B25,'Team Data'!$A$1:$P$133,5,FALSE())</f>
        <v>178</v>
      </c>
      <c r="U25" s="0" t="n">
        <f aca="false">IF(K25=1,(MIN(35,(C25-D25)))*(O25/(O25+P25))*(S25/(S25+T25)),(MAX(-35,(C25-D25)))*(IF(P25=0,0.1,(P25/(O25+P25))))*(T25/(S25+T25)))</f>
        <v>-12.1105248542072</v>
      </c>
      <c r="V25" s="0" t="n">
        <f aca="false">IF(L25=1,(MIN(35,(D25-C25)))*(M25/(M25+N25))*(Q25/(Q25+R25)),(MAX(-35,(D25-C25)))*(IF(N25=0,0.1,(N25/(M25+N25))))*(R25/(R25+Q25)))</f>
        <v>1.2276688453159</v>
      </c>
    </row>
    <row r="26" customFormat="false" ht="15" hidden="false" customHeight="false" outlineLevel="0" collapsed="false">
      <c r="A26" s="0" t="s">
        <v>198</v>
      </c>
      <c r="B26" s="0" t="s">
        <v>109</v>
      </c>
      <c r="C26" s="0" t="n">
        <v>10</v>
      </c>
      <c r="D26" s="0" t="n">
        <v>63</v>
      </c>
      <c r="E26" s="0" t="n">
        <v>50</v>
      </c>
      <c r="F26" s="0" t="n">
        <v>133</v>
      </c>
      <c r="G26" s="0" t="n">
        <v>208</v>
      </c>
      <c r="H26" s="0" t="n">
        <v>472</v>
      </c>
      <c r="I26" s="0" t="n">
        <v>0</v>
      </c>
      <c r="J26" s="0" t="n">
        <v>1</v>
      </c>
      <c r="K26" s="0" t="n">
        <v>0</v>
      </c>
      <c r="L26" s="0" t="n">
        <v>1</v>
      </c>
      <c r="M26" s="0" t="n">
        <f aca="false">VLOOKUP(A26,'Team Data'!$A$1:$P$133,2,FALSE())</f>
        <v>8</v>
      </c>
      <c r="N26" s="0" t="n">
        <f aca="false">VLOOKUP(A26,'Team Data'!$A$1:$P$133,3,FALSE())</f>
        <v>112</v>
      </c>
      <c r="O26" s="0" t="n">
        <f aca="false">VLOOKUP(B26,'Team Data'!$A$1:$P$133,2,FALSE())</f>
        <v>8</v>
      </c>
      <c r="P26" s="0" t="n">
        <f aca="false">VLOOKUP(B26,'Team Data'!$A$1:$P$133,3,FALSE())</f>
        <v>5</v>
      </c>
      <c r="Q26" s="0" t="n">
        <f aca="false">VLOOKUP(A26,'Team Data'!$A$1:$P$133,4,FALSE())</f>
        <v>805</v>
      </c>
      <c r="R26" s="0" t="n">
        <f aca="false">VLOOKUP(A26,'Team Data'!$A$1:$P$133,5,FALSE())</f>
        <v>725</v>
      </c>
      <c r="S26" s="0" t="n">
        <f aca="false">VLOOKUP(B26,'Team Data'!$A$1:$P$133,4,FALSE())</f>
        <v>97</v>
      </c>
      <c r="T26" s="0" t="n">
        <f aca="false">VLOOKUP(B26,'Team Data'!$A$1:$P$133,5,FALSE())</f>
        <v>180</v>
      </c>
      <c r="U26" s="0" t="n">
        <f aca="false">IF(K26=1,(MIN(35,(C26-D26)))*(O26/(O26+P26))*(S26/(S26+T26)),(MAX(-35,(C26-D26)))*(IF(P26=0,0.1,(P26/(O26+P26))))*(T26/(S26+T26)))</f>
        <v>-8.74757011941128</v>
      </c>
      <c r="V26" s="0" t="n">
        <f aca="false">IF(L26=1,(MIN(35,(D26-C26)))*(M26/(M26+N26))*(Q26/(Q26+R26)),(MAX(-35,(D26-C26)))*(IF(N26=0,0.1,(N26/(M26+N26))))*(R26/(R26+Q26)))</f>
        <v>1.2276688453159</v>
      </c>
    </row>
    <row r="27" customFormat="false" ht="15" hidden="false" customHeight="false" outlineLevel="0" collapsed="false">
      <c r="A27" s="0" t="s">
        <v>198</v>
      </c>
      <c r="B27" s="0" t="s">
        <v>51</v>
      </c>
      <c r="C27" s="0" t="n">
        <v>0</v>
      </c>
      <c r="D27" s="0" t="n">
        <v>34</v>
      </c>
      <c r="E27" s="0" t="n">
        <v>131</v>
      </c>
      <c r="F27" s="0" t="n">
        <v>297</v>
      </c>
      <c r="G27" s="0" t="n">
        <v>139</v>
      </c>
      <c r="H27" s="0" t="n">
        <v>95</v>
      </c>
      <c r="I27" s="0" t="n">
        <v>1</v>
      </c>
      <c r="J27" s="0" t="n">
        <v>0</v>
      </c>
      <c r="K27" s="0" t="n">
        <v>0</v>
      </c>
      <c r="L27" s="0" t="n">
        <v>1</v>
      </c>
      <c r="M27" s="0" t="n">
        <f aca="false">VLOOKUP(A27,'Team Data'!$A$1:$P$133,2,FALSE())</f>
        <v>8</v>
      </c>
      <c r="N27" s="0" t="n">
        <f aca="false">VLOOKUP(A27,'Team Data'!$A$1:$P$133,3,FALSE())</f>
        <v>112</v>
      </c>
      <c r="O27" s="0" t="n">
        <f aca="false">VLOOKUP(B27,'Team Data'!$A$1:$P$133,2,FALSE())</f>
        <v>10</v>
      </c>
      <c r="P27" s="0" t="n">
        <f aca="false">VLOOKUP(B27,'Team Data'!$A$1:$P$133,3,FALSE())</f>
        <v>4</v>
      </c>
      <c r="Q27" s="0" t="n">
        <f aca="false">VLOOKUP(A27,'Team Data'!$A$1:$P$133,4,FALSE())</f>
        <v>805</v>
      </c>
      <c r="R27" s="0" t="n">
        <f aca="false">VLOOKUP(A27,'Team Data'!$A$1:$P$133,5,FALSE())</f>
        <v>725</v>
      </c>
      <c r="S27" s="0" t="n">
        <f aca="false">VLOOKUP(B27,'Team Data'!$A$1:$P$133,4,FALSE())</f>
        <v>113</v>
      </c>
      <c r="T27" s="0" t="n">
        <f aca="false">VLOOKUP(B27,'Team Data'!$A$1:$P$133,5,FALSE())</f>
        <v>179</v>
      </c>
      <c r="U27" s="0" t="n">
        <f aca="false">IF(K27=1,(MIN(35,(C27-D27)))*(O27/(O27+P27))*(S27/(S27+T27)),(MAX(-35,(C27-D27)))*(IF(P27=0,0.1,(P27/(O27+P27))))*(T27/(S27+T27)))</f>
        <v>-5.95499021526419</v>
      </c>
      <c r="V27" s="0" t="n">
        <f aca="false">IF(L27=1,(MIN(35,(D27-C27)))*(M27/(M27+N27))*(Q27/(Q27+R27)),(MAX(-35,(D27-C27)))*(IF(N27=0,0.1,(N27/(M27+N27))))*(R27/(R27+Q27)))</f>
        <v>1.19259259259259</v>
      </c>
    </row>
    <row r="28" customFormat="false" ht="15" hidden="false" customHeight="false" outlineLevel="0" collapsed="false">
      <c r="A28" s="0" t="s">
        <v>198</v>
      </c>
      <c r="B28" s="0" t="s">
        <v>48</v>
      </c>
      <c r="C28" s="0" t="n">
        <v>10</v>
      </c>
      <c r="D28" s="0" t="n">
        <v>42</v>
      </c>
      <c r="E28" s="0" t="n">
        <v>98</v>
      </c>
      <c r="F28" s="0" t="n">
        <v>176</v>
      </c>
      <c r="G28" s="0" t="n">
        <v>222</v>
      </c>
      <c r="H28" s="0" t="n">
        <v>293</v>
      </c>
      <c r="I28" s="0" t="n">
        <v>1</v>
      </c>
      <c r="J28" s="0" t="n">
        <v>1</v>
      </c>
      <c r="K28" s="0" t="n">
        <v>0</v>
      </c>
      <c r="L28" s="0" t="n">
        <v>1</v>
      </c>
      <c r="M28" s="0" t="n">
        <f aca="false">VLOOKUP(A28,'Team Data'!$A$1:$P$133,2,FALSE())</f>
        <v>8</v>
      </c>
      <c r="N28" s="0" t="n">
        <f aca="false">VLOOKUP(A28,'Team Data'!$A$1:$P$133,3,FALSE())</f>
        <v>112</v>
      </c>
      <c r="O28" s="0" t="n">
        <f aca="false">VLOOKUP(B28,'Team Data'!$A$1:$P$133,2,FALSE())</f>
        <v>4</v>
      </c>
      <c r="P28" s="0" t="n">
        <f aca="false">VLOOKUP(B28,'Team Data'!$A$1:$P$133,3,FALSE())</f>
        <v>8</v>
      </c>
      <c r="Q28" s="0" t="n">
        <f aca="false">VLOOKUP(A28,'Team Data'!$A$1:$P$133,4,FALSE())</f>
        <v>805</v>
      </c>
      <c r="R28" s="0" t="n">
        <f aca="false">VLOOKUP(A28,'Team Data'!$A$1:$P$133,5,FALSE())</f>
        <v>725</v>
      </c>
      <c r="S28" s="0" t="n">
        <f aca="false">VLOOKUP(B28,'Team Data'!$A$1:$P$133,4,FALSE())</f>
        <v>95</v>
      </c>
      <c r="T28" s="0" t="n">
        <f aca="false">VLOOKUP(B28,'Team Data'!$A$1:$P$133,5,FALSE())</f>
        <v>171</v>
      </c>
      <c r="U28" s="0" t="n">
        <f aca="false">IF(K28=1,(MIN(35,(C28-D28)))*(O28/(O28+P28))*(S28/(S28+T28)),(MAX(-35,(C28-D28)))*(IF(P28=0,0.1,(P28/(O28+P28))))*(T28/(S28+T28)))</f>
        <v>-13.7142857142857</v>
      </c>
      <c r="V28" s="0" t="n">
        <f aca="false">IF(L28=1,(MIN(35,(D28-C28)))*(M28/(M28+N28))*(Q28/(Q28+R28)),(MAX(-35,(D28-C28)))*(IF(N28=0,0.1,(N28/(M28+N28))))*(R28/(R28+Q28)))</f>
        <v>1.12244008714597</v>
      </c>
    </row>
    <row r="29" customFormat="false" ht="15" hidden="false" customHeight="false" outlineLevel="0" collapsed="false">
      <c r="A29" s="0" t="s">
        <v>58</v>
      </c>
      <c r="B29" s="0" t="s">
        <v>106</v>
      </c>
      <c r="C29" s="0" t="n">
        <v>10</v>
      </c>
      <c r="D29" s="0" t="n">
        <v>52</v>
      </c>
      <c r="E29" s="0" t="n">
        <v>92</v>
      </c>
      <c r="F29" s="0" t="n">
        <v>134</v>
      </c>
      <c r="G29" s="0" t="n">
        <v>167</v>
      </c>
      <c r="H29" s="0" t="n">
        <v>249</v>
      </c>
      <c r="I29" s="0" t="n">
        <v>1</v>
      </c>
      <c r="J29" s="0" t="n">
        <v>1</v>
      </c>
      <c r="K29" s="0" t="n">
        <v>0</v>
      </c>
      <c r="L29" s="0" t="n">
        <v>1</v>
      </c>
      <c r="M29" s="0" t="n">
        <f aca="false">VLOOKUP(A29,'Team Data'!$A$1:$P$133,2,FALSE())</f>
        <v>4</v>
      </c>
      <c r="N29" s="0" t="n">
        <f aca="false">VLOOKUP(A29,'Team Data'!$A$1:$P$133,3,FALSE())</f>
        <v>8</v>
      </c>
      <c r="O29" s="0" t="n">
        <f aca="false">VLOOKUP(B29,'Team Data'!$A$1:$P$133,2,FALSE())</f>
        <v>8</v>
      </c>
      <c r="P29" s="0" t="n">
        <f aca="false">VLOOKUP(B29,'Team Data'!$A$1:$P$133,3,FALSE())</f>
        <v>5</v>
      </c>
      <c r="Q29" s="0" t="n">
        <f aca="false">VLOOKUP(A29,'Team Data'!$A$1:$P$133,4,FALSE())</f>
        <v>88</v>
      </c>
      <c r="R29" s="0" t="n">
        <f aca="false">VLOOKUP(A29,'Team Data'!$A$1:$P$133,5,FALSE())</f>
        <v>172</v>
      </c>
      <c r="S29" s="0" t="n">
        <f aca="false">VLOOKUP(B29,'Team Data'!$A$1:$P$133,4,FALSE())</f>
        <v>102</v>
      </c>
      <c r="T29" s="0" t="n">
        <f aca="false">VLOOKUP(B29,'Team Data'!$A$1:$P$133,5,FALSE())</f>
        <v>68</v>
      </c>
      <c r="U29" s="0" t="n">
        <f aca="false">IF(K29=1,(MIN(35,(C29-D29)))*(O29/(O29+P29))*(S29/(S29+T29)),(MAX(-35,(C29-D29)))*(IF(P29=0,0.1,(P29/(O29+P29))))*(T29/(S29+T29)))</f>
        <v>-5.38461538461539</v>
      </c>
      <c r="V29" s="0" t="n">
        <f aca="false">IF(L29=1,(MIN(35,(D29-C29)))*(M29/(M29+N29))*(Q29/(Q29+R29)),(MAX(-35,(D29-C29)))*(IF(N29=0,0.1,(N29/(M29+N29))))*(R29/(R29+Q29)))</f>
        <v>3.94871794871795</v>
      </c>
    </row>
    <row r="30" customFormat="false" ht="15" hidden="false" customHeight="false" outlineLevel="0" collapsed="false">
      <c r="A30" s="0" t="s">
        <v>81</v>
      </c>
      <c r="B30" s="0" t="s">
        <v>83</v>
      </c>
      <c r="C30" s="0" t="n">
        <v>10</v>
      </c>
      <c r="D30" s="0" t="n">
        <v>21</v>
      </c>
      <c r="E30" s="0" t="n">
        <v>76</v>
      </c>
      <c r="F30" s="0" t="n">
        <v>172</v>
      </c>
      <c r="G30" s="0" t="n">
        <v>177</v>
      </c>
      <c r="H30" s="0" t="n">
        <v>223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f aca="false">VLOOKUP(A30,'Team Data'!$A$1:$P$133,2,FALSE())</f>
        <v>9</v>
      </c>
      <c r="N30" s="0" t="n">
        <f aca="false">VLOOKUP(A30,'Team Data'!$A$1:$P$133,3,FALSE())</f>
        <v>4</v>
      </c>
      <c r="O30" s="0" t="n">
        <f aca="false">VLOOKUP(B30,'Team Data'!$A$1:$P$133,2,FALSE())</f>
        <v>11</v>
      </c>
      <c r="P30" s="0" t="n">
        <f aca="false">VLOOKUP(B30,'Team Data'!$A$1:$P$133,3,FALSE())</f>
        <v>2</v>
      </c>
      <c r="Q30" s="0" t="n">
        <f aca="false">VLOOKUP(A30,'Team Data'!$A$1:$P$133,4,FALSE())</f>
        <v>93</v>
      </c>
      <c r="R30" s="0" t="n">
        <f aca="false">VLOOKUP(A30,'Team Data'!$A$1:$P$133,5,FALSE())</f>
        <v>74</v>
      </c>
      <c r="S30" s="0" t="n">
        <f aca="false">VLOOKUP(B30,'Team Data'!$A$1:$P$133,4,FALSE())</f>
        <v>97</v>
      </c>
      <c r="T30" s="0" t="n">
        <f aca="false">VLOOKUP(B30,'Team Data'!$A$1:$P$133,5,FALSE())</f>
        <v>71</v>
      </c>
      <c r="U30" s="0" t="n">
        <f aca="false">IF(K30=1,(MIN(35,(C30-D30)))*(O30/(O30+P30))*(S30/(S30+T30)),(MAX(-35,(C30-D30)))*(IF(P30=0,0.1,(P30/(O30+P30))))*(T30/(S30+T30)))</f>
        <v>-0.715201465201465</v>
      </c>
      <c r="V30" s="0" t="n">
        <f aca="false">IF(L30=1,(MIN(35,(D30-C30)))*(M30/(M30+N30))*(Q30/(Q30+R30)),(MAX(-35,(D30-C30)))*(IF(N30=0,0.1,(N30/(M30+N30))))*(R30/(R30+Q30)))</f>
        <v>4.24090280976508</v>
      </c>
    </row>
    <row r="31" customFormat="false" ht="15" hidden="false" customHeight="false" outlineLevel="0" collapsed="false">
      <c r="A31" s="0" t="s">
        <v>14</v>
      </c>
      <c r="B31" s="0" t="s">
        <v>28</v>
      </c>
      <c r="C31" s="0" t="n">
        <v>28</v>
      </c>
      <c r="D31" s="0" t="n">
        <v>38</v>
      </c>
      <c r="E31" s="0" t="n">
        <v>202</v>
      </c>
      <c r="F31" s="0" t="n">
        <v>263</v>
      </c>
      <c r="G31" s="0" t="n">
        <v>142</v>
      </c>
      <c r="H31" s="0" t="n">
        <v>174</v>
      </c>
      <c r="I31" s="0" t="n">
        <v>1</v>
      </c>
      <c r="J31" s="0" t="n">
        <v>0</v>
      </c>
      <c r="K31" s="0" t="n">
        <v>0</v>
      </c>
      <c r="L31" s="0" t="n">
        <v>1</v>
      </c>
      <c r="M31" s="0" t="n">
        <f aca="false">VLOOKUP(A31,'Team Data'!$A$1:$P$133,2,FALSE())</f>
        <v>6</v>
      </c>
      <c r="N31" s="0" t="n">
        <f aca="false">VLOOKUP(A31,'Team Data'!$A$1:$P$133,3,FALSE())</f>
        <v>6</v>
      </c>
      <c r="O31" s="0" t="n">
        <f aca="false">VLOOKUP(B31,'Team Data'!$A$1:$P$133,2,FALSE())</f>
        <v>9</v>
      </c>
      <c r="P31" s="0" t="n">
        <f aca="false">VLOOKUP(B31,'Team Data'!$A$1:$P$133,3,FALSE())</f>
        <v>4</v>
      </c>
      <c r="Q31" s="0" t="n">
        <f aca="false">VLOOKUP(A31,'Team Data'!$A$1:$P$133,4,FALSE())</f>
        <v>85</v>
      </c>
      <c r="R31" s="0" t="n">
        <f aca="false">VLOOKUP(A31,'Team Data'!$A$1:$P$133,5,FALSE())</f>
        <v>283</v>
      </c>
      <c r="S31" s="0" t="n">
        <f aca="false">VLOOKUP(B31,'Team Data'!$A$1:$P$133,4,FALSE())</f>
        <v>88</v>
      </c>
      <c r="T31" s="0" t="n">
        <f aca="false">VLOOKUP(B31,'Team Data'!$A$1:$P$133,5,FALSE())</f>
        <v>182</v>
      </c>
      <c r="U31" s="0" t="n">
        <f aca="false">IF(K31=1,(MIN(35,(C31-D31)))*(O31/(O31+P31))*(S31/(S31+T31)),(MAX(-35,(C31-D31)))*(IF(P31=0,0.1,(P31/(O31+P31))))*(T31/(S31+T31)))</f>
        <v>-2.07407407407407</v>
      </c>
      <c r="V31" s="0" t="n">
        <f aca="false">IF(L31=1,(MIN(35,(D31-C31)))*(M31/(M31+N31))*(Q31/(Q31+R31)),(MAX(-35,(D31-C31)))*(IF(N31=0,0.1,(N31/(M31+N31))))*(R31/(R31+Q31)))</f>
        <v>1.15489130434783</v>
      </c>
    </row>
    <row r="32" customFormat="false" ht="15" hidden="false" customHeight="false" outlineLevel="0" collapsed="false">
      <c r="A32" s="0" t="s">
        <v>117</v>
      </c>
      <c r="B32" s="0" t="s">
        <v>125</v>
      </c>
      <c r="C32" s="0" t="n">
        <v>20</v>
      </c>
      <c r="D32" s="0" t="n">
        <v>31</v>
      </c>
      <c r="E32" s="0" t="n">
        <v>245</v>
      </c>
      <c r="F32" s="0" t="n">
        <v>261</v>
      </c>
      <c r="G32" s="0" t="n">
        <v>119</v>
      </c>
      <c r="H32" s="0" t="n">
        <v>281</v>
      </c>
      <c r="I32" s="0" t="n">
        <v>3</v>
      </c>
      <c r="J32" s="0" t="n">
        <v>2</v>
      </c>
      <c r="K32" s="0" t="n">
        <v>0</v>
      </c>
      <c r="L32" s="0" t="n">
        <v>1</v>
      </c>
      <c r="M32" s="0" t="n">
        <f aca="false">VLOOKUP(A32,'Team Data'!$A$1:$P$133,2,FALSE())</f>
        <v>6</v>
      </c>
      <c r="N32" s="0" t="n">
        <f aca="false">VLOOKUP(A32,'Team Data'!$A$1:$P$133,3,FALSE())</f>
        <v>7</v>
      </c>
      <c r="O32" s="0" t="n">
        <f aca="false">VLOOKUP(B32,'Team Data'!$A$1:$P$133,2,FALSE())</f>
        <v>6</v>
      </c>
      <c r="P32" s="0" t="n">
        <f aca="false">VLOOKUP(B32,'Team Data'!$A$1:$P$133,3,FALSE())</f>
        <v>7</v>
      </c>
      <c r="Q32" s="0" t="n">
        <f aca="false">VLOOKUP(A32,'Team Data'!$A$1:$P$133,4,FALSE())</f>
        <v>88</v>
      </c>
      <c r="R32" s="0" t="n">
        <f aca="false">VLOOKUP(A32,'Team Data'!$A$1:$P$133,5,FALSE())</f>
        <v>185</v>
      </c>
      <c r="S32" s="0" t="n">
        <f aca="false">VLOOKUP(B32,'Team Data'!$A$1:$P$133,4,FALSE())</f>
        <v>87</v>
      </c>
      <c r="T32" s="0" t="n">
        <f aca="false">VLOOKUP(B32,'Team Data'!$A$1:$P$133,5,FALSE())</f>
        <v>186</v>
      </c>
      <c r="U32" s="0" t="n">
        <f aca="false">IF(K32=1,(MIN(35,(C32-D32)))*(O32/(O32+P32))*(S32/(S32+T32)),(MAX(-35,(C32-D32)))*(IF(P32=0,0.1,(P32/(O32+P32))))*(T32/(S32+T32)))</f>
        <v>-4.03550295857988</v>
      </c>
      <c r="V32" s="0" t="n">
        <f aca="false">IF(L32=1,(MIN(35,(D32-C32)))*(M32/(M32+N32))*(Q32/(Q32+R32)),(MAX(-35,(D32-C32)))*(IF(N32=0,0.1,(N32/(M32+N32))))*(R32/(R32+Q32)))</f>
        <v>1.63651732882502</v>
      </c>
    </row>
    <row r="33" customFormat="false" ht="15" hidden="false" customHeight="false" outlineLevel="0" collapsed="false">
      <c r="A33" s="0" t="s">
        <v>198</v>
      </c>
      <c r="B33" s="0" t="s">
        <v>117</v>
      </c>
      <c r="C33" s="0" t="n">
        <v>3</v>
      </c>
      <c r="D33" s="0" t="n">
        <v>28</v>
      </c>
      <c r="E33" s="0" t="n">
        <v>78</v>
      </c>
      <c r="F33" s="0" t="n">
        <v>274</v>
      </c>
      <c r="G33" s="0" t="n">
        <v>164</v>
      </c>
      <c r="H33" s="0" t="n">
        <v>172</v>
      </c>
      <c r="I33" s="0" t="n">
        <v>1</v>
      </c>
      <c r="J33" s="0" t="n">
        <v>3</v>
      </c>
      <c r="K33" s="0" t="n">
        <v>0</v>
      </c>
      <c r="L33" s="0" t="n">
        <v>1</v>
      </c>
      <c r="M33" s="0" t="n">
        <f aca="false">VLOOKUP(A33,'Team Data'!$A$1:$P$133,2,FALSE())</f>
        <v>8</v>
      </c>
      <c r="N33" s="0" t="n">
        <f aca="false">VLOOKUP(A33,'Team Data'!$A$1:$P$133,3,FALSE())</f>
        <v>112</v>
      </c>
      <c r="O33" s="0" t="n">
        <f aca="false">VLOOKUP(B33,'Team Data'!$A$1:$P$133,2,FALSE())</f>
        <v>6</v>
      </c>
      <c r="P33" s="0" t="n">
        <f aca="false">VLOOKUP(B33,'Team Data'!$A$1:$P$133,3,FALSE())</f>
        <v>7</v>
      </c>
      <c r="Q33" s="0" t="n">
        <f aca="false">VLOOKUP(A33,'Team Data'!$A$1:$P$133,4,FALSE())</f>
        <v>805</v>
      </c>
      <c r="R33" s="0" t="n">
        <f aca="false">VLOOKUP(A33,'Team Data'!$A$1:$P$133,5,FALSE())</f>
        <v>725</v>
      </c>
      <c r="S33" s="0" t="n">
        <f aca="false">VLOOKUP(B33,'Team Data'!$A$1:$P$133,4,FALSE())</f>
        <v>88</v>
      </c>
      <c r="T33" s="0" t="n">
        <f aca="false">VLOOKUP(B33,'Team Data'!$A$1:$P$133,5,FALSE())</f>
        <v>185</v>
      </c>
      <c r="U33" s="0" t="n">
        <f aca="false">IF(K33=1,(MIN(35,(C33-D33)))*(O33/(O33+P33))*(S33/(S33+T33)),(MAX(-35,(C33-D33)))*(IF(P33=0,0.1,(P33/(O33+P33))))*(T33/(S33+T33)))</f>
        <v>-9.12228796844182</v>
      </c>
      <c r="V33" s="0" t="n">
        <f aca="false">IF(L33=1,(MIN(35,(D33-C33)))*(M33/(M33+N33))*(Q33/(Q33+R33)),(MAX(-35,(D33-C33)))*(IF(N33=0,0.1,(N33/(M33+N33))))*(R33/(R33+Q33)))</f>
        <v>0.876906318082789</v>
      </c>
    </row>
    <row r="34" customFormat="false" ht="15" hidden="false" customHeight="false" outlineLevel="0" collapsed="false">
      <c r="A34" s="0" t="s">
        <v>55</v>
      </c>
      <c r="B34" s="0" t="s">
        <v>100</v>
      </c>
      <c r="C34" s="0" t="n">
        <v>29</v>
      </c>
      <c r="D34" s="0" t="n">
        <v>27</v>
      </c>
      <c r="E34" s="0" t="n">
        <v>244</v>
      </c>
      <c r="F34" s="0" t="n">
        <v>252</v>
      </c>
      <c r="G34" s="0" t="n">
        <v>203</v>
      </c>
      <c r="H34" s="0" t="n">
        <v>137</v>
      </c>
      <c r="I34" s="0" t="n">
        <v>3</v>
      </c>
      <c r="J34" s="0" t="n">
        <v>5</v>
      </c>
      <c r="K34" s="0" t="n">
        <v>1</v>
      </c>
      <c r="L34" s="0" t="n">
        <v>0</v>
      </c>
      <c r="M34" s="0" t="n">
        <f aca="false">VLOOKUP(A34,'Team Data'!$A$1:$P$133,2,FALSE())</f>
        <v>8</v>
      </c>
      <c r="N34" s="0" t="n">
        <f aca="false">VLOOKUP(A34,'Team Data'!$A$1:$P$133,3,FALSE())</f>
        <v>5</v>
      </c>
      <c r="O34" s="0" t="n">
        <f aca="false">VLOOKUP(B34,'Team Data'!$A$1:$P$133,2,FALSE())</f>
        <v>7</v>
      </c>
      <c r="P34" s="0" t="n">
        <f aca="false">VLOOKUP(B34,'Team Data'!$A$1:$P$133,3,FALSE())</f>
        <v>6</v>
      </c>
      <c r="Q34" s="0" t="n">
        <f aca="false">VLOOKUP(A34,'Team Data'!$A$1:$P$133,4,FALSE())</f>
        <v>76</v>
      </c>
      <c r="R34" s="0" t="n">
        <f aca="false">VLOOKUP(A34,'Team Data'!$A$1:$P$133,5,FALSE())</f>
        <v>196</v>
      </c>
      <c r="S34" s="0" t="n">
        <f aca="false">VLOOKUP(B34,'Team Data'!$A$1:$P$133,4,FALSE())</f>
        <v>90</v>
      </c>
      <c r="T34" s="0" t="n">
        <f aca="false">VLOOKUP(B34,'Team Data'!$A$1:$P$133,5,FALSE())</f>
        <v>183</v>
      </c>
      <c r="U34" s="0" t="n">
        <f aca="false">IF(K34=1,(MIN(35,(C34-D34)))*(O34/(O34+P34))*(S34/(S34+T34)),(MAX(-35,(C34-D34)))*(IF(P34=0,0.1,(P34/(O34+P34))))*(T34/(S34+T34)))</f>
        <v>0.355029585798817</v>
      </c>
      <c r="V34" s="0" t="n">
        <f aca="false">IF(L34=1,(MIN(35,(D34-C34)))*(M34/(M34+N34))*(Q34/(Q34+R34)),(MAX(-35,(D34-C34)))*(IF(N34=0,0.1,(N34/(M34+N34))))*(R34/(R34+Q34)))</f>
        <v>-0.554298642533937</v>
      </c>
    </row>
    <row r="35" customFormat="false" ht="15" hidden="false" customHeight="false" outlineLevel="0" collapsed="false">
      <c r="A35" s="0" t="s">
        <v>136</v>
      </c>
      <c r="B35" s="0" t="s">
        <v>45</v>
      </c>
      <c r="C35" s="0" t="n">
        <v>6</v>
      </c>
      <c r="D35" s="0" t="n">
        <v>38</v>
      </c>
      <c r="E35" s="0" t="n">
        <v>182</v>
      </c>
      <c r="F35" s="0" t="n">
        <v>260</v>
      </c>
      <c r="G35" s="0" t="n">
        <v>30</v>
      </c>
      <c r="H35" s="0" t="n">
        <v>217</v>
      </c>
      <c r="I35" s="0" t="n">
        <v>2</v>
      </c>
      <c r="J35" s="0" t="n">
        <v>0</v>
      </c>
      <c r="K35" s="0" t="n">
        <v>0</v>
      </c>
      <c r="L35" s="0" t="n">
        <v>1</v>
      </c>
      <c r="M35" s="0" t="n">
        <f aca="false">VLOOKUP(A35,'Team Data'!$A$1:$P$133,2,FALSE())</f>
        <v>7</v>
      </c>
      <c r="N35" s="0" t="n">
        <f aca="false">VLOOKUP(A35,'Team Data'!$A$1:$P$133,3,FALSE())</f>
        <v>6</v>
      </c>
      <c r="O35" s="0" t="n">
        <f aca="false">VLOOKUP(B35,'Team Data'!$A$1:$P$133,2,FALSE())</f>
        <v>8</v>
      </c>
      <c r="P35" s="0" t="n">
        <f aca="false">VLOOKUP(B35,'Team Data'!$A$1:$P$133,3,FALSE())</f>
        <v>5</v>
      </c>
      <c r="Q35" s="0" t="n">
        <f aca="false">VLOOKUP(A35,'Team Data'!$A$1:$P$133,4,FALSE())</f>
        <v>90</v>
      </c>
      <c r="R35" s="0" t="n">
        <f aca="false">VLOOKUP(A35,'Team Data'!$A$1:$P$133,5,FALSE())</f>
        <v>185</v>
      </c>
      <c r="S35" s="0" t="n">
        <f aca="false">VLOOKUP(B35,'Team Data'!$A$1:$P$133,4,FALSE())</f>
        <v>86</v>
      </c>
      <c r="T35" s="0" t="n">
        <f aca="false">VLOOKUP(B35,'Team Data'!$A$1:$P$133,5,FALSE())</f>
        <v>185</v>
      </c>
      <c r="U35" s="0" t="n">
        <f aca="false">IF(K35=1,(MIN(35,(C35-D35)))*(O35/(O35+P35))*(S35/(S35+T35)),(MAX(-35,(C35-D35)))*(IF(P35=0,0.1,(P35/(O35+P35))))*(T35/(S35+T35)))</f>
        <v>-8.40193017314789</v>
      </c>
      <c r="V35" s="0" t="n">
        <f aca="false">IF(L35=1,(MIN(35,(D35-C35)))*(M35/(M35+N35))*(Q35/(Q35+R35)),(MAX(-35,(D35-C35)))*(IF(N35=0,0.1,(N35/(M35+N35))))*(R35/(R35+Q35)))</f>
        <v>5.63916083916084</v>
      </c>
    </row>
    <row r="36" customFormat="false" ht="15" hidden="false" customHeight="false" outlineLevel="0" collapsed="false">
      <c r="A36" s="0" t="s">
        <v>73</v>
      </c>
      <c r="B36" s="0" t="s">
        <v>80</v>
      </c>
      <c r="C36" s="0" t="n">
        <v>28</v>
      </c>
      <c r="D36" s="0" t="n">
        <v>31</v>
      </c>
      <c r="E36" s="0" t="n">
        <v>110</v>
      </c>
      <c r="F36" s="0" t="n">
        <v>214</v>
      </c>
      <c r="G36" s="0" t="n">
        <v>355</v>
      </c>
      <c r="H36" s="0" t="n">
        <v>314</v>
      </c>
      <c r="I36" s="0" t="n">
        <v>3</v>
      </c>
      <c r="J36" s="0" t="n">
        <v>1</v>
      </c>
      <c r="K36" s="0" t="n">
        <v>0</v>
      </c>
      <c r="L36" s="0" t="n">
        <v>1</v>
      </c>
      <c r="M36" s="0" t="n">
        <f aca="false">VLOOKUP(A36,'Team Data'!$A$1:$P$133,2,FALSE())</f>
        <v>4</v>
      </c>
      <c r="N36" s="0" t="n">
        <f aca="false">VLOOKUP(A36,'Team Data'!$A$1:$P$133,3,FALSE())</f>
        <v>8</v>
      </c>
      <c r="O36" s="0" t="n">
        <f aca="false">VLOOKUP(B36,'Team Data'!$A$1:$P$133,2,FALSE())</f>
        <v>1</v>
      </c>
      <c r="P36" s="0" t="n">
        <f aca="false">VLOOKUP(B36,'Team Data'!$A$1:$P$133,3,FALSE())</f>
        <v>11</v>
      </c>
      <c r="Q36" s="0" t="n">
        <f aca="false">VLOOKUP(A36,'Team Data'!$A$1:$P$133,4,FALSE())</f>
        <v>82</v>
      </c>
      <c r="R36" s="0" t="n">
        <f aca="false">VLOOKUP(A36,'Team Data'!$A$1:$P$133,5,FALSE())</f>
        <v>180</v>
      </c>
      <c r="S36" s="0" t="n">
        <f aca="false">VLOOKUP(B36,'Team Data'!$A$1:$P$133,4,FALSE())</f>
        <v>97</v>
      </c>
      <c r="T36" s="0" t="n">
        <f aca="false">VLOOKUP(B36,'Team Data'!$A$1:$P$133,5,FALSE())</f>
        <v>166</v>
      </c>
      <c r="U36" s="0" t="n">
        <f aca="false">IF(K36=1,(MIN(35,(C36-D36)))*(O36/(O36+P36))*(S36/(S36+T36)),(MAX(-35,(C36-D36)))*(IF(P36=0,0.1,(P36/(O36+P36))))*(T36/(S36+T36)))</f>
        <v>-1.73574144486692</v>
      </c>
      <c r="V36" s="0" t="n">
        <f aca="false">IF(L36=1,(MIN(35,(D36-C36)))*(M36/(M36+N36))*(Q36/(Q36+R36)),(MAX(-35,(D36-C36)))*(IF(N36=0,0.1,(N36/(M36+N36))))*(R36/(R36+Q36)))</f>
        <v>0.312977099236641</v>
      </c>
    </row>
    <row r="37" customFormat="false" ht="15" hidden="false" customHeight="false" outlineLevel="0" collapsed="false">
      <c r="A37" s="0" t="s">
        <v>76</v>
      </c>
      <c r="B37" s="0" t="s">
        <v>68</v>
      </c>
      <c r="C37" s="0" t="n">
        <v>0</v>
      </c>
      <c r="D37" s="0" t="n">
        <v>38</v>
      </c>
      <c r="E37" s="0" t="n">
        <v>38</v>
      </c>
      <c r="F37" s="0" t="n">
        <v>297</v>
      </c>
      <c r="G37" s="0" t="n">
        <v>53</v>
      </c>
      <c r="H37" s="0" t="n">
        <v>188</v>
      </c>
      <c r="I37" s="0" t="n">
        <v>1</v>
      </c>
      <c r="J37" s="0" t="n">
        <v>0</v>
      </c>
      <c r="K37" s="0" t="n">
        <v>0</v>
      </c>
      <c r="L37" s="0" t="n">
        <v>1</v>
      </c>
      <c r="M37" s="0" t="n">
        <f aca="false">VLOOKUP(A37,'Team Data'!$A$1:$P$133,2,FALSE())</f>
        <v>7</v>
      </c>
      <c r="N37" s="0" t="n">
        <f aca="false">VLOOKUP(A37,'Team Data'!$A$1:$P$133,3,FALSE())</f>
        <v>6</v>
      </c>
      <c r="O37" s="0" t="n">
        <f aca="false">VLOOKUP(B37,'Team Data'!$A$1:$P$133,2,FALSE())</f>
        <v>9</v>
      </c>
      <c r="P37" s="0" t="n">
        <f aca="false">VLOOKUP(B37,'Team Data'!$A$1:$P$133,3,FALSE())</f>
        <v>4</v>
      </c>
      <c r="Q37" s="0" t="n">
        <f aca="false">VLOOKUP(A37,'Team Data'!$A$1:$P$133,4,FALSE())</f>
        <v>69</v>
      </c>
      <c r="R37" s="0" t="n">
        <f aca="false">VLOOKUP(A37,'Team Data'!$A$1:$P$133,5,FALSE())</f>
        <v>309</v>
      </c>
      <c r="S37" s="0" t="n">
        <f aca="false">VLOOKUP(B37,'Team Data'!$A$1:$P$133,4,FALSE())</f>
        <v>79</v>
      </c>
      <c r="T37" s="0" t="n">
        <f aca="false">VLOOKUP(B37,'Team Data'!$A$1:$P$133,5,FALSE())</f>
        <v>193</v>
      </c>
      <c r="U37" s="0" t="n">
        <f aca="false">IF(K37=1,(MIN(35,(C37-D37)))*(O37/(O37+P37))*(S37/(S37+T37)),(MAX(-35,(C37-D37)))*(IF(P37=0,0.1,(P37/(O37+P37))))*(T37/(S37+T37)))</f>
        <v>-7.64140271493213</v>
      </c>
      <c r="V37" s="0" t="n">
        <f aca="false">IF(L37=1,(MIN(35,(D37-C37)))*(M37/(M37+N37))*(Q37/(Q37+R37)),(MAX(-35,(D37-C37)))*(IF(N37=0,0.1,(N37/(M37+N37))))*(R37/(R37+Q37)))</f>
        <v>3.44017094017094</v>
      </c>
    </row>
    <row r="38" customFormat="false" ht="15" hidden="false" customHeight="false" outlineLevel="0" collapsed="false">
      <c r="A38" s="0" t="s">
        <v>45</v>
      </c>
      <c r="B38" s="0" t="s">
        <v>46</v>
      </c>
      <c r="C38" s="0" t="n">
        <v>20</v>
      </c>
      <c r="D38" s="0" t="n">
        <v>23</v>
      </c>
      <c r="E38" s="0" t="n">
        <v>216</v>
      </c>
      <c r="F38" s="0" t="n">
        <v>32</v>
      </c>
      <c r="G38" s="0" t="n">
        <v>235</v>
      </c>
      <c r="H38" s="0" t="n">
        <v>330</v>
      </c>
      <c r="I38" s="0" t="n">
        <v>4</v>
      </c>
      <c r="J38" s="0" t="n">
        <v>2</v>
      </c>
      <c r="K38" s="0" t="n">
        <v>0</v>
      </c>
      <c r="L38" s="0" t="n">
        <v>1</v>
      </c>
      <c r="M38" s="0" t="n">
        <f aca="false">VLOOKUP(A38,'Team Data'!$A$1:$P$133,2,FALSE())</f>
        <v>8</v>
      </c>
      <c r="N38" s="0" t="n">
        <f aca="false">VLOOKUP(A38,'Team Data'!$A$1:$P$133,3,FALSE())</f>
        <v>5</v>
      </c>
      <c r="O38" s="0" t="n">
        <f aca="false">VLOOKUP(B38,'Team Data'!$A$1:$P$133,2,FALSE())</f>
        <v>4</v>
      </c>
      <c r="P38" s="0" t="n">
        <f aca="false">VLOOKUP(B38,'Team Data'!$A$1:$P$133,3,FALSE())</f>
        <v>8</v>
      </c>
      <c r="Q38" s="0" t="n">
        <f aca="false">VLOOKUP(A38,'Team Data'!$A$1:$P$133,4,FALSE())</f>
        <v>86</v>
      </c>
      <c r="R38" s="0" t="n">
        <f aca="false">VLOOKUP(A38,'Team Data'!$A$1:$P$133,5,FALSE())</f>
        <v>185</v>
      </c>
      <c r="S38" s="0" t="n">
        <f aca="false">VLOOKUP(B38,'Team Data'!$A$1:$P$133,4,FALSE())</f>
        <v>98</v>
      </c>
      <c r="T38" s="0" t="n">
        <f aca="false">VLOOKUP(B38,'Team Data'!$A$1:$P$133,5,FALSE())</f>
        <v>165</v>
      </c>
      <c r="U38" s="0" t="n">
        <f aca="false">IF(K38=1,(MIN(35,(C38-D38)))*(O38/(O38+P38))*(S38/(S38+T38)),(MAX(-35,(C38-D38)))*(IF(P38=0,0.1,(P38/(O38+P38))))*(T38/(S38+T38)))</f>
        <v>-1.25475285171103</v>
      </c>
      <c r="V38" s="0" t="n">
        <f aca="false">IF(L38=1,(MIN(35,(D38-C38)))*(M38/(M38+N38))*(Q38/(Q38+R38)),(MAX(-35,(D38-C38)))*(IF(N38=0,0.1,(N38/(M38+N38))))*(R38/(R38+Q38)))</f>
        <v>0.585864320181663</v>
      </c>
    </row>
    <row r="39" customFormat="false" ht="15" hidden="false" customHeight="false" outlineLevel="0" collapsed="false">
      <c r="A39" s="0" t="s">
        <v>198</v>
      </c>
      <c r="B39" s="0" t="s">
        <v>47</v>
      </c>
      <c r="C39" s="0" t="n">
        <v>3</v>
      </c>
      <c r="D39" s="0" t="n">
        <v>7</v>
      </c>
      <c r="E39" s="0" t="n">
        <v>33</v>
      </c>
      <c r="F39" s="0" t="n">
        <v>57</v>
      </c>
      <c r="G39" s="0" t="n">
        <v>87</v>
      </c>
      <c r="H39" s="0" t="n">
        <v>109</v>
      </c>
      <c r="I39" s="0" t="n">
        <v>0</v>
      </c>
      <c r="J39" s="0" t="n">
        <v>2</v>
      </c>
      <c r="K39" s="0" t="n">
        <v>0</v>
      </c>
      <c r="L39" s="0" t="n">
        <v>1</v>
      </c>
      <c r="M39" s="0" t="n">
        <f aca="false">VLOOKUP(A39,'Team Data'!$A$1:$P$133,2,FALSE())</f>
        <v>8</v>
      </c>
      <c r="N39" s="0" t="n">
        <f aca="false">VLOOKUP(A39,'Team Data'!$A$1:$P$133,3,FALSE())</f>
        <v>112</v>
      </c>
      <c r="O39" s="0" t="n">
        <f aca="false">VLOOKUP(B39,'Team Data'!$A$1:$P$133,2,FALSE())</f>
        <v>8</v>
      </c>
      <c r="P39" s="0" t="n">
        <f aca="false">VLOOKUP(B39,'Team Data'!$A$1:$P$133,3,FALSE())</f>
        <v>5</v>
      </c>
      <c r="Q39" s="0" t="n">
        <f aca="false">VLOOKUP(A39,'Team Data'!$A$1:$P$133,4,FALSE())</f>
        <v>805</v>
      </c>
      <c r="R39" s="0" t="n">
        <f aca="false">VLOOKUP(A39,'Team Data'!$A$1:$P$133,5,FALSE())</f>
        <v>725</v>
      </c>
      <c r="S39" s="0" t="n">
        <f aca="false">VLOOKUP(B39,'Team Data'!$A$1:$P$133,4,FALSE())</f>
        <v>86</v>
      </c>
      <c r="T39" s="0" t="n">
        <f aca="false">VLOOKUP(B39,'Team Data'!$A$1:$P$133,5,FALSE())</f>
        <v>187</v>
      </c>
      <c r="U39" s="0" t="n">
        <f aca="false">IF(K39=1,(MIN(35,(C39-D39)))*(O39/(O39+P39))*(S39/(S39+T39)),(MAX(-35,(C39-D39)))*(IF(P39=0,0.1,(P39/(O39+P39))))*(T39/(S39+T39)))</f>
        <v>-1.0538179768949</v>
      </c>
      <c r="V39" s="0" t="n">
        <f aca="false">IF(L39=1,(MIN(35,(D39-C39)))*(M39/(M39+N39))*(Q39/(Q39+R39)),(MAX(-35,(D39-C39)))*(IF(N39=0,0.1,(N39/(M39+N39))))*(R39/(R39+Q39)))</f>
        <v>0.140305010893246</v>
      </c>
    </row>
    <row r="40" customFormat="false" ht="15" hidden="false" customHeight="false" outlineLevel="0" collapsed="false">
      <c r="A40" s="0" t="s">
        <v>198</v>
      </c>
      <c r="B40" s="0" t="s">
        <v>73</v>
      </c>
      <c r="C40" s="0" t="n">
        <v>17</v>
      </c>
      <c r="D40" s="0" t="n">
        <v>38</v>
      </c>
      <c r="E40" s="0" t="n">
        <v>175</v>
      </c>
      <c r="F40" s="0" t="n">
        <v>244</v>
      </c>
      <c r="G40" s="0" t="n">
        <v>131</v>
      </c>
      <c r="H40" s="0" t="n">
        <v>193</v>
      </c>
      <c r="I40" s="0" t="n">
        <v>1</v>
      </c>
      <c r="J40" s="0" t="n">
        <v>2</v>
      </c>
      <c r="K40" s="0" t="n">
        <v>0</v>
      </c>
      <c r="L40" s="0" t="n">
        <v>1</v>
      </c>
      <c r="M40" s="0" t="n">
        <f aca="false">VLOOKUP(A40,'Team Data'!$A$1:$P$133,2,FALSE())</f>
        <v>8</v>
      </c>
      <c r="N40" s="0" t="n">
        <f aca="false">VLOOKUP(A40,'Team Data'!$A$1:$P$133,3,FALSE())</f>
        <v>112</v>
      </c>
      <c r="O40" s="0" t="n">
        <f aca="false">VLOOKUP(B40,'Team Data'!$A$1:$P$133,2,FALSE())</f>
        <v>4</v>
      </c>
      <c r="P40" s="0" t="n">
        <f aca="false">VLOOKUP(B40,'Team Data'!$A$1:$P$133,3,FALSE())</f>
        <v>8</v>
      </c>
      <c r="Q40" s="0" t="n">
        <f aca="false">VLOOKUP(A40,'Team Data'!$A$1:$P$133,4,FALSE())</f>
        <v>805</v>
      </c>
      <c r="R40" s="0" t="n">
        <f aca="false">VLOOKUP(A40,'Team Data'!$A$1:$P$133,5,FALSE())</f>
        <v>725</v>
      </c>
      <c r="S40" s="0" t="n">
        <f aca="false">VLOOKUP(B40,'Team Data'!$A$1:$P$133,4,FALSE())</f>
        <v>82</v>
      </c>
      <c r="T40" s="0" t="n">
        <f aca="false">VLOOKUP(B40,'Team Data'!$A$1:$P$133,5,FALSE())</f>
        <v>180</v>
      </c>
      <c r="U40" s="0" t="n">
        <f aca="false">IF(K40=1,(MIN(35,(C40-D40)))*(O40/(O40+P40))*(S40/(S40+T40)),(MAX(-35,(C40-D40)))*(IF(P40=0,0.1,(P40/(O40+P40))))*(T40/(S40+T40)))</f>
        <v>-9.61832061068702</v>
      </c>
      <c r="V40" s="0" t="n">
        <f aca="false">IF(L40=1,(MIN(35,(D40-C40)))*(M40/(M40+N40))*(Q40/(Q40+R40)),(MAX(-35,(D40-C40)))*(IF(N40=0,0.1,(N40/(M40+N40))))*(R40/(R40+Q40)))</f>
        <v>0.736601307189542</v>
      </c>
    </row>
    <row r="41" customFormat="false" ht="15" hidden="false" customHeight="false" outlineLevel="0" collapsed="false">
      <c r="A41" s="0" t="s">
        <v>90</v>
      </c>
      <c r="B41" s="0" t="s">
        <v>92</v>
      </c>
      <c r="C41" s="0" t="n">
        <v>35</v>
      </c>
      <c r="D41" s="0" t="n">
        <v>31</v>
      </c>
      <c r="E41" s="0" t="n">
        <v>98</v>
      </c>
      <c r="F41" s="0" t="n">
        <v>70</v>
      </c>
      <c r="G41" s="0" t="n">
        <v>308</v>
      </c>
      <c r="H41" s="0" t="n">
        <v>356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f aca="false">VLOOKUP(A41,'Team Data'!$A$1:$P$133,2,FALSE())</f>
        <v>11</v>
      </c>
      <c r="N41" s="0" t="n">
        <f aca="false">VLOOKUP(A41,'Team Data'!$A$1:$P$133,3,FALSE())</f>
        <v>2</v>
      </c>
      <c r="O41" s="0" t="n">
        <f aca="false">VLOOKUP(B41,'Team Data'!$A$1:$P$133,2,FALSE())</f>
        <v>8</v>
      </c>
      <c r="P41" s="0" t="n">
        <f aca="false">VLOOKUP(B41,'Team Data'!$A$1:$P$133,3,FALSE())</f>
        <v>6</v>
      </c>
      <c r="Q41" s="0" t="n">
        <f aca="false">VLOOKUP(A41,'Team Data'!$A$1:$P$133,4,FALSE())</f>
        <v>92</v>
      </c>
      <c r="R41" s="0" t="n">
        <f aca="false">VLOOKUP(A41,'Team Data'!$A$1:$P$133,5,FALSE())</f>
        <v>75</v>
      </c>
      <c r="S41" s="0" t="n">
        <f aca="false">VLOOKUP(B41,'Team Data'!$A$1:$P$133,4,FALSE())</f>
        <v>103</v>
      </c>
      <c r="T41" s="0" t="n">
        <f aca="false">VLOOKUP(B41,'Team Data'!$A$1:$P$133,5,FALSE())</f>
        <v>184</v>
      </c>
      <c r="U41" s="0" t="n">
        <f aca="false">IF(K41=1,(MIN(35,(C41-D41)))*(O41/(O41+P41))*(S41/(S41+T41)),(MAX(-35,(C41-D41)))*(IF(P41=0,0.1,(P41/(O41+P41))))*(T41/(S41+T41)))</f>
        <v>0.820308611249378</v>
      </c>
      <c r="V41" s="0" t="n">
        <f aca="false">IF(L41=1,(MIN(35,(D41-C41)))*(M41/(M41+N41))*(Q41/(Q41+R41)),(MAX(-35,(D41-C41)))*(IF(N41=0,0.1,(N41/(M41+N41))))*(R41/(R41+Q41)))</f>
        <v>-0.276370336250576</v>
      </c>
    </row>
    <row r="42" customFormat="false" ht="15" hidden="false" customHeight="false" outlineLevel="0" collapsed="false">
      <c r="A42" s="0" t="s">
        <v>198</v>
      </c>
      <c r="B42" s="0" t="s">
        <v>135</v>
      </c>
      <c r="C42" s="0" t="n">
        <v>0</v>
      </c>
      <c r="D42" s="0" t="n">
        <v>38</v>
      </c>
      <c r="E42" s="0" t="n">
        <v>57</v>
      </c>
      <c r="F42" s="0" t="n">
        <v>221</v>
      </c>
      <c r="G42" s="0" t="n">
        <v>186</v>
      </c>
      <c r="H42" s="0" t="n">
        <v>219</v>
      </c>
      <c r="I42" s="0" t="n">
        <v>2</v>
      </c>
      <c r="J42" s="0" t="n">
        <v>0</v>
      </c>
      <c r="K42" s="0" t="n">
        <v>0</v>
      </c>
      <c r="L42" s="0" t="n">
        <v>1</v>
      </c>
      <c r="M42" s="0" t="n">
        <f aca="false">VLOOKUP(A42,'Team Data'!$A$1:$P$133,2,FALSE())</f>
        <v>8</v>
      </c>
      <c r="N42" s="0" t="n">
        <f aca="false">VLOOKUP(A42,'Team Data'!$A$1:$P$133,3,FALSE())</f>
        <v>112</v>
      </c>
      <c r="O42" s="0" t="n">
        <f aca="false">VLOOKUP(B42,'Team Data'!$A$1:$P$133,2,FALSE())</f>
        <v>7</v>
      </c>
      <c r="P42" s="0" t="n">
        <f aca="false">VLOOKUP(B42,'Team Data'!$A$1:$P$133,3,FALSE())</f>
        <v>6</v>
      </c>
      <c r="Q42" s="0" t="n">
        <f aca="false">VLOOKUP(A42,'Team Data'!$A$1:$P$133,4,FALSE())</f>
        <v>805</v>
      </c>
      <c r="R42" s="0" t="n">
        <f aca="false">VLOOKUP(A42,'Team Data'!$A$1:$P$133,5,FALSE())</f>
        <v>725</v>
      </c>
      <c r="S42" s="0" t="n">
        <f aca="false">VLOOKUP(B42,'Team Data'!$A$1:$P$133,4,FALSE())</f>
        <v>91</v>
      </c>
      <c r="T42" s="0" t="n">
        <f aca="false">VLOOKUP(B42,'Team Data'!$A$1:$P$133,5,FALSE())</f>
        <v>183</v>
      </c>
      <c r="U42" s="0" t="n">
        <f aca="false">IF(K42=1,(MIN(35,(C42-D42)))*(O42/(O42+P42))*(S42/(S42+T42)),(MAX(-35,(C42-D42)))*(IF(P42=0,0.1,(P42/(O42+P42))))*(T42/(S42+T42)))</f>
        <v>-10.7888826501965</v>
      </c>
      <c r="V42" s="0" t="n">
        <f aca="false">IF(L42=1,(MIN(35,(D42-C42)))*(M42/(M42+N42))*(Q42/(Q42+R42)),(MAX(-35,(D42-C42)))*(IF(N42=0,0.1,(N42/(M42+N42))))*(R42/(R42+Q42)))</f>
        <v>1.2276688453159</v>
      </c>
    </row>
    <row r="43" customFormat="false" ht="15" hidden="false" customHeight="false" outlineLevel="0" collapsed="false">
      <c r="A43" s="0" t="s">
        <v>22</v>
      </c>
      <c r="B43" s="0" t="s">
        <v>61</v>
      </c>
      <c r="C43" s="0" t="n">
        <v>10</v>
      </c>
      <c r="D43" s="0" t="n">
        <v>31</v>
      </c>
      <c r="E43" s="0" t="n">
        <v>108</v>
      </c>
      <c r="F43" s="0" t="n">
        <v>149</v>
      </c>
      <c r="G43" s="0" t="n">
        <v>160</v>
      </c>
      <c r="H43" s="0" t="n">
        <v>297</v>
      </c>
      <c r="I43" s="0" t="n">
        <v>0</v>
      </c>
      <c r="J43" s="0" t="n">
        <v>1</v>
      </c>
      <c r="K43" s="0" t="n">
        <v>0</v>
      </c>
      <c r="L43" s="0" t="n">
        <v>1</v>
      </c>
      <c r="M43" s="0" t="n">
        <f aca="false">VLOOKUP(A43,'Team Data'!$A$1:$P$133,2,FALSE())</f>
        <v>7</v>
      </c>
      <c r="N43" s="0" t="n">
        <f aca="false">VLOOKUP(A43,'Team Data'!$A$1:$P$133,3,FALSE())</f>
        <v>6</v>
      </c>
      <c r="O43" s="0" t="n">
        <f aca="false">VLOOKUP(B43,'Team Data'!$A$1:$P$133,2,FALSE())</f>
        <v>8</v>
      </c>
      <c r="P43" s="0" t="n">
        <f aca="false">VLOOKUP(B43,'Team Data'!$A$1:$P$133,3,FALSE())</f>
        <v>5</v>
      </c>
      <c r="Q43" s="0" t="n">
        <f aca="false">VLOOKUP(A43,'Team Data'!$A$1:$P$133,4,FALSE())</f>
        <v>83</v>
      </c>
      <c r="R43" s="0" t="n">
        <f aca="false">VLOOKUP(A43,'Team Data'!$A$1:$P$133,5,FALSE())</f>
        <v>191</v>
      </c>
      <c r="S43" s="0" t="n">
        <f aca="false">VLOOKUP(B43,'Team Data'!$A$1:$P$133,4,FALSE())</f>
        <v>89</v>
      </c>
      <c r="T43" s="0" t="n">
        <f aca="false">VLOOKUP(B43,'Team Data'!$A$1:$P$133,5,FALSE())</f>
        <v>77</v>
      </c>
      <c r="U43" s="0" t="n">
        <f aca="false">IF(K43=1,(MIN(35,(C43-D43)))*(O43/(O43+P43))*(S43/(S43+T43)),(MAX(-35,(C43-D43)))*(IF(P43=0,0.1,(P43/(O43+P43))))*(T43/(S43+T43)))</f>
        <v>-3.74652455977757</v>
      </c>
      <c r="V43" s="0" t="n">
        <f aca="false">IF(L43=1,(MIN(35,(D43-C43)))*(M43/(M43+N43))*(Q43/(Q43+R43)),(MAX(-35,(D43-C43)))*(IF(N43=0,0.1,(N43/(M43+N43))))*(R43/(R43+Q43)))</f>
        <v>3.42532285233015</v>
      </c>
    </row>
    <row r="44" customFormat="false" ht="15" hidden="false" customHeight="false" outlineLevel="0" collapsed="false">
      <c r="A44" s="0" t="s">
        <v>30</v>
      </c>
      <c r="B44" s="0" t="s">
        <v>65</v>
      </c>
      <c r="C44" s="0" t="n">
        <v>7</v>
      </c>
      <c r="D44" s="0" t="n">
        <v>51</v>
      </c>
      <c r="E44" s="0" t="n">
        <v>82</v>
      </c>
      <c r="F44" s="0" t="n">
        <v>234</v>
      </c>
      <c r="G44" s="0" t="n">
        <v>137</v>
      </c>
      <c r="H44" s="0" t="n">
        <v>206</v>
      </c>
      <c r="I44" s="0" t="n">
        <v>2</v>
      </c>
      <c r="J44" s="0" t="n">
        <v>0</v>
      </c>
      <c r="K44" s="0" t="n">
        <v>0</v>
      </c>
      <c r="L44" s="0" t="n">
        <v>1</v>
      </c>
      <c r="M44" s="0" t="n">
        <f aca="false">VLOOKUP(A44,'Team Data'!$A$1:$P$133,2,FALSE())</f>
        <v>3</v>
      </c>
      <c r="N44" s="0" t="n">
        <f aca="false">VLOOKUP(A44,'Team Data'!$A$1:$P$133,3,FALSE())</f>
        <v>9</v>
      </c>
      <c r="O44" s="0" t="n">
        <f aca="false">VLOOKUP(B44,'Team Data'!$A$1:$P$133,2,FALSE())</f>
        <v>13</v>
      </c>
      <c r="P44" s="0" t="n">
        <f aca="false">VLOOKUP(B44,'Team Data'!$A$1:$P$133,3,FALSE())</f>
        <v>1</v>
      </c>
      <c r="Q44" s="0" t="n">
        <f aca="false">VLOOKUP(A44,'Team Data'!$A$1:$P$133,4,FALSE())</f>
        <v>83</v>
      </c>
      <c r="R44" s="0" t="n">
        <f aca="false">VLOOKUP(A44,'Team Data'!$A$1:$P$133,5,FALSE())</f>
        <v>179</v>
      </c>
      <c r="S44" s="0" t="n">
        <f aca="false">VLOOKUP(B44,'Team Data'!$A$1:$P$133,4,FALSE())</f>
        <v>96</v>
      </c>
      <c r="T44" s="0" t="n">
        <f aca="false">VLOOKUP(B44,'Team Data'!$A$1:$P$133,5,FALSE())</f>
        <v>84</v>
      </c>
      <c r="U44" s="0" t="n">
        <f aca="false">IF(K44=1,(MIN(35,(C44-D44)))*(O44/(O44+P44))*(S44/(S44+T44)),(MAX(-35,(C44-D44)))*(IF(P44=0,0.1,(P44/(O44+P44))))*(T44/(S44+T44)))</f>
        <v>-1.16666666666667</v>
      </c>
      <c r="V44" s="0" t="n">
        <f aca="false">IF(L44=1,(MIN(35,(D44-C44)))*(M44/(M44+N44))*(Q44/(Q44+R44)),(MAX(-35,(D44-C44)))*(IF(N44=0,0.1,(N44/(M44+N44))))*(R44/(R44+Q44)))</f>
        <v>2.7719465648855</v>
      </c>
    </row>
    <row r="45" customFormat="false" ht="15" hidden="false" customHeight="false" outlineLevel="0" collapsed="false">
      <c r="A45" s="0" t="s">
        <v>94</v>
      </c>
      <c r="B45" s="0" t="s">
        <v>20</v>
      </c>
      <c r="C45" s="0" t="n">
        <v>22</v>
      </c>
      <c r="D45" s="0" t="n">
        <v>21</v>
      </c>
      <c r="E45" s="0" t="n">
        <v>212</v>
      </c>
      <c r="F45" s="0" t="n">
        <v>29</v>
      </c>
      <c r="G45" s="0" t="n">
        <v>110</v>
      </c>
      <c r="H45" s="0" t="n">
        <v>283</v>
      </c>
      <c r="I45" s="0" t="n">
        <v>1</v>
      </c>
      <c r="J45" s="0" t="n">
        <v>3</v>
      </c>
      <c r="K45" s="0" t="n">
        <v>1</v>
      </c>
      <c r="L45" s="0" t="n">
        <v>0</v>
      </c>
      <c r="M45" s="0" t="n">
        <f aca="false">VLOOKUP(A45,'Team Data'!$A$1:$P$133,2,FALSE())</f>
        <v>4</v>
      </c>
      <c r="N45" s="0" t="n">
        <f aca="false">VLOOKUP(A45,'Team Data'!$A$1:$P$133,3,FALSE())</f>
        <v>8</v>
      </c>
      <c r="O45" s="0" t="n">
        <f aca="false">VLOOKUP(B45,'Team Data'!$A$1:$P$133,2,FALSE())</f>
        <v>3</v>
      </c>
      <c r="P45" s="0" t="n">
        <f aca="false">VLOOKUP(B45,'Team Data'!$A$1:$P$133,3,FALSE())</f>
        <v>9</v>
      </c>
      <c r="Q45" s="0" t="n">
        <f aca="false">VLOOKUP(A45,'Team Data'!$A$1:$P$133,4,FALSE())</f>
        <v>87</v>
      </c>
      <c r="R45" s="0" t="n">
        <f aca="false">VLOOKUP(A45,'Team Data'!$A$1:$P$133,5,FALSE())</f>
        <v>172</v>
      </c>
      <c r="S45" s="0" t="n">
        <f aca="false">VLOOKUP(B45,'Team Data'!$A$1:$P$133,4,FALSE())</f>
        <v>91</v>
      </c>
      <c r="T45" s="0" t="n">
        <f aca="false">VLOOKUP(B45,'Team Data'!$A$1:$P$133,5,FALSE())</f>
        <v>170</v>
      </c>
      <c r="U45" s="0" t="n">
        <f aca="false">IF(K45=1,(MIN(35,(C45-D45)))*(O45/(O45+P45))*(S45/(S45+T45)),(MAX(-35,(C45-D45)))*(IF(P45=0,0.1,(P45/(O45+P45))))*(T45/(S45+T45)))</f>
        <v>0.0871647509578544</v>
      </c>
      <c r="V45" s="0" t="n">
        <f aca="false">IF(L45=1,(MIN(35,(D45-C45)))*(M45/(M45+N45))*(Q45/(Q45+R45)),(MAX(-35,(D45-C45)))*(IF(N45=0,0.1,(N45/(M45+N45))))*(R45/(R45+Q45)))</f>
        <v>-0.442728442728443</v>
      </c>
    </row>
    <row r="46" customFormat="false" ht="15" hidden="false" customHeight="false" outlineLevel="0" collapsed="false">
      <c r="A46" s="0" t="s">
        <v>74</v>
      </c>
      <c r="B46" s="0" t="s">
        <v>76</v>
      </c>
      <c r="C46" s="0" t="n">
        <v>23</v>
      </c>
      <c r="D46" s="0" t="n">
        <v>12</v>
      </c>
      <c r="E46" s="0" t="n">
        <v>179</v>
      </c>
      <c r="F46" s="0" t="n">
        <v>85</v>
      </c>
      <c r="G46" s="0" t="n">
        <v>78</v>
      </c>
      <c r="H46" s="0" t="n">
        <v>218</v>
      </c>
      <c r="I46" s="0" t="n">
        <v>0</v>
      </c>
      <c r="J46" s="0" t="n">
        <v>5</v>
      </c>
      <c r="K46" s="0" t="n">
        <v>1</v>
      </c>
      <c r="L46" s="0" t="n">
        <v>0</v>
      </c>
      <c r="M46" s="0" t="n">
        <f aca="false">VLOOKUP(A46,'Team Data'!$A$1:$P$133,2,FALSE())</f>
        <v>2</v>
      </c>
      <c r="N46" s="0" t="n">
        <f aca="false">VLOOKUP(A46,'Team Data'!$A$1:$P$133,3,FALSE())</f>
        <v>10</v>
      </c>
      <c r="O46" s="0" t="n">
        <f aca="false">VLOOKUP(B46,'Team Data'!$A$1:$P$133,2,FALSE())</f>
        <v>7</v>
      </c>
      <c r="P46" s="0" t="n">
        <f aca="false">VLOOKUP(B46,'Team Data'!$A$1:$P$133,3,FALSE())</f>
        <v>6</v>
      </c>
      <c r="Q46" s="0" t="n">
        <f aca="false">VLOOKUP(A46,'Team Data'!$A$1:$P$133,4,FALSE())</f>
        <v>82</v>
      </c>
      <c r="R46" s="0" t="n">
        <f aca="false">VLOOKUP(A46,'Team Data'!$A$1:$P$133,5,FALSE())</f>
        <v>179</v>
      </c>
      <c r="S46" s="0" t="n">
        <f aca="false">VLOOKUP(B46,'Team Data'!$A$1:$P$133,4,FALSE())</f>
        <v>69</v>
      </c>
      <c r="T46" s="0" t="n">
        <f aca="false">VLOOKUP(B46,'Team Data'!$A$1:$P$133,5,FALSE())</f>
        <v>309</v>
      </c>
      <c r="U46" s="0" t="n">
        <f aca="false">IF(K46=1,(MIN(35,(C46-D46)))*(O46/(O46+P46))*(S46/(S46+T46)),(MAX(-35,(C46-D46)))*(IF(P46=0,0.1,(P46/(O46+P46))))*(T46/(S46+T46)))</f>
        <v>1.08119658119658</v>
      </c>
      <c r="V46" s="0" t="n">
        <f aca="false">IF(L46=1,(MIN(35,(D46-C46)))*(M46/(M46+N46))*(Q46/(Q46+R46)),(MAX(-35,(D46-C46)))*(IF(N46=0,0.1,(N46/(M46+N46))))*(R46/(R46+Q46)))</f>
        <v>-6.286717752235</v>
      </c>
    </row>
    <row r="47" customFormat="false" ht="15" hidden="false" customHeight="false" outlineLevel="0" collapsed="false">
      <c r="A47" s="0" t="s">
        <v>198</v>
      </c>
      <c r="B47" s="0" t="s">
        <v>37</v>
      </c>
      <c r="C47" s="0" t="n">
        <v>7</v>
      </c>
      <c r="D47" s="0" t="n">
        <v>47</v>
      </c>
      <c r="E47" s="0" t="n">
        <v>93</v>
      </c>
      <c r="F47" s="0" t="n">
        <v>406</v>
      </c>
      <c r="G47" s="0" t="n">
        <v>71</v>
      </c>
      <c r="H47" s="0" t="n">
        <v>232</v>
      </c>
      <c r="I47" s="0" t="n">
        <v>0</v>
      </c>
      <c r="J47" s="0" t="n">
        <v>1</v>
      </c>
      <c r="K47" s="0" t="n">
        <v>0</v>
      </c>
      <c r="L47" s="0" t="n">
        <v>1</v>
      </c>
      <c r="M47" s="0" t="n">
        <f aca="false">VLOOKUP(A47,'Team Data'!$A$1:$P$133,2,FALSE())</f>
        <v>8</v>
      </c>
      <c r="N47" s="0" t="n">
        <f aca="false">VLOOKUP(A47,'Team Data'!$A$1:$P$133,3,FALSE())</f>
        <v>112</v>
      </c>
      <c r="O47" s="0" t="n">
        <f aca="false">VLOOKUP(B47,'Team Data'!$A$1:$P$133,2,FALSE())</f>
        <v>10</v>
      </c>
      <c r="P47" s="0" t="n">
        <f aca="false">VLOOKUP(B47,'Team Data'!$A$1:$P$133,3,FALSE())</f>
        <v>3</v>
      </c>
      <c r="Q47" s="0" t="n">
        <f aca="false">VLOOKUP(A47,'Team Data'!$A$1:$P$133,4,FALSE())</f>
        <v>805</v>
      </c>
      <c r="R47" s="0" t="n">
        <f aca="false">VLOOKUP(A47,'Team Data'!$A$1:$P$133,5,FALSE())</f>
        <v>725</v>
      </c>
      <c r="S47" s="0" t="n">
        <f aca="false">VLOOKUP(B47,'Team Data'!$A$1:$P$133,4,FALSE())</f>
        <v>91</v>
      </c>
      <c r="T47" s="0" t="n">
        <f aca="false">VLOOKUP(B47,'Team Data'!$A$1:$P$133,5,FALSE())</f>
        <v>184</v>
      </c>
      <c r="U47" s="0" t="n">
        <f aca="false">IF(K47=1,(MIN(35,(C47-D47)))*(O47/(O47+P47))*(S47/(S47+T47)),(MAX(-35,(C47-D47)))*(IF(P47=0,0.1,(P47/(O47+P47))))*(T47/(S47+T47)))</f>
        <v>-5.4041958041958</v>
      </c>
      <c r="V47" s="0" t="n">
        <f aca="false">IF(L47=1,(MIN(35,(D47-C47)))*(M47/(M47+N47))*(Q47/(Q47+R47)),(MAX(-35,(D47-C47)))*(IF(N47=0,0.1,(N47/(M47+N47))))*(R47/(R47+Q47)))</f>
        <v>1.2276688453159</v>
      </c>
    </row>
    <row r="48" customFormat="false" ht="15" hidden="false" customHeight="false" outlineLevel="0" collapsed="false">
      <c r="A48" s="0" t="s">
        <v>198</v>
      </c>
      <c r="B48" s="0" t="s">
        <v>77</v>
      </c>
      <c r="C48" s="0" t="n">
        <v>24</v>
      </c>
      <c r="D48" s="0" t="n">
        <v>56</v>
      </c>
      <c r="E48" s="0" t="n">
        <v>56</v>
      </c>
      <c r="F48" s="0" t="n">
        <v>314</v>
      </c>
      <c r="G48" s="0" t="n">
        <v>279</v>
      </c>
      <c r="H48" s="0" t="n">
        <v>294</v>
      </c>
      <c r="I48" s="0" t="n">
        <v>2</v>
      </c>
      <c r="J48" s="0" t="n">
        <v>0</v>
      </c>
      <c r="K48" s="0" t="n">
        <v>0</v>
      </c>
      <c r="L48" s="0" t="n">
        <v>1</v>
      </c>
      <c r="M48" s="0" t="n">
        <f aca="false">VLOOKUP(A48,'Team Data'!$A$1:$P$133,2,FALSE())</f>
        <v>8</v>
      </c>
      <c r="N48" s="0" t="n">
        <f aca="false">VLOOKUP(A48,'Team Data'!$A$1:$P$133,3,FALSE())</f>
        <v>112</v>
      </c>
      <c r="O48" s="0" t="n">
        <f aca="false">VLOOKUP(B48,'Team Data'!$A$1:$P$133,2,FALSE())</f>
        <v>9</v>
      </c>
      <c r="P48" s="0" t="n">
        <f aca="false">VLOOKUP(B48,'Team Data'!$A$1:$P$133,3,FALSE())</f>
        <v>5</v>
      </c>
      <c r="Q48" s="0" t="n">
        <f aca="false">VLOOKUP(A48,'Team Data'!$A$1:$P$133,4,FALSE())</f>
        <v>805</v>
      </c>
      <c r="R48" s="0" t="n">
        <f aca="false">VLOOKUP(A48,'Team Data'!$A$1:$P$133,5,FALSE())</f>
        <v>725</v>
      </c>
      <c r="S48" s="0" t="n">
        <f aca="false">VLOOKUP(B48,'Team Data'!$A$1:$P$133,4,FALSE())</f>
        <v>98</v>
      </c>
      <c r="T48" s="0" t="n">
        <f aca="false">VLOOKUP(B48,'Team Data'!$A$1:$P$133,5,FALSE())</f>
        <v>183</v>
      </c>
      <c r="U48" s="0" t="n">
        <f aca="false">IF(K48=1,(MIN(35,(C48-D48)))*(O48/(O48+P48))*(S48/(S48+T48)),(MAX(-35,(C48-D48)))*(IF(P48=0,0.1,(P48/(O48+P48))))*(T48/(S48+T48)))</f>
        <v>-7.44280630401627</v>
      </c>
      <c r="V48" s="0" t="n">
        <f aca="false">IF(L48=1,(MIN(35,(D48-C48)))*(M48/(M48+N48))*(Q48/(Q48+R48)),(MAX(-35,(D48-C48)))*(IF(N48=0,0.1,(N48/(M48+N48))))*(R48/(R48+Q48)))</f>
        <v>1.12244008714597</v>
      </c>
    </row>
    <row r="49" customFormat="false" ht="15" hidden="false" customHeight="false" outlineLevel="0" collapsed="false">
      <c r="A49" s="0" t="s">
        <v>132</v>
      </c>
      <c r="B49" s="0" t="s">
        <v>91</v>
      </c>
      <c r="C49" s="0" t="n">
        <v>31</v>
      </c>
      <c r="D49" s="0" t="n">
        <v>38</v>
      </c>
      <c r="E49" s="0" t="n">
        <v>190</v>
      </c>
      <c r="F49" s="0" t="n">
        <v>76</v>
      </c>
      <c r="G49" s="0" t="n">
        <v>214</v>
      </c>
      <c r="H49" s="0" t="n">
        <v>308</v>
      </c>
      <c r="I49" s="0" t="n">
        <v>2</v>
      </c>
      <c r="J49" s="0" t="n">
        <v>1</v>
      </c>
      <c r="K49" s="0" t="n">
        <v>0</v>
      </c>
      <c r="L49" s="0" t="n">
        <v>1</v>
      </c>
      <c r="M49" s="0" t="n">
        <f aca="false">VLOOKUP(A49,'Team Data'!$A$1:$P$133,2,FALSE())</f>
        <v>5</v>
      </c>
      <c r="N49" s="0" t="n">
        <f aca="false">VLOOKUP(A49,'Team Data'!$A$1:$P$133,3,FALSE())</f>
        <v>7</v>
      </c>
      <c r="O49" s="0" t="n">
        <f aca="false">VLOOKUP(B49,'Team Data'!$A$1:$P$133,2,FALSE())</f>
        <v>9</v>
      </c>
      <c r="P49" s="0" t="n">
        <f aca="false">VLOOKUP(B49,'Team Data'!$A$1:$P$133,3,FALSE())</f>
        <v>4</v>
      </c>
      <c r="Q49" s="0" t="n">
        <f aca="false">VLOOKUP(A49,'Team Data'!$A$1:$P$133,4,FALSE())</f>
        <v>88</v>
      </c>
      <c r="R49" s="0" t="n">
        <f aca="false">VLOOKUP(A49,'Team Data'!$A$1:$P$133,5,FALSE())</f>
        <v>175</v>
      </c>
      <c r="S49" s="0" t="n">
        <f aca="false">VLOOKUP(B49,'Team Data'!$A$1:$P$133,4,FALSE())</f>
        <v>87</v>
      </c>
      <c r="T49" s="0" t="n">
        <f aca="false">VLOOKUP(B49,'Team Data'!$A$1:$P$133,5,FALSE())</f>
        <v>181</v>
      </c>
      <c r="U49" s="0" t="n">
        <f aca="false">IF(K49=1,(MIN(35,(C49-D49)))*(O49/(O49+P49))*(S49/(S49+T49)),(MAX(-35,(C49-D49)))*(IF(P49=0,0.1,(P49/(O49+P49))))*(T49/(S49+T49)))</f>
        <v>-1.45464982778416</v>
      </c>
      <c r="V49" s="0" t="n">
        <f aca="false">IF(L49=1,(MIN(35,(D49-C49)))*(M49/(M49+N49))*(Q49/(Q49+R49)),(MAX(-35,(D49-C49)))*(IF(N49=0,0.1,(N49/(M49+N49))))*(R49/(R49+Q49)))</f>
        <v>0.975918884664132</v>
      </c>
    </row>
    <row r="50" customFormat="false" ht="15" hidden="false" customHeight="false" outlineLevel="0" collapsed="false">
      <c r="A50" s="0" t="s">
        <v>198</v>
      </c>
      <c r="B50" s="0" t="s">
        <v>129</v>
      </c>
      <c r="C50" s="0" t="n">
        <v>10</v>
      </c>
      <c r="D50" s="0" t="n">
        <v>44</v>
      </c>
      <c r="E50" s="0" t="n">
        <v>83</v>
      </c>
      <c r="F50" s="0" t="n">
        <v>214</v>
      </c>
      <c r="G50" s="0" t="n">
        <v>139</v>
      </c>
      <c r="H50" s="0" t="n">
        <v>294</v>
      </c>
      <c r="I50" s="0" t="n">
        <v>1</v>
      </c>
      <c r="J50" s="0" t="n">
        <v>0</v>
      </c>
      <c r="K50" s="0" t="n">
        <v>0</v>
      </c>
      <c r="L50" s="0" t="n">
        <v>1</v>
      </c>
      <c r="M50" s="0" t="n">
        <f aca="false">VLOOKUP(A50,'Team Data'!$A$1:$P$133,2,FALSE())</f>
        <v>8</v>
      </c>
      <c r="N50" s="0" t="n">
        <f aca="false">VLOOKUP(A50,'Team Data'!$A$1:$P$133,3,FALSE())</f>
        <v>112</v>
      </c>
      <c r="O50" s="0" t="n">
        <f aca="false">VLOOKUP(B50,'Team Data'!$A$1:$P$133,2,FALSE())</f>
        <v>8</v>
      </c>
      <c r="P50" s="0" t="n">
        <f aca="false">VLOOKUP(B50,'Team Data'!$A$1:$P$133,3,FALSE())</f>
        <v>5</v>
      </c>
      <c r="Q50" s="0" t="n">
        <f aca="false">VLOOKUP(A50,'Team Data'!$A$1:$P$133,4,FALSE())</f>
        <v>805</v>
      </c>
      <c r="R50" s="0" t="n">
        <f aca="false">VLOOKUP(A50,'Team Data'!$A$1:$P$133,5,FALSE())</f>
        <v>725</v>
      </c>
      <c r="S50" s="0" t="n">
        <f aca="false">VLOOKUP(B50,'Team Data'!$A$1:$P$133,4,FALSE())</f>
        <v>98</v>
      </c>
      <c r="T50" s="0" t="n">
        <f aca="false">VLOOKUP(B50,'Team Data'!$A$1:$P$133,5,FALSE())</f>
        <v>177</v>
      </c>
      <c r="U50" s="0" t="n">
        <f aca="false">IF(K50=1,(MIN(35,(C50-D50)))*(O50/(O50+P50))*(S50/(S50+T50)),(MAX(-35,(C50-D50)))*(IF(P50=0,0.1,(P50/(O50+P50))))*(T50/(S50+T50)))</f>
        <v>-8.41678321678322</v>
      </c>
      <c r="V50" s="0" t="n">
        <f aca="false">IF(L50=1,(MIN(35,(D50-C50)))*(M50/(M50+N50))*(Q50/(Q50+R50)),(MAX(-35,(D50-C50)))*(IF(N50=0,0.1,(N50/(M50+N50))))*(R50/(R50+Q50)))</f>
        <v>1.19259259259259</v>
      </c>
    </row>
    <row r="51" customFormat="false" ht="15" hidden="false" customHeight="false" outlineLevel="0" collapsed="false">
      <c r="A51" s="0" t="s">
        <v>104</v>
      </c>
      <c r="B51" s="0" t="s">
        <v>31</v>
      </c>
      <c r="C51" s="0" t="n">
        <v>0</v>
      </c>
      <c r="D51" s="0" t="n">
        <v>30</v>
      </c>
      <c r="E51" s="0" t="n">
        <v>65</v>
      </c>
      <c r="F51" s="0" t="n">
        <v>172</v>
      </c>
      <c r="G51" s="0" t="n">
        <v>114</v>
      </c>
      <c r="H51" s="0" t="n">
        <v>328</v>
      </c>
      <c r="I51" s="0" t="n">
        <v>2</v>
      </c>
      <c r="J51" s="0" t="n">
        <v>0</v>
      </c>
      <c r="K51" s="0" t="n">
        <v>0</v>
      </c>
      <c r="L51" s="0" t="n">
        <v>1</v>
      </c>
      <c r="M51" s="0" t="n">
        <f aca="false">VLOOKUP(A51,'Team Data'!$A$1:$P$133,2,FALSE())</f>
        <v>3</v>
      </c>
      <c r="N51" s="0" t="n">
        <f aca="false">VLOOKUP(A51,'Team Data'!$A$1:$P$133,3,FALSE())</f>
        <v>9</v>
      </c>
      <c r="O51" s="0" t="n">
        <f aca="false">VLOOKUP(B51,'Team Data'!$A$1:$P$133,2,FALSE())</f>
        <v>9</v>
      </c>
      <c r="P51" s="0" t="n">
        <f aca="false">VLOOKUP(B51,'Team Data'!$A$1:$P$133,3,FALSE())</f>
        <v>4</v>
      </c>
      <c r="Q51" s="0" t="n">
        <f aca="false">VLOOKUP(A51,'Team Data'!$A$1:$P$133,4,FALSE())</f>
        <v>73</v>
      </c>
      <c r="R51" s="0" t="n">
        <f aca="false">VLOOKUP(A51,'Team Data'!$A$1:$P$133,5,FALSE())</f>
        <v>186</v>
      </c>
      <c r="S51" s="0" t="n">
        <f aca="false">VLOOKUP(B51,'Team Data'!$A$1:$P$133,4,FALSE())</f>
        <v>72</v>
      </c>
      <c r="T51" s="0" t="n">
        <f aca="false">VLOOKUP(B51,'Team Data'!$A$1:$P$133,5,FALSE())</f>
        <v>196</v>
      </c>
      <c r="U51" s="0" t="n">
        <f aca="false">IF(K51=1,(MIN(35,(C51-D51)))*(O51/(O51+P51))*(S51/(S51+T51)),(MAX(-35,(C51-D51)))*(IF(P51=0,0.1,(P51/(O51+P51))))*(T51/(S51+T51)))</f>
        <v>-6.75086107921929</v>
      </c>
      <c r="V51" s="0" t="n">
        <f aca="false">IF(L51=1,(MIN(35,(D51-C51)))*(M51/(M51+N51))*(Q51/(Q51+R51)),(MAX(-35,(D51-C51)))*(IF(N51=0,0.1,(N51/(M51+N51))))*(R51/(R51+Q51)))</f>
        <v>2.11389961389961</v>
      </c>
    </row>
    <row r="52" customFormat="false" ht="15" hidden="false" customHeight="false" outlineLevel="0" collapsed="false">
      <c r="A52" s="0" t="s">
        <v>77</v>
      </c>
      <c r="B52" s="0" t="s">
        <v>9</v>
      </c>
      <c r="C52" s="0" t="n">
        <v>63</v>
      </c>
      <c r="D52" s="0" t="n">
        <v>61</v>
      </c>
      <c r="E52" s="0" t="n">
        <v>215</v>
      </c>
      <c r="F52" s="0" t="n">
        <v>288</v>
      </c>
      <c r="G52" s="0" t="n">
        <v>352</v>
      </c>
      <c r="H52" s="0" t="n">
        <v>361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f aca="false">VLOOKUP(A52,'Team Data'!$A$1:$P$133,2,FALSE())</f>
        <v>9</v>
      </c>
      <c r="N52" s="0" t="n">
        <f aca="false">VLOOKUP(A52,'Team Data'!$A$1:$P$133,3,FALSE())</f>
        <v>5</v>
      </c>
      <c r="O52" s="0" t="n">
        <f aca="false">VLOOKUP(B52,'Team Data'!$A$1:$P$133,2,FALSE())</f>
        <v>6</v>
      </c>
      <c r="P52" s="0" t="n">
        <f aca="false">VLOOKUP(B52,'Team Data'!$A$1:$P$133,3,FALSE())</f>
        <v>6</v>
      </c>
      <c r="Q52" s="0" t="n">
        <f aca="false">VLOOKUP(A52,'Team Data'!$A$1:$P$133,4,FALSE())</f>
        <v>98</v>
      </c>
      <c r="R52" s="0" t="n">
        <f aca="false">VLOOKUP(A52,'Team Data'!$A$1:$P$133,5,FALSE())</f>
        <v>183</v>
      </c>
      <c r="S52" s="0" t="n">
        <f aca="false">VLOOKUP(B52,'Team Data'!$A$1:$P$133,4,FALSE())</f>
        <v>85</v>
      </c>
      <c r="T52" s="0" t="n">
        <f aca="false">VLOOKUP(B52,'Team Data'!$A$1:$P$133,5,FALSE())</f>
        <v>281</v>
      </c>
      <c r="U52" s="0" t="n">
        <f aca="false">IF(K52=1,(MIN(35,(C52-D52)))*(O52/(O52+P52))*(S52/(S52+T52)),(MAX(-35,(C52-D52)))*(IF(P52=0,0.1,(P52/(O52+P52))))*(T52/(S52+T52)))</f>
        <v>0.23224043715847</v>
      </c>
      <c r="V52" s="0" t="n">
        <f aca="false">IF(L52=1,(MIN(35,(D52-C52)))*(M52/(M52+N52))*(Q52/(Q52+R52)),(MAX(-35,(D52-C52)))*(IF(N52=0,0.1,(N52/(M52+N52))))*(R52/(R52+Q52)))</f>
        <v>-0.465175394001017</v>
      </c>
    </row>
    <row r="53" customFormat="false" ht="15" hidden="false" customHeight="false" outlineLevel="0" collapsed="false">
      <c r="A53" s="0" t="s">
        <v>71</v>
      </c>
      <c r="B53" s="0" t="s">
        <v>32</v>
      </c>
      <c r="C53" s="0" t="n">
        <v>21</v>
      </c>
      <c r="D53" s="0" t="n">
        <v>20</v>
      </c>
      <c r="E53" s="0" t="n">
        <v>133</v>
      </c>
      <c r="F53" s="0" t="n">
        <v>116</v>
      </c>
      <c r="G53" s="0" t="n">
        <v>211</v>
      </c>
      <c r="H53" s="0" t="n">
        <v>267</v>
      </c>
      <c r="I53" s="0" t="n">
        <v>2</v>
      </c>
      <c r="J53" s="0" t="n">
        <v>2</v>
      </c>
      <c r="K53" s="0" t="n">
        <v>1</v>
      </c>
      <c r="L53" s="0" t="n">
        <v>0</v>
      </c>
      <c r="M53" s="0" t="n">
        <f aca="false">VLOOKUP(A53,'Team Data'!$A$1:$P$133,2,FALSE())</f>
        <v>8</v>
      </c>
      <c r="N53" s="0" t="n">
        <f aca="false">VLOOKUP(A53,'Team Data'!$A$1:$P$133,3,FALSE())</f>
        <v>5</v>
      </c>
      <c r="O53" s="0" t="n">
        <f aca="false">VLOOKUP(B53,'Team Data'!$A$1:$P$133,2,FALSE())</f>
        <v>8</v>
      </c>
      <c r="P53" s="0" t="n">
        <f aca="false">VLOOKUP(B53,'Team Data'!$A$1:$P$133,3,FALSE())</f>
        <v>5</v>
      </c>
      <c r="Q53" s="0" t="n">
        <f aca="false">VLOOKUP(A53,'Team Data'!$A$1:$P$133,4,FALSE())</f>
        <v>97</v>
      </c>
      <c r="R53" s="0" t="n">
        <f aca="false">VLOOKUP(A53,'Team Data'!$A$1:$P$133,5,FALSE())</f>
        <v>178</v>
      </c>
      <c r="S53" s="0" t="n">
        <f aca="false">VLOOKUP(B53,'Team Data'!$A$1:$P$133,4,FALSE())</f>
        <v>89</v>
      </c>
      <c r="T53" s="0" t="n">
        <f aca="false">VLOOKUP(B53,'Team Data'!$A$1:$P$133,5,FALSE())</f>
        <v>185</v>
      </c>
      <c r="U53" s="0" t="n">
        <f aca="false">IF(K53=1,(MIN(35,(C53-D53)))*(O53/(O53+P53))*(S53/(S53+T53)),(MAX(-35,(C53-D53)))*(IF(P53=0,0.1,(P53/(O53+P53))))*(T53/(S53+T53)))</f>
        <v>0.199887703537339</v>
      </c>
      <c r="V53" s="0" t="n">
        <f aca="false">IF(L53=1,(MIN(35,(D53-C53)))*(M53/(M53+N53))*(Q53/(Q53+R53)),(MAX(-35,(D53-C53)))*(IF(N53=0,0.1,(N53/(M53+N53))))*(R53/(R53+Q53)))</f>
        <v>-0.248951048951049</v>
      </c>
    </row>
    <row r="54" customFormat="false" ht="15" hidden="false" customHeight="false" outlineLevel="0" collapsed="false">
      <c r="A54" s="0" t="s">
        <v>198</v>
      </c>
      <c r="B54" s="0" t="s">
        <v>63</v>
      </c>
      <c r="C54" s="0" t="n">
        <v>13</v>
      </c>
      <c r="D54" s="0" t="n">
        <v>70</v>
      </c>
      <c r="E54" s="0" t="n">
        <v>93</v>
      </c>
      <c r="F54" s="0" t="n">
        <v>305</v>
      </c>
      <c r="G54" s="0" t="n">
        <v>249</v>
      </c>
      <c r="H54" s="0" t="n">
        <v>281</v>
      </c>
      <c r="I54" s="0" t="n">
        <v>3</v>
      </c>
      <c r="J54" s="0" t="n">
        <v>1</v>
      </c>
      <c r="K54" s="0" t="n">
        <v>0</v>
      </c>
      <c r="L54" s="0" t="n">
        <v>1</v>
      </c>
      <c r="M54" s="0" t="n">
        <f aca="false">VLOOKUP(A54,'Team Data'!$A$1:$P$133,2,FALSE())</f>
        <v>8</v>
      </c>
      <c r="N54" s="0" t="n">
        <f aca="false">VLOOKUP(A54,'Team Data'!$A$1:$P$133,3,FALSE())</f>
        <v>112</v>
      </c>
      <c r="O54" s="0" t="n">
        <f aca="false">VLOOKUP(B54,'Team Data'!$A$1:$P$133,2,FALSE())</f>
        <v>5</v>
      </c>
      <c r="P54" s="0" t="n">
        <f aca="false">VLOOKUP(B54,'Team Data'!$A$1:$P$133,3,FALSE())</f>
        <v>7</v>
      </c>
      <c r="Q54" s="0" t="n">
        <f aca="false">VLOOKUP(A54,'Team Data'!$A$1:$P$133,4,FALSE())</f>
        <v>805</v>
      </c>
      <c r="R54" s="0" t="n">
        <f aca="false">VLOOKUP(A54,'Team Data'!$A$1:$P$133,5,FALSE())</f>
        <v>725</v>
      </c>
      <c r="S54" s="0" t="n">
        <f aca="false">VLOOKUP(B54,'Team Data'!$A$1:$P$133,4,FALSE())</f>
        <v>87</v>
      </c>
      <c r="T54" s="0" t="n">
        <f aca="false">VLOOKUP(B54,'Team Data'!$A$1:$P$133,5,FALSE())</f>
        <v>171</v>
      </c>
      <c r="U54" s="0" t="n">
        <f aca="false">IF(K54=1,(MIN(35,(C54-D54)))*(O54/(O54+P54))*(S54/(S54+T54)),(MAX(-35,(C54-D54)))*(IF(P54=0,0.1,(P54/(O54+P54))))*(T54/(S54+T54)))</f>
        <v>-13.531976744186</v>
      </c>
      <c r="V54" s="0" t="n">
        <f aca="false">IF(L54=1,(MIN(35,(D54-C54)))*(M54/(M54+N54))*(Q54/(Q54+R54)),(MAX(-35,(D54-C54)))*(IF(N54=0,0.1,(N54/(M54+N54))))*(R54/(R54+Q54)))</f>
        <v>1.2276688453159</v>
      </c>
    </row>
    <row r="55" customFormat="false" ht="15" hidden="false" customHeight="false" outlineLevel="0" collapsed="false">
      <c r="A55" s="0" t="s">
        <v>59</v>
      </c>
      <c r="B55" s="0" t="s">
        <v>102</v>
      </c>
      <c r="C55" s="0" t="n">
        <v>7</v>
      </c>
      <c r="D55" s="0" t="n">
        <v>31</v>
      </c>
      <c r="E55" s="0" t="n">
        <v>137</v>
      </c>
      <c r="F55" s="0" t="n">
        <v>207</v>
      </c>
      <c r="G55" s="0" t="n">
        <v>197</v>
      </c>
      <c r="H55" s="0" t="n">
        <v>242</v>
      </c>
      <c r="I55" s="0" t="n">
        <v>3</v>
      </c>
      <c r="J55" s="0" t="n">
        <v>0</v>
      </c>
      <c r="K55" s="0" t="n">
        <v>0</v>
      </c>
      <c r="L55" s="0" t="n">
        <v>1</v>
      </c>
      <c r="M55" s="0" t="n">
        <f aca="false">VLOOKUP(A55,'Team Data'!$A$1:$P$133,2,FALSE())</f>
        <v>8</v>
      </c>
      <c r="N55" s="0" t="n">
        <f aca="false">VLOOKUP(A55,'Team Data'!$A$1:$P$133,3,FALSE())</f>
        <v>5</v>
      </c>
      <c r="O55" s="0" t="n">
        <f aca="false">VLOOKUP(B55,'Team Data'!$A$1:$P$133,2,FALSE())</f>
        <v>7</v>
      </c>
      <c r="P55" s="0" t="n">
        <f aca="false">VLOOKUP(B55,'Team Data'!$A$1:$P$133,3,FALSE())</f>
        <v>6</v>
      </c>
      <c r="Q55" s="0" t="n">
        <f aca="false">VLOOKUP(A55,'Team Data'!$A$1:$P$133,4,FALSE())</f>
        <v>93</v>
      </c>
      <c r="R55" s="0" t="n">
        <f aca="false">VLOOKUP(A55,'Team Data'!$A$1:$P$133,5,FALSE())</f>
        <v>71</v>
      </c>
      <c r="S55" s="0" t="n">
        <f aca="false">VLOOKUP(B55,'Team Data'!$A$1:$P$133,4,FALSE())</f>
        <v>100</v>
      </c>
      <c r="T55" s="0" t="n">
        <f aca="false">VLOOKUP(B55,'Team Data'!$A$1:$P$133,5,FALSE())</f>
        <v>174</v>
      </c>
      <c r="U55" s="0" t="n">
        <f aca="false">IF(K55=1,(MIN(35,(C55-D55)))*(O55/(O55+P55))*(S55/(S55+T55)),(MAX(-35,(C55-D55)))*(IF(P55=0,0.1,(P55/(O55+P55))))*(T55/(S55+T55)))</f>
        <v>-7.03425042111174</v>
      </c>
      <c r="V55" s="0" t="n">
        <f aca="false">IF(L55=1,(MIN(35,(D55-C55)))*(M55/(M55+N55))*(Q55/(Q55+R55)),(MAX(-35,(D55-C55)))*(IF(N55=0,0.1,(N55/(M55+N55))))*(R55/(R55+Q55)))</f>
        <v>8.37523452157599</v>
      </c>
    </row>
    <row r="56" customFormat="false" ht="15" hidden="false" customHeight="false" outlineLevel="0" collapsed="false">
      <c r="A56" s="0" t="s">
        <v>198</v>
      </c>
      <c r="B56" s="0" t="s">
        <v>127</v>
      </c>
      <c r="C56" s="0" t="n">
        <v>17</v>
      </c>
      <c r="D56" s="0" t="n">
        <v>34</v>
      </c>
      <c r="E56" s="0" t="n">
        <v>170</v>
      </c>
      <c r="F56" s="0" t="n">
        <v>259</v>
      </c>
      <c r="G56" s="0" t="n">
        <v>160</v>
      </c>
      <c r="H56" s="0" t="n">
        <v>246</v>
      </c>
      <c r="I56" s="0" t="n">
        <v>0</v>
      </c>
      <c r="J56" s="0" t="n">
        <v>2</v>
      </c>
      <c r="K56" s="0" t="n">
        <v>0</v>
      </c>
      <c r="L56" s="0" t="n">
        <v>1</v>
      </c>
      <c r="M56" s="0" t="n">
        <f aca="false">VLOOKUP(A56,'Team Data'!$A$1:$P$133,2,FALSE())</f>
        <v>8</v>
      </c>
      <c r="N56" s="0" t="n">
        <f aca="false">VLOOKUP(A56,'Team Data'!$A$1:$P$133,3,FALSE())</f>
        <v>112</v>
      </c>
      <c r="O56" s="0" t="n">
        <f aca="false">VLOOKUP(B56,'Team Data'!$A$1:$P$133,2,FALSE())</f>
        <v>3</v>
      </c>
      <c r="P56" s="0" t="n">
        <f aca="false">VLOOKUP(B56,'Team Data'!$A$1:$P$133,3,FALSE())</f>
        <v>7</v>
      </c>
      <c r="Q56" s="0" t="n">
        <f aca="false">VLOOKUP(A56,'Team Data'!$A$1:$P$133,4,FALSE())</f>
        <v>805</v>
      </c>
      <c r="R56" s="0" t="n">
        <f aca="false">VLOOKUP(A56,'Team Data'!$A$1:$P$133,5,FALSE())</f>
        <v>725</v>
      </c>
      <c r="S56" s="0" t="n">
        <f aca="false">VLOOKUP(B56,'Team Data'!$A$1:$P$133,4,FALSE())</f>
        <v>71</v>
      </c>
      <c r="T56" s="0" t="n">
        <f aca="false">VLOOKUP(B56,'Team Data'!$A$1:$P$133,5,FALSE())</f>
        <v>164</v>
      </c>
      <c r="U56" s="0" t="n">
        <f aca="false">IF(K56=1,(MIN(35,(C56-D56)))*(O56/(O56+P56))*(S56/(S56+T56)),(MAX(-35,(C56-D56)))*(IF(P56=0,0.1,(P56/(O56+P56))))*(T56/(S56+T56)))</f>
        <v>-8.30468085106383</v>
      </c>
      <c r="V56" s="0" t="n">
        <f aca="false">IF(L56=1,(MIN(35,(D56-C56)))*(M56/(M56+N56))*(Q56/(Q56+R56)),(MAX(-35,(D56-C56)))*(IF(N56=0,0.1,(N56/(M56+N56))))*(R56/(R56+Q56)))</f>
        <v>0.596296296296296</v>
      </c>
    </row>
    <row r="57" customFormat="false" ht="15" hidden="false" customHeight="false" outlineLevel="0" collapsed="false">
      <c r="A57" s="0" t="s">
        <v>27</v>
      </c>
      <c r="B57" s="0" t="s">
        <v>42</v>
      </c>
      <c r="C57" s="0" t="n">
        <v>41</v>
      </c>
      <c r="D57" s="0" t="n">
        <v>10</v>
      </c>
      <c r="E57" s="0" t="n">
        <v>119</v>
      </c>
      <c r="F57" s="0" t="n">
        <v>73</v>
      </c>
      <c r="G57" s="0" t="n">
        <v>259</v>
      </c>
      <c r="H57" s="0" t="n">
        <v>164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f aca="false">VLOOKUP(A57,'Team Data'!$A$1:$P$133,2,FALSE())</f>
        <v>11</v>
      </c>
      <c r="N57" s="0" t="n">
        <f aca="false">VLOOKUP(A57,'Team Data'!$A$1:$P$133,3,FALSE())</f>
        <v>3</v>
      </c>
      <c r="O57" s="0" t="n">
        <f aca="false">VLOOKUP(B57,'Team Data'!$A$1:$P$133,2,FALSE())</f>
        <v>5</v>
      </c>
      <c r="P57" s="0" t="n">
        <f aca="false">VLOOKUP(B57,'Team Data'!$A$1:$P$133,3,FALSE())</f>
        <v>7</v>
      </c>
      <c r="Q57" s="0" t="n">
        <f aca="false">VLOOKUP(A57,'Team Data'!$A$1:$P$133,4,FALSE())</f>
        <v>102</v>
      </c>
      <c r="R57" s="0" t="n">
        <f aca="false">VLOOKUP(A57,'Team Data'!$A$1:$P$133,5,FALSE())</f>
        <v>184</v>
      </c>
      <c r="S57" s="0" t="n">
        <f aca="false">VLOOKUP(B57,'Team Data'!$A$1:$P$133,4,FALSE())</f>
        <v>99</v>
      </c>
      <c r="T57" s="0" t="n">
        <f aca="false">VLOOKUP(B57,'Team Data'!$A$1:$P$133,5,FALSE())</f>
        <v>163</v>
      </c>
      <c r="U57" s="0" t="n">
        <f aca="false">IF(K57=1,(MIN(35,(C57-D57)))*(O57/(O57+P57))*(S57/(S57+T57)),(MAX(-35,(C57-D57)))*(IF(P57=0,0.1,(P57/(O57+P57))))*(T57/(S57+T57)))</f>
        <v>4.8807251908397</v>
      </c>
      <c r="V57" s="0" t="n">
        <f aca="false">IF(L57=1,(MIN(35,(D57-C57)))*(M57/(M57+N57))*(Q57/(Q57+R57)),(MAX(-35,(D57-C57)))*(IF(N57=0,0.1,(N57/(M57+N57))))*(R57/(R57+Q57)))</f>
        <v>-4.27372627372627</v>
      </c>
    </row>
    <row r="58" customFormat="false" ht="15" hidden="false" customHeight="false" outlineLevel="0" collapsed="false">
      <c r="A58" s="0" t="s">
        <v>198</v>
      </c>
      <c r="B58" s="0" t="s">
        <v>38</v>
      </c>
      <c r="C58" s="0" t="n">
        <v>7</v>
      </c>
      <c r="D58" s="0" t="n">
        <v>35</v>
      </c>
      <c r="E58" s="0" t="n">
        <v>106</v>
      </c>
      <c r="F58" s="0" t="n">
        <v>172</v>
      </c>
      <c r="G58" s="0" t="n">
        <v>211</v>
      </c>
      <c r="H58" s="0" t="n">
        <v>377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f aca="false">VLOOKUP(A58,'Team Data'!$A$1:$P$133,2,FALSE())</f>
        <v>8</v>
      </c>
      <c r="N58" s="0" t="n">
        <f aca="false">VLOOKUP(A58,'Team Data'!$A$1:$P$133,3,FALSE())</f>
        <v>112</v>
      </c>
      <c r="O58" s="0" t="n">
        <f aca="false">VLOOKUP(B58,'Team Data'!$A$1:$P$133,2,FALSE())</f>
        <v>10</v>
      </c>
      <c r="P58" s="0" t="n">
        <f aca="false">VLOOKUP(B58,'Team Data'!$A$1:$P$133,3,FALSE())</f>
        <v>4</v>
      </c>
      <c r="Q58" s="0" t="n">
        <f aca="false">VLOOKUP(A58,'Team Data'!$A$1:$P$133,4,FALSE())</f>
        <v>805</v>
      </c>
      <c r="R58" s="0" t="n">
        <f aca="false">VLOOKUP(A58,'Team Data'!$A$1:$P$133,5,FALSE())</f>
        <v>725</v>
      </c>
      <c r="S58" s="0" t="n">
        <f aca="false">VLOOKUP(B58,'Team Data'!$A$1:$P$133,4,FALSE())</f>
        <v>95</v>
      </c>
      <c r="T58" s="0" t="n">
        <f aca="false">VLOOKUP(B58,'Team Data'!$A$1:$P$133,5,FALSE())</f>
        <v>193</v>
      </c>
      <c r="U58" s="0" t="n">
        <f aca="false">IF(K58=1,(MIN(35,(C58-D58)))*(O58/(O58+P58))*(S58/(S58+T58)),(MAX(-35,(C58-D58)))*(IF(P58=0,0.1,(P58/(O58+P58))))*(T58/(S58+T58)))</f>
        <v>-5.36111111111111</v>
      </c>
      <c r="V58" s="0" t="n">
        <f aca="false">IF(L58=1,(MIN(35,(D58-C58)))*(M58/(M58+N58))*(Q58/(Q58+R58)),(MAX(-35,(D58-C58)))*(IF(N58=0,0.1,(N58/(M58+N58))))*(R58/(R58+Q58)))</f>
        <v>0.982135076252723</v>
      </c>
    </row>
    <row r="59" customFormat="false" ht="15" hidden="false" customHeight="false" outlineLevel="0" collapsed="false">
      <c r="A59" s="0" t="s">
        <v>198</v>
      </c>
      <c r="B59" s="0" t="s">
        <v>119</v>
      </c>
      <c r="C59" s="0" t="n">
        <v>21</v>
      </c>
      <c r="D59" s="0" t="n">
        <v>52</v>
      </c>
      <c r="E59" s="0" t="n">
        <v>50</v>
      </c>
      <c r="F59" s="0" t="n">
        <v>149</v>
      </c>
      <c r="G59" s="0" t="n">
        <v>191</v>
      </c>
      <c r="H59" s="0" t="n">
        <v>405</v>
      </c>
      <c r="I59" s="0" t="n">
        <v>1</v>
      </c>
      <c r="J59" s="0" t="n">
        <v>0</v>
      </c>
      <c r="K59" s="0" t="n">
        <v>0</v>
      </c>
      <c r="L59" s="0" t="n">
        <v>1</v>
      </c>
      <c r="M59" s="0" t="n">
        <f aca="false">VLOOKUP(A59,'Team Data'!$A$1:$P$133,2,FALSE())</f>
        <v>8</v>
      </c>
      <c r="N59" s="0" t="n">
        <f aca="false">VLOOKUP(A59,'Team Data'!$A$1:$P$133,3,FALSE())</f>
        <v>112</v>
      </c>
      <c r="O59" s="0" t="n">
        <f aca="false">VLOOKUP(B59,'Team Data'!$A$1:$P$133,2,FALSE())</f>
        <v>5</v>
      </c>
      <c r="P59" s="0" t="n">
        <f aca="false">VLOOKUP(B59,'Team Data'!$A$1:$P$133,3,FALSE())</f>
        <v>7</v>
      </c>
      <c r="Q59" s="0" t="n">
        <f aca="false">VLOOKUP(A59,'Team Data'!$A$1:$P$133,4,FALSE())</f>
        <v>805</v>
      </c>
      <c r="R59" s="0" t="n">
        <f aca="false">VLOOKUP(A59,'Team Data'!$A$1:$P$133,5,FALSE())</f>
        <v>725</v>
      </c>
      <c r="S59" s="0" t="n">
        <f aca="false">VLOOKUP(B59,'Team Data'!$A$1:$P$133,4,FALSE())</f>
        <v>75</v>
      </c>
      <c r="T59" s="0" t="n">
        <f aca="false">VLOOKUP(B59,'Team Data'!$A$1:$P$133,5,FALSE())</f>
        <v>186</v>
      </c>
      <c r="U59" s="0" t="n">
        <f aca="false">IF(K59=1,(MIN(35,(C59-D59)))*(O59/(O59+P59))*(S59/(S59+T59)),(MAX(-35,(C59-D59)))*(IF(P59=0,0.1,(P59/(O59+P59))))*(T59/(S59+T59)))</f>
        <v>-12.8869731800766</v>
      </c>
      <c r="V59" s="0" t="n">
        <f aca="false">IF(L59=1,(MIN(35,(D59-C59)))*(M59/(M59+N59))*(Q59/(Q59+R59)),(MAX(-35,(D59-C59)))*(IF(N59=0,0.1,(N59/(M59+N59))))*(R59/(R59+Q59)))</f>
        <v>1.08736383442266</v>
      </c>
    </row>
    <row r="60" customFormat="false" ht="15" hidden="false" customHeight="false" outlineLevel="0" collapsed="false">
      <c r="A60" s="0" t="s">
        <v>118</v>
      </c>
      <c r="B60" s="0" t="s">
        <v>112</v>
      </c>
      <c r="C60" s="0" t="n">
        <v>10</v>
      </c>
      <c r="D60" s="0" t="n">
        <v>42</v>
      </c>
      <c r="E60" s="0" t="n">
        <v>200</v>
      </c>
      <c r="F60" s="0" t="n">
        <v>196</v>
      </c>
      <c r="G60" s="0" t="n">
        <v>17</v>
      </c>
      <c r="H60" s="0" t="n">
        <v>173</v>
      </c>
      <c r="I60" s="0" t="n">
        <v>3</v>
      </c>
      <c r="J60" s="0" t="n">
        <v>1</v>
      </c>
      <c r="K60" s="0" t="n">
        <v>0</v>
      </c>
      <c r="L60" s="0" t="n">
        <v>1</v>
      </c>
      <c r="M60" s="0" t="n">
        <f aca="false">VLOOKUP(A60,'Team Data'!$A$1:$P$133,2,FALSE())</f>
        <v>1</v>
      </c>
      <c r="N60" s="0" t="n">
        <f aca="false">VLOOKUP(A60,'Team Data'!$A$1:$P$133,3,FALSE())</f>
        <v>11</v>
      </c>
      <c r="O60" s="0" t="n">
        <f aca="false">VLOOKUP(B60,'Team Data'!$A$1:$P$133,2,FALSE())</f>
        <v>12</v>
      </c>
      <c r="P60" s="0" t="n">
        <f aca="false">VLOOKUP(B60,'Team Data'!$A$1:$P$133,3,FALSE())</f>
        <v>2</v>
      </c>
      <c r="Q60" s="0" t="n">
        <f aca="false">VLOOKUP(A60,'Team Data'!$A$1:$P$133,4,FALSE())</f>
        <v>83</v>
      </c>
      <c r="R60" s="0" t="n">
        <f aca="false">VLOOKUP(A60,'Team Data'!$A$1:$P$133,5,FALSE())</f>
        <v>178</v>
      </c>
      <c r="S60" s="0" t="n">
        <f aca="false">VLOOKUP(B60,'Team Data'!$A$1:$P$133,4,FALSE())</f>
        <v>100</v>
      </c>
      <c r="T60" s="0" t="n">
        <f aca="false">VLOOKUP(B60,'Team Data'!$A$1:$P$133,5,FALSE())</f>
        <v>190</v>
      </c>
      <c r="U60" s="0" t="n">
        <f aca="false">IF(K60=1,(MIN(35,(C60-D60)))*(O60/(O60+P60))*(S60/(S60+T60)),(MAX(-35,(C60-D60)))*(IF(P60=0,0.1,(P60/(O60+P60))))*(T60/(S60+T60)))</f>
        <v>-2.99507389162562</v>
      </c>
      <c r="V60" s="0" t="n">
        <f aca="false">IF(L60=1,(MIN(35,(D60-C60)))*(M60/(M60+N60))*(Q60/(Q60+R60)),(MAX(-35,(D60-C60)))*(IF(N60=0,0.1,(N60/(M60+N60))))*(R60/(R60+Q60)))</f>
        <v>0.848020434227331</v>
      </c>
    </row>
    <row r="61" customFormat="false" ht="15" hidden="false" customHeight="false" outlineLevel="0" collapsed="false">
      <c r="A61" s="0" t="s">
        <v>198</v>
      </c>
      <c r="B61" s="0" t="s">
        <v>60</v>
      </c>
      <c r="C61" s="0" t="n">
        <v>3</v>
      </c>
      <c r="D61" s="0" t="n">
        <v>55</v>
      </c>
      <c r="E61" s="0" t="n">
        <v>30</v>
      </c>
      <c r="F61" s="0" t="n">
        <v>380</v>
      </c>
      <c r="G61" s="0" t="n">
        <v>84</v>
      </c>
      <c r="H61" s="0" t="n">
        <v>232</v>
      </c>
      <c r="I61" s="0" t="n">
        <v>1</v>
      </c>
      <c r="J61" s="0" t="n">
        <v>1</v>
      </c>
      <c r="K61" s="0" t="n">
        <v>0</v>
      </c>
      <c r="L61" s="0" t="n">
        <v>1</v>
      </c>
      <c r="M61" s="0" t="n">
        <f aca="false">VLOOKUP(A61,'Team Data'!$A$1:$P$133,2,FALSE())</f>
        <v>8</v>
      </c>
      <c r="N61" s="0" t="n">
        <f aca="false">VLOOKUP(A61,'Team Data'!$A$1:$P$133,3,FALSE())</f>
        <v>112</v>
      </c>
      <c r="O61" s="0" t="n">
        <f aca="false">VLOOKUP(B61,'Team Data'!$A$1:$P$133,2,FALSE())</f>
        <v>9</v>
      </c>
      <c r="P61" s="0" t="n">
        <f aca="false">VLOOKUP(B61,'Team Data'!$A$1:$P$133,3,FALSE())</f>
        <v>4</v>
      </c>
      <c r="Q61" s="0" t="n">
        <f aca="false">VLOOKUP(A61,'Team Data'!$A$1:$P$133,4,FALSE())</f>
        <v>805</v>
      </c>
      <c r="R61" s="0" t="n">
        <f aca="false">VLOOKUP(A61,'Team Data'!$A$1:$P$133,5,FALSE())</f>
        <v>725</v>
      </c>
      <c r="S61" s="0" t="n">
        <f aca="false">VLOOKUP(B61,'Team Data'!$A$1:$P$133,4,FALSE())</f>
        <v>91</v>
      </c>
      <c r="T61" s="0" t="n">
        <f aca="false">VLOOKUP(B61,'Team Data'!$A$1:$P$133,5,FALSE())</f>
        <v>288</v>
      </c>
      <c r="U61" s="0" t="n">
        <f aca="false">IF(K61=1,(MIN(35,(C61-D61)))*(O61/(O61+P61))*(S61/(S61+T61)),(MAX(-35,(C61-D61)))*(IF(P61=0,0.1,(P61/(O61+P61))))*(T61/(S61+T61)))</f>
        <v>-8.18347879033895</v>
      </c>
      <c r="V61" s="0" t="n">
        <f aca="false">IF(L61=1,(MIN(35,(D61-C61)))*(M61/(M61+N61))*(Q61/(Q61+R61)),(MAX(-35,(D61-C61)))*(IF(N61=0,0.1,(N61/(M61+N61))))*(R61/(R61+Q61)))</f>
        <v>1.2276688453159</v>
      </c>
    </row>
    <row r="62" customFormat="false" ht="15" hidden="false" customHeight="false" outlineLevel="0" collapsed="false">
      <c r="A62" s="0" t="s">
        <v>198</v>
      </c>
      <c r="B62" s="0" t="s">
        <v>6</v>
      </c>
      <c r="C62" s="0" t="n">
        <v>17</v>
      </c>
      <c r="D62" s="0" t="n">
        <v>48</v>
      </c>
      <c r="E62" s="0" t="n">
        <v>119</v>
      </c>
      <c r="F62" s="0" t="n">
        <v>582</v>
      </c>
      <c r="G62" s="0" t="n">
        <v>286</v>
      </c>
      <c r="H62" s="0" t="n">
        <v>109</v>
      </c>
      <c r="I62" s="0" t="n">
        <v>2</v>
      </c>
      <c r="J62" s="0" t="n">
        <v>2</v>
      </c>
      <c r="K62" s="0" t="n">
        <v>0</v>
      </c>
      <c r="L62" s="0" t="n">
        <v>1</v>
      </c>
      <c r="M62" s="0" t="n">
        <f aca="false">VLOOKUP(A62,'Team Data'!$A$1:$P$133,2,FALSE())</f>
        <v>8</v>
      </c>
      <c r="N62" s="0" t="n">
        <f aca="false">VLOOKUP(A62,'Team Data'!$A$1:$P$133,3,FALSE())</f>
        <v>112</v>
      </c>
      <c r="O62" s="0" t="n">
        <f aca="false">VLOOKUP(B62,'Team Data'!$A$1:$P$133,2,FALSE())</f>
        <v>10</v>
      </c>
      <c r="P62" s="0" t="n">
        <f aca="false">VLOOKUP(B62,'Team Data'!$A$1:$P$133,3,FALSE())</f>
        <v>3</v>
      </c>
      <c r="Q62" s="0" t="n">
        <f aca="false">VLOOKUP(A62,'Team Data'!$A$1:$P$133,4,FALSE())</f>
        <v>805</v>
      </c>
      <c r="R62" s="0" t="n">
        <f aca="false">VLOOKUP(A62,'Team Data'!$A$1:$P$133,5,FALSE())</f>
        <v>725</v>
      </c>
      <c r="S62" s="0" t="n">
        <f aca="false">VLOOKUP(B62,'Team Data'!$A$1:$P$133,4,FALSE())</f>
        <v>67</v>
      </c>
      <c r="T62" s="0" t="n">
        <f aca="false">VLOOKUP(B62,'Team Data'!$A$1:$P$133,5,FALSE())</f>
        <v>203</v>
      </c>
      <c r="U62" s="0" t="n">
        <f aca="false">IF(K62=1,(MIN(35,(C62-D62)))*(O62/(O62+P62))*(S62/(S62+T62)),(MAX(-35,(C62-D62)))*(IF(P62=0,0.1,(P62/(O62+P62))))*(T62/(S62+T62)))</f>
        <v>-5.37863247863248</v>
      </c>
      <c r="V62" s="0" t="n">
        <f aca="false">IF(L62=1,(MIN(35,(D62-C62)))*(M62/(M62+N62))*(Q62/(Q62+R62)),(MAX(-35,(D62-C62)))*(IF(N62=0,0.1,(N62/(M62+N62))))*(R62/(R62+Q62)))</f>
        <v>1.08736383442266</v>
      </c>
    </row>
    <row r="63" customFormat="false" ht="15" hidden="false" customHeight="false" outlineLevel="0" collapsed="false">
      <c r="A63" s="0" t="s">
        <v>198</v>
      </c>
      <c r="B63" s="0" t="s">
        <v>75</v>
      </c>
      <c r="C63" s="0" t="n">
        <v>0</v>
      </c>
      <c r="D63" s="0" t="n">
        <v>41</v>
      </c>
      <c r="E63" s="0" t="n">
        <v>22</v>
      </c>
      <c r="F63" s="0" t="n">
        <v>267</v>
      </c>
      <c r="G63" s="0" t="n">
        <v>96</v>
      </c>
      <c r="H63" s="0" t="n">
        <v>170</v>
      </c>
      <c r="I63" s="0" t="n">
        <v>2</v>
      </c>
      <c r="J63" s="0" t="n">
        <v>2</v>
      </c>
      <c r="K63" s="0" t="n">
        <v>0</v>
      </c>
      <c r="L63" s="0" t="n">
        <v>1</v>
      </c>
      <c r="M63" s="0" t="n">
        <f aca="false">VLOOKUP(A63,'Team Data'!$A$1:$P$133,2,FALSE())</f>
        <v>8</v>
      </c>
      <c r="N63" s="0" t="n">
        <f aca="false">VLOOKUP(A63,'Team Data'!$A$1:$P$133,3,FALSE())</f>
        <v>112</v>
      </c>
      <c r="O63" s="0" t="n">
        <f aca="false">VLOOKUP(B63,'Team Data'!$A$1:$P$133,2,FALSE())</f>
        <v>2</v>
      </c>
      <c r="P63" s="0" t="n">
        <f aca="false">VLOOKUP(B63,'Team Data'!$A$1:$P$133,3,FALSE())</f>
        <v>10</v>
      </c>
      <c r="Q63" s="0" t="n">
        <f aca="false">VLOOKUP(A63,'Team Data'!$A$1:$P$133,4,FALSE())</f>
        <v>805</v>
      </c>
      <c r="R63" s="0" t="n">
        <f aca="false">VLOOKUP(A63,'Team Data'!$A$1:$P$133,5,FALSE())</f>
        <v>725</v>
      </c>
      <c r="S63" s="0" t="n">
        <f aca="false">VLOOKUP(B63,'Team Data'!$A$1:$P$133,4,FALSE())</f>
        <v>88</v>
      </c>
      <c r="T63" s="0" t="n">
        <f aca="false">VLOOKUP(B63,'Team Data'!$A$1:$P$133,5,FALSE())</f>
        <v>175</v>
      </c>
      <c r="U63" s="0" t="n">
        <f aca="false">IF(K63=1,(MIN(35,(C63-D63)))*(O63/(O63+P63))*(S63/(S63+T63)),(MAX(-35,(C63-D63)))*(IF(P63=0,0.1,(P63/(O63+P63))))*(T63/(S63+T63)))</f>
        <v>-19.4074778200254</v>
      </c>
      <c r="V63" s="0" t="n">
        <f aca="false">IF(L63=1,(MIN(35,(D63-C63)))*(M63/(M63+N63))*(Q63/(Q63+R63)),(MAX(-35,(D63-C63)))*(IF(N63=0,0.1,(N63/(M63+N63))))*(R63/(R63+Q63)))</f>
        <v>1.2276688453159</v>
      </c>
    </row>
    <row r="64" customFormat="false" ht="15" hidden="false" customHeight="false" outlineLevel="0" collapsed="false">
      <c r="A64" s="0" t="s">
        <v>113</v>
      </c>
      <c r="B64" s="0" t="s">
        <v>136</v>
      </c>
      <c r="C64" s="0" t="n">
        <v>37</v>
      </c>
      <c r="D64" s="0" t="n">
        <v>40</v>
      </c>
      <c r="E64" s="0" t="n">
        <v>61</v>
      </c>
      <c r="F64" s="0" t="n">
        <v>143</v>
      </c>
      <c r="G64" s="0" t="n">
        <v>460</v>
      </c>
      <c r="H64" s="0" t="n">
        <v>256</v>
      </c>
      <c r="I64" s="0" t="n">
        <v>2</v>
      </c>
      <c r="J64" s="0" t="n">
        <v>1</v>
      </c>
      <c r="K64" s="0" t="n">
        <v>0</v>
      </c>
      <c r="L64" s="0" t="n">
        <v>1</v>
      </c>
      <c r="M64" s="0" t="n">
        <f aca="false">VLOOKUP(A64,'Team Data'!$A$1:$P$133,2,FALSE())</f>
        <v>5</v>
      </c>
      <c r="N64" s="0" t="n">
        <f aca="false">VLOOKUP(A64,'Team Data'!$A$1:$P$133,3,FALSE())</f>
        <v>7</v>
      </c>
      <c r="O64" s="0" t="n">
        <f aca="false">VLOOKUP(B64,'Team Data'!$A$1:$P$133,2,FALSE())</f>
        <v>7</v>
      </c>
      <c r="P64" s="0" t="n">
        <f aca="false">VLOOKUP(B64,'Team Data'!$A$1:$P$133,3,FALSE())</f>
        <v>6</v>
      </c>
      <c r="Q64" s="0" t="n">
        <f aca="false">VLOOKUP(A64,'Team Data'!$A$1:$P$133,4,FALSE())</f>
        <v>77</v>
      </c>
      <c r="R64" s="0" t="n">
        <f aca="false">VLOOKUP(A64,'Team Data'!$A$1:$P$133,5,FALSE())</f>
        <v>183</v>
      </c>
      <c r="S64" s="0" t="n">
        <f aca="false">VLOOKUP(B64,'Team Data'!$A$1:$P$133,4,FALSE())</f>
        <v>90</v>
      </c>
      <c r="T64" s="0" t="n">
        <f aca="false">VLOOKUP(B64,'Team Data'!$A$1:$P$133,5,FALSE())</f>
        <v>185</v>
      </c>
      <c r="U64" s="0" t="n">
        <f aca="false">IF(K64=1,(MIN(35,(C64-D64)))*(O64/(O64+P64))*(S64/(S64+T64)),(MAX(-35,(C64-D64)))*(IF(P64=0,0.1,(P64/(O64+P64))))*(T64/(S64+T64)))</f>
        <v>-0.931468531468532</v>
      </c>
      <c r="V64" s="0" t="n">
        <f aca="false">IF(L64=1,(MIN(35,(D64-C64)))*(M64/(M64+N64))*(Q64/(Q64+R64)),(MAX(-35,(D64-C64)))*(IF(N64=0,0.1,(N64/(M64+N64))))*(R64/(R64+Q64)))</f>
        <v>0.370192307692308</v>
      </c>
    </row>
    <row r="65" customFormat="false" ht="15" hidden="false" customHeight="false" outlineLevel="0" collapsed="false">
      <c r="A65" s="0" t="s">
        <v>108</v>
      </c>
      <c r="B65" s="0" t="s">
        <v>74</v>
      </c>
      <c r="C65" s="0" t="n">
        <v>14</v>
      </c>
      <c r="D65" s="0" t="n">
        <v>38</v>
      </c>
      <c r="E65" s="0" t="n">
        <v>-12</v>
      </c>
      <c r="F65" s="0" t="n">
        <v>134</v>
      </c>
      <c r="G65" s="0" t="n">
        <v>289</v>
      </c>
      <c r="H65" s="0" t="n">
        <v>144</v>
      </c>
      <c r="I65" s="0" t="n">
        <v>4</v>
      </c>
      <c r="J65" s="0" t="n">
        <v>0</v>
      </c>
      <c r="K65" s="0" t="n">
        <v>0</v>
      </c>
      <c r="L65" s="0" t="n">
        <v>1</v>
      </c>
      <c r="M65" s="0" t="n">
        <f aca="false">VLOOKUP(A65,'Team Data'!$A$1:$P$133,2,FALSE())</f>
        <v>4</v>
      </c>
      <c r="N65" s="0" t="n">
        <f aca="false">VLOOKUP(A65,'Team Data'!$A$1:$P$133,3,FALSE())</f>
        <v>8</v>
      </c>
      <c r="O65" s="0" t="n">
        <f aca="false">VLOOKUP(B65,'Team Data'!$A$1:$P$133,2,FALSE())</f>
        <v>2</v>
      </c>
      <c r="P65" s="0" t="n">
        <f aca="false">VLOOKUP(B65,'Team Data'!$A$1:$P$133,3,FALSE())</f>
        <v>10</v>
      </c>
      <c r="Q65" s="0" t="n">
        <f aca="false">VLOOKUP(A65,'Team Data'!$A$1:$P$133,4,FALSE())</f>
        <v>76</v>
      </c>
      <c r="R65" s="0" t="n">
        <f aca="false">VLOOKUP(A65,'Team Data'!$A$1:$P$133,5,FALSE())</f>
        <v>181</v>
      </c>
      <c r="S65" s="0" t="n">
        <f aca="false">VLOOKUP(B65,'Team Data'!$A$1:$P$133,4,FALSE())</f>
        <v>82</v>
      </c>
      <c r="T65" s="0" t="n">
        <f aca="false">VLOOKUP(B65,'Team Data'!$A$1:$P$133,5,FALSE())</f>
        <v>179</v>
      </c>
      <c r="U65" s="0" t="n">
        <f aca="false">IF(K65=1,(MIN(35,(C65-D65)))*(O65/(O65+P65))*(S65/(S65+T65)),(MAX(-35,(C65-D65)))*(IF(P65=0,0.1,(P65/(O65+P65))))*(T65/(S65+T65)))</f>
        <v>-13.7164750957854</v>
      </c>
      <c r="V65" s="0" t="n">
        <f aca="false">IF(L65=1,(MIN(35,(D65-C65)))*(M65/(M65+N65))*(Q65/(Q65+R65)),(MAX(-35,(D65-C65)))*(IF(N65=0,0.1,(N65/(M65+N65))))*(R65/(R65+Q65)))</f>
        <v>2.36575875486381</v>
      </c>
    </row>
    <row r="66" customFormat="false" ht="15" hidden="false" customHeight="false" outlineLevel="0" collapsed="false">
      <c r="A66" s="0" t="s">
        <v>198</v>
      </c>
      <c r="B66" s="0" t="s">
        <v>97</v>
      </c>
      <c r="C66" s="0" t="n">
        <v>17</v>
      </c>
      <c r="D66" s="0" t="n">
        <v>21</v>
      </c>
      <c r="E66" s="0" t="n">
        <v>125</v>
      </c>
      <c r="F66" s="0" t="n">
        <v>49</v>
      </c>
      <c r="G66" s="0" t="n">
        <v>270</v>
      </c>
      <c r="H66" s="0" t="n">
        <v>239</v>
      </c>
      <c r="I66" s="0" t="n">
        <v>3</v>
      </c>
      <c r="J66" s="0" t="n">
        <v>0</v>
      </c>
      <c r="K66" s="0" t="n">
        <v>0</v>
      </c>
      <c r="L66" s="0" t="n">
        <v>1</v>
      </c>
      <c r="M66" s="0" t="n">
        <f aca="false">VLOOKUP(A66,'Team Data'!$A$1:$P$133,2,FALSE())</f>
        <v>8</v>
      </c>
      <c r="N66" s="0" t="n">
        <f aca="false">VLOOKUP(A66,'Team Data'!$A$1:$P$133,3,FALSE())</f>
        <v>112</v>
      </c>
      <c r="O66" s="0" t="n">
        <f aca="false">VLOOKUP(B66,'Team Data'!$A$1:$P$133,2,FALSE())</f>
        <v>7</v>
      </c>
      <c r="P66" s="0" t="n">
        <f aca="false">VLOOKUP(B66,'Team Data'!$A$1:$P$133,3,FALSE())</f>
        <v>5</v>
      </c>
      <c r="Q66" s="0" t="n">
        <f aca="false">VLOOKUP(A66,'Team Data'!$A$1:$P$133,4,FALSE())</f>
        <v>805</v>
      </c>
      <c r="R66" s="0" t="n">
        <f aca="false">VLOOKUP(A66,'Team Data'!$A$1:$P$133,5,FALSE())</f>
        <v>725</v>
      </c>
      <c r="S66" s="0" t="n">
        <f aca="false">VLOOKUP(B66,'Team Data'!$A$1:$P$133,4,FALSE())</f>
        <v>70</v>
      </c>
      <c r="T66" s="0" t="n">
        <f aca="false">VLOOKUP(B66,'Team Data'!$A$1:$P$133,5,FALSE())</f>
        <v>189</v>
      </c>
      <c r="U66" s="0" t="n">
        <f aca="false">IF(K66=1,(MIN(35,(C66-D66)))*(O66/(O66+P66))*(S66/(S66+T66)),(MAX(-35,(C66-D66)))*(IF(P66=0,0.1,(P66/(O66+P66))))*(T66/(S66+T66)))</f>
        <v>-1.21621621621622</v>
      </c>
      <c r="V66" s="0" t="n">
        <f aca="false">IF(L66=1,(MIN(35,(D66-C66)))*(M66/(M66+N66))*(Q66/(Q66+R66)),(MAX(-35,(D66-C66)))*(IF(N66=0,0.1,(N66/(M66+N66))))*(R66/(R66+Q66)))</f>
        <v>0.140305010893246</v>
      </c>
    </row>
    <row r="67" customFormat="false" ht="15" hidden="false" customHeight="false" outlineLevel="0" collapsed="false">
      <c r="A67" s="0" t="s">
        <v>198</v>
      </c>
      <c r="B67" s="0" t="s">
        <v>115</v>
      </c>
      <c r="C67" s="0" t="n">
        <v>10</v>
      </c>
      <c r="D67" s="0" t="n">
        <v>56</v>
      </c>
      <c r="E67" s="0" t="n">
        <v>35</v>
      </c>
      <c r="F67" s="0" t="n">
        <v>292</v>
      </c>
      <c r="G67" s="0" t="n">
        <v>56</v>
      </c>
      <c r="H67" s="0" t="n">
        <v>308</v>
      </c>
      <c r="I67" s="0" t="n">
        <v>1</v>
      </c>
      <c r="J67" s="0" t="n">
        <v>1</v>
      </c>
      <c r="K67" s="0" t="n">
        <v>0</v>
      </c>
      <c r="L67" s="0" t="n">
        <v>1</v>
      </c>
      <c r="M67" s="0" t="n">
        <f aca="false">VLOOKUP(A67,'Team Data'!$A$1:$P$133,2,FALSE())</f>
        <v>8</v>
      </c>
      <c r="N67" s="0" t="n">
        <f aca="false">VLOOKUP(A67,'Team Data'!$A$1:$P$133,3,FALSE())</f>
        <v>112</v>
      </c>
      <c r="O67" s="0" t="n">
        <f aca="false">VLOOKUP(B67,'Team Data'!$A$1:$P$133,2,FALSE())</f>
        <v>9</v>
      </c>
      <c r="P67" s="0" t="n">
        <f aca="false">VLOOKUP(B67,'Team Data'!$A$1:$P$133,3,FALSE())</f>
        <v>5</v>
      </c>
      <c r="Q67" s="0" t="n">
        <f aca="false">VLOOKUP(A67,'Team Data'!$A$1:$P$133,4,FALSE())</f>
        <v>805</v>
      </c>
      <c r="R67" s="0" t="n">
        <f aca="false">VLOOKUP(A67,'Team Data'!$A$1:$P$133,5,FALSE())</f>
        <v>725</v>
      </c>
      <c r="S67" s="0" t="n">
        <f aca="false">VLOOKUP(B67,'Team Data'!$A$1:$P$133,4,FALSE())</f>
        <v>98</v>
      </c>
      <c r="T67" s="0" t="n">
        <f aca="false">VLOOKUP(B67,'Team Data'!$A$1:$P$133,5,FALSE())</f>
        <v>188</v>
      </c>
      <c r="U67" s="0" t="n">
        <f aca="false">IF(K67=1,(MIN(35,(C67-D67)))*(O67/(O67+P67))*(S67/(S67+T67)),(MAX(-35,(C67-D67)))*(IF(P67=0,0.1,(P67/(O67+P67))))*(T67/(S67+T67)))</f>
        <v>-8.21678321678322</v>
      </c>
      <c r="V67" s="0" t="n">
        <f aca="false">IF(L67=1,(MIN(35,(D67-C67)))*(M67/(M67+N67))*(Q67/(Q67+R67)),(MAX(-35,(D67-C67)))*(IF(N67=0,0.1,(N67/(M67+N67))))*(R67/(R67+Q67)))</f>
        <v>1.2276688453159</v>
      </c>
    </row>
    <row r="68" customFormat="false" ht="15" hidden="false" customHeight="false" outlineLevel="0" collapsed="false">
      <c r="A68" s="0" t="s">
        <v>198</v>
      </c>
      <c r="B68" s="0" t="s">
        <v>72</v>
      </c>
      <c r="C68" s="0" t="n">
        <v>14</v>
      </c>
      <c r="D68" s="0" t="n">
        <v>7</v>
      </c>
      <c r="E68" s="0" t="n">
        <v>13</v>
      </c>
      <c r="F68" s="0" t="n">
        <v>184</v>
      </c>
      <c r="G68" s="0" t="n">
        <v>189</v>
      </c>
      <c r="H68" s="0" t="n">
        <v>135</v>
      </c>
      <c r="I68" s="0" t="n">
        <v>1</v>
      </c>
      <c r="J68" s="0" t="n">
        <v>3</v>
      </c>
      <c r="K68" s="0" t="n">
        <v>1</v>
      </c>
      <c r="L68" s="0" t="n">
        <v>0</v>
      </c>
      <c r="M68" s="0" t="n">
        <f aca="false">VLOOKUP(A68,'Team Data'!$A$1:$P$133,2,FALSE())</f>
        <v>8</v>
      </c>
      <c r="N68" s="0" t="n">
        <f aca="false">VLOOKUP(A68,'Team Data'!$A$1:$P$133,3,FALSE())</f>
        <v>112</v>
      </c>
      <c r="O68" s="0" t="n">
        <f aca="false">VLOOKUP(B68,'Team Data'!$A$1:$P$133,2,FALSE())</f>
        <v>4</v>
      </c>
      <c r="P68" s="0" t="n">
        <f aca="false">VLOOKUP(B68,'Team Data'!$A$1:$P$133,3,FALSE())</f>
        <v>8</v>
      </c>
      <c r="Q68" s="0" t="n">
        <f aca="false">VLOOKUP(A68,'Team Data'!$A$1:$P$133,4,FALSE())</f>
        <v>805</v>
      </c>
      <c r="R68" s="0" t="n">
        <f aca="false">VLOOKUP(A68,'Team Data'!$A$1:$P$133,5,FALSE())</f>
        <v>725</v>
      </c>
      <c r="S68" s="0" t="n">
        <f aca="false">VLOOKUP(B68,'Team Data'!$A$1:$P$133,4,FALSE())</f>
        <v>89</v>
      </c>
      <c r="T68" s="0" t="n">
        <f aca="false">VLOOKUP(B68,'Team Data'!$A$1:$P$133,5,FALSE())</f>
        <v>172</v>
      </c>
      <c r="U68" s="0" t="n">
        <f aca="false">IF(K68=1,(MIN(35,(C68-D68)))*(O68/(O68+P68))*(S68/(S68+T68)),(MAX(-35,(C68-D68)))*(IF(P68=0,0.1,(P68/(O68+P68))))*(T68/(S68+T68)))</f>
        <v>0.795657726692209</v>
      </c>
      <c r="V68" s="0" t="n">
        <f aca="false">IF(L68=1,(MIN(35,(D68-C68)))*(M68/(M68+N68))*(Q68/(Q68+R68)),(MAX(-35,(D68-C68)))*(IF(N68=0,0.1,(N68/(M68+N68))))*(R68/(R68+Q68)))</f>
        <v>-3.0958605664488</v>
      </c>
    </row>
    <row r="69" customFormat="false" ht="15" hidden="false" customHeight="false" outlineLevel="0" collapsed="false">
      <c r="A69" s="0" t="s">
        <v>16</v>
      </c>
      <c r="B69" s="0" t="s">
        <v>121</v>
      </c>
      <c r="C69" s="0" t="n">
        <v>50</v>
      </c>
      <c r="D69" s="0" t="n">
        <v>21</v>
      </c>
      <c r="E69" s="0" t="n">
        <v>312</v>
      </c>
      <c r="F69" s="0" t="n">
        <v>107</v>
      </c>
      <c r="G69" s="0" t="n">
        <v>261</v>
      </c>
      <c r="H69" s="0" t="n">
        <v>172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f aca="false">VLOOKUP(A69,'Team Data'!$A$1:$P$133,2,FALSE())</f>
        <v>8</v>
      </c>
      <c r="N69" s="0" t="n">
        <f aca="false">VLOOKUP(A69,'Team Data'!$A$1:$P$133,3,FALSE())</f>
        <v>5</v>
      </c>
      <c r="O69" s="0" t="n">
        <f aca="false">VLOOKUP(B69,'Team Data'!$A$1:$P$133,2,FALSE())</f>
        <v>1</v>
      </c>
      <c r="P69" s="0" t="n">
        <f aca="false">VLOOKUP(B69,'Team Data'!$A$1:$P$133,3,FALSE())</f>
        <v>11</v>
      </c>
      <c r="Q69" s="0" t="n">
        <f aca="false">VLOOKUP(A69,'Team Data'!$A$1:$P$133,4,FALSE())</f>
        <v>90</v>
      </c>
      <c r="R69" s="0" t="n">
        <f aca="false">VLOOKUP(A69,'Team Data'!$A$1:$P$133,5,FALSE())</f>
        <v>185</v>
      </c>
      <c r="S69" s="0" t="n">
        <f aca="false">VLOOKUP(B69,'Team Data'!$A$1:$P$133,4,FALSE())</f>
        <v>91</v>
      </c>
      <c r="T69" s="0" t="n">
        <f aca="false">VLOOKUP(B69,'Team Data'!$A$1:$P$133,5,FALSE())</f>
        <v>172</v>
      </c>
      <c r="U69" s="0" t="n">
        <f aca="false">IF(K69=1,(MIN(35,(C69-D69)))*(O69/(O69+P69))*(S69/(S69+T69)),(MAX(-35,(C69-D69)))*(IF(P69=0,0.1,(P69/(O69+P69))))*(T69/(S69+T69)))</f>
        <v>0.836185044359949</v>
      </c>
      <c r="V69" s="0" t="n">
        <f aca="false">IF(L69=1,(MIN(35,(D69-C69)))*(M69/(M69+N69))*(Q69/(Q69+R69)),(MAX(-35,(D69-C69)))*(IF(N69=0,0.1,(N69/(M69+N69))))*(R69/(R69+Q69)))</f>
        <v>-7.5034965034965</v>
      </c>
    </row>
    <row r="70" customFormat="false" ht="15" hidden="false" customHeight="false" outlineLevel="0" collapsed="false">
      <c r="A70" s="0" t="s">
        <v>198</v>
      </c>
      <c r="B70" s="0" t="s">
        <v>7</v>
      </c>
      <c r="C70" s="0" t="n">
        <v>23</v>
      </c>
      <c r="D70" s="0" t="n">
        <v>30</v>
      </c>
      <c r="E70" s="0" t="n">
        <v>189</v>
      </c>
      <c r="F70" s="0" t="n">
        <v>97</v>
      </c>
      <c r="G70" s="0" t="n">
        <v>247</v>
      </c>
      <c r="H70" s="0" t="n">
        <v>273</v>
      </c>
      <c r="I70" s="0" t="n">
        <v>1</v>
      </c>
      <c r="J70" s="0" t="n">
        <v>0</v>
      </c>
      <c r="K70" s="0" t="n">
        <v>0</v>
      </c>
      <c r="L70" s="0" t="n">
        <v>1</v>
      </c>
      <c r="M70" s="0" t="n">
        <f aca="false">VLOOKUP(A70,'Team Data'!$A$1:$P$133,2,FALSE())</f>
        <v>8</v>
      </c>
      <c r="N70" s="0" t="n">
        <f aca="false">VLOOKUP(A70,'Team Data'!$A$1:$P$133,3,FALSE())</f>
        <v>112</v>
      </c>
      <c r="O70" s="0" t="n">
        <f aca="false">VLOOKUP(B70,'Team Data'!$A$1:$P$133,2,FALSE())</f>
        <v>2</v>
      </c>
      <c r="P70" s="0" t="n">
        <f aca="false">VLOOKUP(B70,'Team Data'!$A$1:$P$133,3,FALSE())</f>
        <v>10</v>
      </c>
      <c r="Q70" s="0" t="n">
        <f aca="false">VLOOKUP(A70,'Team Data'!$A$1:$P$133,4,FALSE())</f>
        <v>805</v>
      </c>
      <c r="R70" s="0" t="n">
        <f aca="false">VLOOKUP(A70,'Team Data'!$A$1:$P$133,5,FALSE())</f>
        <v>725</v>
      </c>
      <c r="S70" s="0" t="n">
        <f aca="false">VLOOKUP(B70,'Team Data'!$A$1:$P$133,4,FALSE())</f>
        <v>82</v>
      </c>
      <c r="T70" s="0" t="n">
        <f aca="false">VLOOKUP(B70,'Team Data'!$A$1:$P$133,5,FALSE())</f>
        <v>178</v>
      </c>
      <c r="U70" s="0" t="n">
        <f aca="false">IF(K70=1,(MIN(35,(C70-D70)))*(O70/(O70+P70))*(S70/(S70+T70)),(MAX(-35,(C70-D70)))*(IF(P70=0,0.1,(P70/(O70+P70))))*(T70/(S70+T70)))</f>
        <v>-3.99358974358974</v>
      </c>
      <c r="V70" s="0" t="n">
        <f aca="false">IF(L70=1,(MIN(35,(D70-C70)))*(M70/(M70+N70))*(Q70/(Q70+R70)),(MAX(-35,(D70-C70)))*(IF(N70=0,0.1,(N70/(M70+N70))))*(R70/(R70+Q70)))</f>
        <v>0.245533769063181</v>
      </c>
    </row>
    <row r="71" customFormat="false" ht="15" hidden="false" customHeight="false" outlineLevel="0" collapsed="false">
      <c r="A71" s="0" t="s">
        <v>24</v>
      </c>
      <c r="B71" s="0" t="s">
        <v>85</v>
      </c>
      <c r="C71" s="0" t="n">
        <v>44</v>
      </c>
      <c r="D71" s="0" t="n">
        <v>58</v>
      </c>
      <c r="E71" s="0" t="n">
        <v>122</v>
      </c>
      <c r="F71" s="0" t="n">
        <v>125</v>
      </c>
      <c r="G71" s="0" t="n">
        <v>424</v>
      </c>
      <c r="H71" s="0" t="n">
        <v>406</v>
      </c>
      <c r="I71" s="0" t="n">
        <v>1</v>
      </c>
      <c r="J71" s="0" t="n">
        <v>0</v>
      </c>
      <c r="K71" s="0" t="n">
        <v>0</v>
      </c>
      <c r="L71" s="0" t="n">
        <v>1</v>
      </c>
      <c r="M71" s="0" t="n">
        <f aca="false">VLOOKUP(A71,'Team Data'!$A$1:$P$133,2,FALSE())</f>
        <v>4</v>
      </c>
      <c r="N71" s="0" t="n">
        <f aca="false">VLOOKUP(A71,'Team Data'!$A$1:$P$133,3,FALSE())</f>
        <v>8</v>
      </c>
      <c r="O71" s="0" t="n">
        <f aca="false">VLOOKUP(B71,'Team Data'!$A$1:$P$133,2,FALSE())</f>
        <v>7</v>
      </c>
      <c r="P71" s="0" t="n">
        <f aca="false">VLOOKUP(B71,'Team Data'!$A$1:$P$133,3,FALSE())</f>
        <v>6</v>
      </c>
      <c r="Q71" s="0" t="n">
        <f aca="false">VLOOKUP(A71,'Team Data'!$A$1:$P$133,4,FALSE())</f>
        <v>82</v>
      </c>
      <c r="R71" s="0" t="n">
        <f aca="false">VLOOKUP(A71,'Team Data'!$A$1:$P$133,5,FALSE())</f>
        <v>178</v>
      </c>
      <c r="S71" s="0" t="n">
        <f aca="false">VLOOKUP(B71,'Team Data'!$A$1:$P$133,4,FALSE())</f>
        <v>88</v>
      </c>
      <c r="T71" s="0" t="n">
        <f aca="false">VLOOKUP(B71,'Team Data'!$A$1:$P$133,5,FALSE())</f>
        <v>187</v>
      </c>
      <c r="U71" s="0" t="n">
        <f aca="false">IF(K71=1,(MIN(35,(C71-D71)))*(O71/(O71+P71))*(S71/(S71+T71)),(MAX(-35,(C71-D71)))*(IF(P71=0,0.1,(P71/(O71+P71))))*(T71/(S71+T71)))</f>
        <v>-4.39384615384615</v>
      </c>
      <c r="V71" s="0" t="n">
        <f aca="false">IF(L71=1,(MIN(35,(D71-C71)))*(M71/(M71+N71))*(Q71/(Q71+R71)),(MAX(-35,(D71-C71)))*(IF(N71=0,0.1,(N71/(M71+N71))))*(R71/(R71+Q71)))</f>
        <v>1.47179487179487</v>
      </c>
    </row>
    <row r="72" customFormat="false" ht="15" hidden="false" customHeight="false" outlineLevel="0" collapsed="false">
      <c r="A72" s="0" t="s">
        <v>198</v>
      </c>
      <c r="B72" s="0" t="s">
        <v>33</v>
      </c>
      <c r="C72" s="0" t="n">
        <v>34</v>
      </c>
      <c r="D72" s="0" t="n">
        <v>42</v>
      </c>
      <c r="E72" s="0" t="n">
        <v>141</v>
      </c>
      <c r="F72" s="0" t="n">
        <v>124</v>
      </c>
      <c r="G72" s="0" t="n">
        <v>351</v>
      </c>
      <c r="H72" s="0" t="n">
        <v>271</v>
      </c>
      <c r="I72" s="0" t="n">
        <v>2</v>
      </c>
      <c r="J72" s="0" t="n">
        <v>2</v>
      </c>
      <c r="K72" s="0" t="n">
        <v>0</v>
      </c>
      <c r="L72" s="0" t="n">
        <v>1</v>
      </c>
      <c r="M72" s="0" t="n">
        <f aca="false">VLOOKUP(A72,'Team Data'!$A$1:$P$133,2,FALSE())</f>
        <v>8</v>
      </c>
      <c r="N72" s="0" t="n">
        <f aca="false">VLOOKUP(A72,'Team Data'!$A$1:$P$133,3,FALSE())</f>
        <v>112</v>
      </c>
      <c r="O72" s="0" t="n">
        <f aca="false">VLOOKUP(B72,'Team Data'!$A$1:$P$133,2,FALSE())</f>
        <v>9</v>
      </c>
      <c r="P72" s="0" t="n">
        <f aca="false">VLOOKUP(B72,'Team Data'!$A$1:$P$133,3,FALSE())</f>
        <v>4</v>
      </c>
      <c r="Q72" s="0" t="n">
        <f aca="false">VLOOKUP(A72,'Team Data'!$A$1:$P$133,4,FALSE())</f>
        <v>805</v>
      </c>
      <c r="R72" s="0" t="n">
        <f aca="false">VLOOKUP(A72,'Team Data'!$A$1:$P$133,5,FALSE())</f>
        <v>725</v>
      </c>
      <c r="S72" s="0" t="n">
        <f aca="false">VLOOKUP(B72,'Team Data'!$A$1:$P$133,4,FALSE())</f>
        <v>65</v>
      </c>
      <c r="T72" s="0" t="n">
        <f aca="false">VLOOKUP(B72,'Team Data'!$A$1:$P$133,5,FALSE())</f>
        <v>203</v>
      </c>
      <c r="U72" s="0" t="n">
        <f aca="false">IF(K72=1,(MIN(35,(C72-D72)))*(O72/(O72+P72))*(S72/(S72+T72)),(MAX(-35,(C72-D72)))*(IF(P72=0,0.1,(P72/(O72+P72))))*(T72/(S72+T72)))</f>
        <v>-1.86452353616533</v>
      </c>
      <c r="V72" s="0" t="n">
        <f aca="false">IF(L72=1,(MIN(35,(D72-C72)))*(M72/(M72+N72))*(Q72/(Q72+R72)),(MAX(-35,(D72-C72)))*(IF(N72=0,0.1,(N72/(M72+N72))))*(R72/(R72+Q72)))</f>
        <v>0.280610021786492</v>
      </c>
    </row>
    <row r="73" customFormat="false" ht="15" hidden="false" customHeight="false" outlineLevel="0" collapsed="false">
      <c r="A73" s="0" t="s">
        <v>134</v>
      </c>
      <c r="B73" s="0" t="s">
        <v>66</v>
      </c>
      <c r="C73" s="0" t="n">
        <v>13</v>
      </c>
      <c r="D73" s="0" t="n">
        <v>35</v>
      </c>
      <c r="E73" s="0" t="n">
        <v>141</v>
      </c>
      <c r="F73" s="0" t="n">
        <v>197</v>
      </c>
      <c r="G73" s="0" t="n">
        <v>193</v>
      </c>
      <c r="H73" s="0" t="n">
        <v>233</v>
      </c>
      <c r="I73" s="0" t="n">
        <v>2</v>
      </c>
      <c r="J73" s="0" t="n">
        <v>2</v>
      </c>
      <c r="K73" s="0" t="n">
        <v>0</v>
      </c>
      <c r="L73" s="0" t="n">
        <v>1</v>
      </c>
      <c r="M73" s="0" t="n">
        <f aca="false">VLOOKUP(A73,'Team Data'!$A$1:$P$133,2,FALSE())</f>
        <v>5</v>
      </c>
      <c r="N73" s="0" t="n">
        <f aca="false">VLOOKUP(A73,'Team Data'!$A$1:$P$133,3,FALSE())</f>
        <v>7</v>
      </c>
      <c r="O73" s="0" t="n">
        <f aca="false">VLOOKUP(B73,'Team Data'!$A$1:$P$133,2,FALSE())</f>
        <v>5</v>
      </c>
      <c r="P73" s="0" t="n">
        <f aca="false">VLOOKUP(B73,'Team Data'!$A$1:$P$133,3,FALSE())</f>
        <v>7</v>
      </c>
      <c r="Q73" s="0" t="n">
        <f aca="false">VLOOKUP(A73,'Team Data'!$A$1:$P$133,4,FALSE())</f>
        <v>81</v>
      </c>
      <c r="R73" s="0" t="n">
        <f aca="false">VLOOKUP(A73,'Team Data'!$A$1:$P$133,5,FALSE())</f>
        <v>179</v>
      </c>
      <c r="S73" s="0" t="n">
        <f aca="false">VLOOKUP(B73,'Team Data'!$A$1:$P$133,4,FALSE())</f>
        <v>93</v>
      </c>
      <c r="T73" s="0" t="n">
        <f aca="false">VLOOKUP(B73,'Team Data'!$A$1:$P$133,5,FALSE())</f>
        <v>60</v>
      </c>
      <c r="U73" s="0" t="n">
        <f aca="false">IF(K73=1,(MIN(35,(C73-D73)))*(O73/(O73+P73))*(S73/(S73+T73)),(MAX(-35,(C73-D73)))*(IF(P73=0,0.1,(P73/(O73+P73))))*(T73/(S73+T73)))</f>
        <v>-5.03267973856209</v>
      </c>
      <c r="V73" s="0" t="n">
        <f aca="false">IF(L73=1,(MIN(35,(D73-C73)))*(M73/(M73+N73))*(Q73/(Q73+R73)),(MAX(-35,(D73-C73)))*(IF(N73=0,0.1,(N73/(M73+N73))))*(R73/(R73+Q73)))</f>
        <v>2.85576923076923</v>
      </c>
    </row>
    <row r="74" customFormat="false" ht="15" hidden="false" customHeight="false" outlineLevel="0" collapsed="false">
      <c r="A74" s="0" t="s">
        <v>198</v>
      </c>
      <c r="B74" s="0" t="s">
        <v>79</v>
      </c>
      <c r="C74" s="0" t="n">
        <v>27</v>
      </c>
      <c r="D74" s="0" t="n">
        <v>34</v>
      </c>
      <c r="E74" s="0" t="n">
        <v>165</v>
      </c>
      <c r="F74" s="0" t="n">
        <v>187</v>
      </c>
      <c r="G74" s="0" t="n">
        <v>276</v>
      </c>
      <c r="H74" s="0" t="n">
        <v>192</v>
      </c>
      <c r="I74" s="0" t="n">
        <v>2</v>
      </c>
      <c r="J74" s="0" t="n">
        <v>0</v>
      </c>
      <c r="K74" s="0" t="n">
        <v>0</v>
      </c>
      <c r="L74" s="0" t="n">
        <v>1</v>
      </c>
      <c r="M74" s="0" t="n">
        <f aca="false">VLOOKUP(A74,'Team Data'!$A$1:$P$133,2,FALSE())</f>
        <v>8</v>
      </c>
      <c r="N74" s="0" t="n">
        <f aca="false">VLOOKUP(A74,'Team Data'!$A$1:$P$133,3,FALSE())</f>
        <v>112</v>
      </c>
      <c r="O74" s="0" t="n">
        <f aca="false">VLOOKUP(B74,'Team Data'!$A$1:$P$133,2,FALSE())</f>
        <v>3</v>
      </c>
      <c r="P74" s="0" t="n">
        <f aca="false">VLOOKUP(B74,'Team Data'!$A$1:$P$133,3,FALSE())</f>
        <v>9</v>
      </c>
      <c r="Q74" s="0" t="n">
        <f aca="false">VLOOKUP(A74,'Team Data'!$A$1:$P$133,4,FALSE())</f>
        <v>805</v>
      </c>
      <c r="R74" s="0" t="n">
        <f aca="false">VLOOKUP(A74,'Team Data'!$A$1:$P$133,5,FALSE())</f>
        <v>725</v>
      </c>
      <c r="S74" s="0" t="n">
        <f aca="false">VLOOKUP(B74,'Team Data'!$A$1:$P$133,4,FALSE())</f>
        <v>75</v>
      </c>
      <c r="T74" s="0" t="n">
        <f aca="false">VLOOKUP(B74,'Team Data'!$A$1:$P$133,5,FALSE())</f>
        <v>184</v>
      </c>
      <c r="U74" s="0" t="n">
        <f aca="false">IF(K74=1,(MIN(35,(C74-D74)))*(O74/(O74+P74))*(S74/(S74+T74)),(MAX(-35,(C74-D74)))*(IF(P74=0,0.1,(P74/(O74+P74))))*(T74/(S74+T74)))</f>
        <v>-3.72972972972973</v>
      </c>
      <c r="V74" s="0" t="n">
        <f aca="false">IF(L74=1,(MIN(35,(D74-C74)))*(M74/(M74+N74))*(Q74/(Q74+R74)),(MAX(-35,(D74-C74)))*(IF(N74=0,0.1,(N74/(M74+N74))))*(R74/(R74+Q74)))</f>
        <v>0.245533769063181</v>
      </c>
    </row>
    <row r="75" customFormat="false" ht="15" hidden="false" customHeight="false" outlineLevel="0" collapsed="false">
      <c r="A75" s="0" t="s">
        <v>198</v>
      </c>
      <c r="B75" s="0" t="s">
        <v>40</v>
      </c>
      <c r="C75" s="0" t="n">
        <v>7</v>
      </c>
      <c r="D75" s="0" t="n">
        <v>59</v>
      </c>
      <c r="E75" s="0" t="n">
        <v>172</v>
      </c>
      <c r="F75" s="0" t="n">
        <v>137</v>
      </c>
      <c r="G75" s="0" t="n">
        <v>78</v>
      </c>
      <c r="H75" s="0" t="n">
        <v>367</v>
      </c>
      <c r="I75" s="0" t="n">
        <v>4</v>
      </c>
      <c r="J75" s="0" t="n">
        <v>1</v>
      </c>
      <c r="K75" s="0" t="n">
        <v>0</v>
      </c>
      <c r="L75" s="0" t="n">
        <v>1</v>
      </c>
      <c r="M75" s="0" t="n">
        <f aca="false">VLOOKUP(A75,'Team Data'!$A$1:$P$133,2,FALSE())</f>
        <v>8</v>
      </c>
      <c r="N75" s="0" t="n">
        <f aca="false">VLOOKUP(A75,'Team Data'!$A$1:$P$133,3,FALSE())</f>
        <v>112</v>
      </c>
      <c r="O75" s="0" t="n">
        <f aca="false">VLOOKUP(B75,'Team Data'!$A$1:$P$133,2,FALSE())</f>
        <v>6</v>
      </c>
      <c r="P75" s="0" t="n">
        <f aca="false">VLOOKUP(B75,'Team Data'!$A$1:$P$133,3,FALSE())</f>
        <v>7</v>
      </c>
      <c r="Q75" s="0" t="n">
        <f aca="false">VLOOKUP(A75,'Team Data'!$A$1:$P$133,4,FALSE())</f>
        <v>805</v>
      </c>
      <c r="R75" s="0" t="n">
        <f aca="false">VLOOKUP(A75,'Team Data'!$A$1:$P$133,5,FALSE())</f>
        <v>725</v>
      </c>
      <c r="S75" s="0" t="n">
        <f aca="false">VLOOKUP(B75,'Team Data'!$A$1:$P$133,4,FALSE())</f>
        <v>86</v>
      </c>
      <c r="T75" s="0" t="n">
        <f aca="false">VLOOKUP(B75,'Team Data'!$A$1:$P$133,5,FALSE())</f>
        <v>183</v>
      </c>
      <c r="U75" s="0" t="n">
        <f aca="false">IF(K75=1,(MIN(35,(C75-D75)))*(O75/(O75+P75))*(S75/(S75+T75)),(MAX(-35,(C75-D75)))*(IF(P75=0,0.1,(P75/(O75+P75))))*(T75/(S75+T75)))</f>
        <v>-12.8209894195024</v>
      </c>
      <c r="V75" s="0" t="n">
        <f aca="false">IF(L75=1,(MIN(35,(D75-C75)))*(M75/(M75+N75))*(Q75/(Q75+R75)),(MAX(-35,(D75-C75)))*(IF(N75=0,0.1,(N75/(M75+N75))))*(R75/(R75+Q75)))</f>
        <v>1.2276688453159</v>
      </c>
    </row>
    <row r="76" customFormat="false" ht="15" hidden="false" customHeight="false" outlineLevel="0" collapsed="false">
      <c r="A76" s="0" t="s">
        <v>198</v>
      </c>
      <c r="B76" s="0" t="s">
        <v>98</v>
      </c>
      <c r="C76" s="0" t="n">
        <v>7</v>
      </c>
      <c r="D76" s="0" t="n">
        <v>48</v>
      </c>
      <c r="E76" s="0" t="n">
        <v>59</v>
      </c>
      <c r="F76" s="0" t="n">
        <v>176</v>
      </c>
      <c r="G76" s="0" t="n">
        <v>106</v>
      </c>
      <c r="H76" s="0" t="n">
        <v>332</v>
      </c>
      <c r="I76" s="0" t="n">
        <v>2</v>
      </c>
      <c r="J76" s="0" t="n">
        <v>0</v>
      </c>
      <c r="K76" s="0" t="n">
        <v>0</v>
      </c>
      <c r="L76" s="0" t="n">
        <v>1</v>
      </c>
      <c r="M76" s="0" t="n">
        <f aca="false">VLOOKUP(A76,'Team Data'!$A$1:$P$133,2,FALSE())</f>
        <v>8</v>
      </c>
      <c r="N76" s="0" t="n">
        <f aca="false">VLOOKUP(A76,'Team Data'!$A$1:$P$133,3,FALSE())</f>
        <v>112</v>
      </c>
      <c r="O76" s="0" t="n">
        <f aca="false">VLOOKUP(B76,'Team Data'!$A$1:$P$133,2,FALSE())</f>
        <v>10</v>
      </c>
      <c r="P76" s="0" t="n">
        <f aca="false">VLOOKUP(B76,'Team Data'!$A$1:$P$133,3,FALSE())</f>
        <v>3</v>
      </c>
      <c r="Q76" s="0" t="n">
        <f aca="false">VLOOKUP(A76,'Team Data'!$A$1:$P$133,4,FALSE())</f>
        <v>805</v>
      </c>
      <c r="R76" s="0" t="n">
        <f aca="false">VLOOKUP(A76,'Team Data'!$A$1:$P$133,5,FALSE())</f>
        <v>725</v>
      </c>
      <c r="S76" s="0" t="n">
        <f aca="false">VLOOKUP(B76,'Team Data'!$A$1:$P$133,4,FALSE())</f>
        <v>78</v>
      </c>
      <c r="T76" s="0" t="n">
        <f aca="false">VLOOKUP(B76,'Team Data'!$A$1:$P$133,5,FALSE())</f>
        <v>194</v>
      </c>
      <c r="U76" s="0" t="n">
        <f aca="false">IF(K76=1,(MIN(35,(C76-D76)))*(O76/(O76+P76))*(S76/(S76+T76)),(MAX(-35,(C76-D76)))*(IF(P76=0,0.1,(P76/(O76+P76))))*(T76/(S76+T76)))</f>
        <v>-5.76074660633484</v>
      </c>
      <c r="V76" s="0" t="n">
        <f aca="false">IF(L76=1,(MIN(35,(D76-C76)))*(M76/(M76+N76))*(Q76/(Q76+R76)),(MAX(-35,(D76-C76)))*(IF(N76=0,0.1,(N76/(M76+N76))))*(R76/(R76+Q76)))</f>
        <v>1.2276688453159</v>
      </c>
    </row>
    <row r="77" customFormat="false" ht="15" hidden="false" customHeight="false" outlineLevel="0" collapsed="false">
      <c r="A77" s="0" t="s">
        <v>198</v>
      </c>
      <c r="B77" s="0" t="s">
        <v>56</v>
      </c>
      <c r="C77" s="0" t="n">
        <v>7</v>
      </c>
      <c r="D77" s="0" t="n">
        <v>24</v>
      </c>
      <c r="E77" s="0" t="n">
        <v>111</v>
      </c>
      <c r="F77" s="0" t="n">
        <v>133</v>
      </c>
      <c r="G77" s="0" t="n">
        <v>149</v>
      </c>
      <c r="H77" s="0" t="n">
        <v>241</v>
      </c>
      <c r="I77" s="0" t="n">
        <v>2</v>
      </c>
      <c r="J77" s="0" t="n">
        <v>0</v>
      </c>
      <c r="K77" s="0" t="n">
        <v>0</v>
      </c>
      <c r="L77" s="0" t="n">
        <v>1</v>
      </c>
      <c r="M77" s="0" t="n">
        <f aca="false">VLOOKUP(A77,'Team Data'!$A$1:$P$133,2,FALSE())</f>
        <v>8</v>
      </c>
      <c r="N77" s="0" t="n">
        <f aca="false">VLOOKUP(A77,'Team Data'!$A$1:$P$133,3,FALSE())</f>
        <v>112</v>
      </c>
      <c r="O77" s="0" t="n">
        <f aca="false">VLOOKUP(B77,'Team Data'!$A$1:$P$133,2,FALSE())</f>
        <v>6</v>
      </c>
      <c r="P77" s="0" t="n">
        <f aca="false">VLOOKUP(B77,'Team Data'!$A$1:$P$133,3,FALSE())</f>
        <v>7</v>
      </c>
      <c r="Q77" s="0" t="n">
        <f aca="false">VLOOKUP(A77,'Team Data'!$A$1:$P$133,4,FALSE())</f>
        <v>805</v>
      </c>
      <c r="R77" s="0" t="n">
        <f aca="false">VLOOKUP(A77,'Team Data'!$A$1:$P$133,5,FALSE())</f>
        <v>725</v>
      </c>
      <c r="S77" s="0" t="n">
        <f aca="false">VLOOKUP(B77,'Team Data'!$A$1:$P$133,4,FALSE())</f>
        <v>95</v>
      </c>
      <c r="T77" s="0" t="n">
        <f aca="false">VLOOKUP(B77,'Team Data'!$A$1:$P$133,5,FALSE())</f>
        <v>179</v>
      </c>
      <c r="U77" s="0" t="n">
        <f aca="false">IF(K77=1,(MIN(35,(C77-D77)))*(O77/(O77+P77))*(S77/(S77+T77)),(MAX(-35,(C77-D77)))*(IF(P77=0,0.1,(P77/(O77+P77))))*(T77/(S77+T77)))</f>
        <v>-5.9800673778776</v>
      </c>
      <c r="V77" s="0" t="n">
        <f aca="false">IF(L77=1,(MIN(35,(D77-C77)))*(M77/(M77+N77))*(Q77/(Q77+R77)),(MAX(-35,(D77-C77)))*(IF(N77=0,0.1,(N77/(M77+N77))))*(R77/(R77+Q77)))</f>
        <v>0.596296296296296</v>
      </c>
    </row>
    <row r="78" customFormat="false" ht="15" hidden="false" customHeight="false" outlineLevel="0" collapsed="false">
      <c r="A78" s="0" t="s">
        <v>198</v>
      </c>
      <c r="B78" s="0" t="s">
        <v>18</v>
      </c>
      <c r="C78" s="0" t="n">
        <v>10</v>
      </c>
      <c r="D78" s="0" t="n">
        <v>69</v>
      </c>
      <c r="E78" s="0" t="n">
        <v>87</v>
      </c>
      <c r="F78" s="0" t="n">
        <v>259</v>
      </c>
      <c r="G78" s="0" t="n">
        <v>150</v>
      </c>
      <c r="H78" s="0" t="n">
        <v>314</v>
      </c>
      <c r="I78" s="0" t="n">
        <v>1</v>
      </c>
      <c r="J78" s="0" t="n">
        <v>0</v>
      </c>
      <c r="K78" s="0" t="n">
        <v>0</v>
      </c>
      <c r="L78" s="0" t="n">
        <v>1</v>
      </c>
      <c r="M78" s="0" t="n">
        <f aca="false">VLOOKUP(A78,'Team Data'!$A$1:$P$133,2,FALSE())</f>
        <v>8</v>
      </c>
      <c r="N78" s="0" t="n">
        <f aca="false">VLOOKUP(A78,'Team Data'!$A$1:$P$133,3,FALSE())</f>
        <v>112</v>
      </c>
      <c r="O78" s="0" t="n">
        <f aca="false">VLOOKUP(B78,'Team Data'!$A$1:$P$133,2,FALSE())</f>
        <v>6</v>
      </c>
      <c r="P78" s="0" t="n">
        <f aca="false">VLOOKUP(B78,'Team Data'!$A$1:$P$133,3,FALSE())</f>
        <v>7</v>
      </c>
      <c r="Q78" s="0" t="n">
        <f aca="false">VLOOKUP(A78,'Team Data'!$A$1:$P$133,4,FALSE())</f>
        <v>805</v>
      </c>
      <c r="R78" s="0" t="n">
        <f aca="false">VLOOKUP(A78,'Team Data'!$A$1:$P$133,5,FALSE())</f>
        <v>725</v>
      </c>
      <c r="S78" s="0" t="n">
        <f aca="false">VLOOKUP(B78,'Team Data'!$A$1:$P$133,4,FALSE())</f>
        <v>97</v>
      </c>
      <c r="T78" s="0" t="n">
        <f aca="false">VLOOKUP(B78,'Team Data'!$A$1:$P$133,5,FALSE())</f>
        <v>179</v>
      </c>
      <c r="U78" s="0" t="n">
        <f aca="false">IF(K78=1,(MIN(35,(C78-D78)))*(O78/(O78+P78))*(S78/(S78+T78)),(MAX(-35,(C78-D78)))*(IF(P78=0,0.1,(P78/(O78+P78))))*(T78/(S78+T78)))</f>
        <v>-12.2226867335563</v>
      </c>
      <c r="V78" s="0" t="n">
        <f aca="false">IF(L78=1,(MIN(35,(D78-C78)))*(M78/(M78+N78))*(Q78/(Q78+R78)),(MAX(-35,(D78-C78)))*(IF(N78=0,0.1,(N78/(M78+N78))))*(R78/(R78+Q78)))</f>
        <v>1.2276688453159</v>
      </c>
    </row>
    <row r="79" customFormat="false" ht="15" hidden="false" customHeight="false" outlineLevel="0" collapsed="false">
      <c r="A79" s="0" t="s">
        <v>198</v>
      </c>
      <c r="B79" s="0" t="s">
        <v>13</v>
      </c>
      <c r="C79" s="0" t="n">
        <v>3</v>
      </c>
      <c r="D79" s="0" t="n">
        <v>58</v>
      </c>
      <c r="E79" s="0" t="n">
        <v>50</v>
      </c>
      <c r="F79" s="0" t="n">
        <v>339</v>
      </c>
      <c r="G79" s="0" t="n">
        <v>52</v>
      </c>
      <c r="H79" s="0" t="n">
        <v>233</v>
      </c>
      <c r="I79" s="0" t="n">
        <v>1</v>
      </c>
      <c r="J79" s="0" t="n">
        <v>0</v>
      </c>
      <c r="K79" s="0" t="n">
        <v>0</v>
      </c>
      <c r="L79" s="0" t="n">
        <v>1</v>
      </c>
      <c r="M79" s="0" t="n">
        <f aca="false">VLOOKUP(A79,'Team Data'!$A$1:$P$133,2,FALSE())</f>
        <v>8</v>
      </c>
      <c r="N79" s="0" t="n">
        <f aca="false">VLOOKUP(A79,'Team Data'!$A$1:$P$133,3,FALSE())</f>
        <v>112</v>
      </c>
      <c r="O79" s="0" t="n">
        <f aca="false">VLOOKUP(B79,'Team Data'!$A$1:$P$133,2,FALSE())</f>
        <v>3</v>
      </c>
      <c r="P79" s="0" t="n">
        <f aca="false">VLOOKUP(B79,'Team Data'!$A$1:$P$133,3,FALSE())</f>
        <v>9</v>
      </c>
      <c r="Q79" s="0" t="n">
        <f aca="false">VLOOKUP(A79,'Team Data'!$A$1:$P$133,4,FALSE())</f>
        <v>805</v>
      </c>
      <c r="R79" s="0" t="n">
        <f aca="false">VLOOKUP(A79,'Team Data'!$A$1:$P$133,5,FALSE())</f>
        <v>725</v>
      </c>
      <c r="S79" s="0" t="n">
        <f aca="false">VLOOKUP(B79,'Team Data'!$A$1:$P$133,4,FALSE())</f>
        <v>81</v>
      </c>
      <c r="T79" s="0" t="n">
        <f aca="false">VLOOKUP(B79,'Team Data'!$A$1:$P$133,5,FALSE())</f>
        <v>177</v>
      </c>
      <c r="U79" s="0" t="n">
        <f aca="false">IF(K79=1,(MIN(35,(C79-D79)))*(O79/(O79+P79))*(S79/(S79+T79)),(MAX(-35,(C79-D79)))*(IF(P79=0,0.1,(P79/(O79+P79))))*(T79/(S79+T79)))</f>
        <v>-18.0087209302326</v>
      </c>
      <c r="V79" s="0" t="n">
        <f aca="false">IF(L79=1,(MIN(35,(D79-C79)))*(M79/(M79+N79))*(Q79/(Q79+R79)),(MAX(-35,(D79-C79)))*(IF(N79=0,0.1,(N79/(M79+N79))))*(R79/(R79+Q79)))</f>
        <v>1.2276688453159</v>
      </c>
    </row>
    <row r="80" customFormat="false" ht="15" hidden="false" customHeight="false" outlineLevel="0" collapsed="false">
      <c r="A80" s="0" t="s">
        <v>128</v>
      </c>
      <c r="B80" s="0" t="s">
        <v>86</v>
      </c>
      <c r="C80" s="0" t="n">
        <v>17</v>
      </c>
      <c r="D80" s="0" t="n">
        <v>20</v>
      </c>
      <c r="E80" s="0" t="n">
        <v>147</v>
      </c>
      <c r="F80" s="0" t="n">
        <v>80</v>
      </c>
      <c r="G80" s="0" t="n">
        <v>193</v>
      </c>
      <c r="H80" s="0" t="n">
        <v>165</v>
      </c>
      <c r="I80" s="0" t="n">
        <v>5</v>
      </c>
      <c r="J80" s="0" t="n">
        <v>2</v>
      </c>
      <c r="K80" s="0" t="n">
        <v>0</v>
      </c>
      <c r="L80" s="0" t="n">
        <v>1</v>
      </c>
      <c r="M80" s="0" t="n">
        <f aca="false">VLOOKUP(A80,'Team Data'!$A$1:$P$133,2,FALSE())</f>
        <v>3</v>
      </c>
      <c r="N80" s="0" t="n">
        <f aca="false">VLOOKUP(A80,'Team Data'!$A$1:$P$133,3,FALSE())</f>
        <v>8</v>
      </c>
      <c r="O80" s="0" t="n">
        <f aca="false">VLOOKUP(B80,'Team Data'!$A$1:$P$133,2,FALSE())</f>
        <v>3</v>
      </c>
      <c r="P80" s="0" t="n">
        <f aca="false">VLOOKUP(B80,'Team Data'!$A$1:$P$133,3,FALSE())</f>
        <v>9</v>
      </c>
      <c r="Q80" s="0" t="n">
        <f aca="false">VLOOKUP(A80,'Team Data'!$A$1:$P$133,4,FALSE())</f>
        <v>72</v>
      </c>
      <c r="R80" s="0" t="n">
        <f aca="false">VLOOKUP(A80,'Team Data'!$A$1:$P$133,5,FALSE())</f>
        <v>174</v>
      </c>
      <c r="S80" s="0" t="n">
        <f aca="false">VLOOKUP(B80,'Team Data'!$A$1:$P$133,4,FALSE())</f>
        <v>77</v>
      </c>
      <c r="T80" s="0" t="n">
        <f aca="false">VLOOKUP(B80,'Team Data'!$A$1:$P$133,5,FALSE())</f>
        <v>69</v>
      </c>
      <c r="U80" s="0" t="n">
        <f aca="false">IF(K80=1,(MIN(35,(C80-D80)))*(O80/(O80+P80))*(S80/(S80+T80)),(MAX(-35,(C80-D80)))*(IF(P80=0,0.1,(P80/(O80+P80))))*(T80/(S80+T80)))</f>
        <v>-1.06335616438356</v>
      </c>
      <c r="V80" s="0" t="n">
        <f aca="false">IF(L80=1,(MIN(35,(D80-C80)))*(M80/(M80+N80))*(Q80/(Q80+R80)),(MAX(-35,(D80-C80)))*(IF(N80=0,0.1,(N80/(M80+N80))))*(R80/(R80+Q80)))</f>
        <v>0.239467849223947</v>
      </c>
    </row>
    <row r="81" customFormat="false" ht="15" hidden="false" customHeight="false" outlineLevel="0" collapsed="false">
      <c r="A81" s="0" t="s">
        <v>25</v>
      </c>
      <c r="B81" s="0" t="s">
        <v>36</v>
      </c>
      <c r="C81" s="0" t="n">
        <v>13</v>
      </c>
      <c r="D81" s="0" t="n">
        <v>43</v>
      </c>
      <c r="E81" s="0" t="n">
        <v>62</v>
      </c>
      <c r="F81" s="0" t="n">
        <v>218</v>
      </c>
      <c r="G81" s="0" t="n">
        <v>217</v>
      </c>
      <c r="H81" s="0" t="n">
        <v>264</v>
      </c>
      <c r="I81" s="0" t="n">
        <v>1</v>
      </c>
      <c r="J81" s="0" t="n">
        <v>0</v>
      </c>
      <c r="K81" s="0" t="n">
        <v>0</v>
      </c>
      <c r="L81" s="0" t="n">
        <v>1</v>
      </c>
      <c r="M81" s="0" t="n">
        <f aca="false">VLOOKUP(A81,'Team Data'!$A$1:$P$133,2,FALSE())</f>
        <v>3</v>
      </c>
      <c r="N81" s="0" t="n">
        <f aca="false">VLOOKUP(A81,'Team Data'!$A$1:$P$133,3,FALSE())</f>
        <v>9</v>
      </c>
      <c r="O81" s="0" t="n">
        <f aca="false">VLOOKUP(B81,'Team Data'!$A$1:$P$133,2,FALSE())</f>
        <v>5</v>
      </c>
      <c r="P81" s="0" t="n">
        <f aca="false">VLOOKUP(B81,'Team Data'!$A$1:$P$133,3,FALSE())</f>
        <v>7</v>
      </c>
      <c r="Q81" s="0" t="n">
        <f aca="false">VLOOKUP(A81,'Team Data'!$A$1:$P$133,4,FALSE())</f>
        <v>74</v>
      </c>
      <c r="R81" s="0" t="n">
        <f aca="false">VLOOKUP(A81,'Team Data'!$A$1:$P$133,5,FALSE())</f>
        <v>185</v>
      </c>
      <c r="S81" s="0" t="n">
        <f aca="false">VLOOKUP(B81,'Team Data'!$A$1:$P$133,4,FALSE())</f>
        <v>83</v>
      </c>
      <c r="T81" s="0" t="n">
        <f aca="false">VLOOKUP(B81,'Team Data'!$A$1:$P$133,5,FALSE())</f>
        <v>182</v>
      </c>
      <c r="U81" s="0" t="n">
        <f aca="false">IF(K81=1,(MIN(35,(C81-D81)))*(O81/(O81+P81))*(S81/(S81+T81)),(MAX(-35,(C81-D81)))*(IF(P81=0,0.1,(P81/(O81+P81))))*(T81/(S81+T81)))</f>
        <v>-12.0188679245283</v>
      </c>
      <c r="V81" s="0" t="n">
        <f aca="false">IF(L81=1,(MIN(35,(D81-C81)))*(M81/(M81+N81))*(Q81/(Q81+R81)),(MAX(-35,(D81-C81)))*(IF(N81=0,0.1,(N81/(M81+N81))))*(R81/(R81+Q81)))</f>
        <v>2.14285714285714</v>
      </c>
    </row>
    <row r="82" customFormat="false" ht="15" hidden="false" customHeight="false" outlineLevel="0" collapsed="false">
      <c r="A82" s="0" t="s">
        <v>78</v>
      </c>
      <c r="B82" s="0" t="s">
        <v>122</v>
      </c>
      <c r="C82" s="0" t="n">
        <v>31</v>
      </c>
      <c r="D82" s="0" t="n">
        <v>13</v>
      </c>
      <c r="E82" s="0" t="n">
        <v>163</v>
      </c>
      <c r="F82" s="0" t="n">
        <v>107</v>
      </c>
      <c r="G82" s="0" t="n">
        <v>236</v>
      </c>
      <c r="H82" s="0" t="n">
        <v>293</v>
      </c>
      <c r="I82" s="0" t="n">
        <v>1</v>
      </c>
      <c r="J82" s="0" t="n">
        <v>1</v>
      </c>
      <c r="K82" s="0" t="n">
        <v>1</v>
      </c>
      <c r="L82" s="0" t="n">
        <v>0</v>
      </c>
      <c r="M82" s="0" t="n">
        <f aca="false">VLOOKUP(A82,'Team Data'!$A$1:$P$133,2,FALSE())</f>
        <v>7</v>
      </c>
      <c r="N82" s="0" t="n">
        <f aca="false">VLOOKUP(A82,'Team Data'!$A$1:$P$133,3,FALSE())</f>
        <v>7</v>
      </c>
      <c r="O82" s="0" t="n">
        <f aca="false">VLOOKUP(B82,'Team Data'!$A$1:$P$133,2,FALSE())</f>
        <v>5</v>
      </c>
      <c r="P82" s="0" t="n">
        <f aca="false">VLOOKUP(B82,'Team Data'!$A$1:$P$133,3,FALSE())</f>
        <v>7</v>
      </c>
      <c r="Q82" s="0" t="n">
        <f aca="false">VLOOKUP(A82,'Team Data'!$A$1:$P$133,4,FALSE())</f>
        <v>97</v>
      </c>
      <c r="R82" s="0" t="n">
        <f aca="false">VLOOKUP(A82,'Team Data'!$A$1:$P$133,5,FALSE())</f>
        <v>191</v>
      </c>
      <c r="S82" s="0" t="n">
        <f aca="false">VLOOKUP(B82,'Team Data'!$A$1:$P$133,4,FALSE())</f>
        <v>71</v>
      </c>
      <c r="T82" s="0" t="n">
        <f aca="false">VLOOKUP(B82,'Team Data'!$A$1:$P$133,5,FALSE())</f>
        <v>83</v>
      </c>
      <c r="U82" s="0" t="n">
        <f aca="false">IF(K82=1,(MIN(35,(C82-D82)))*(O82/(O82+P82))*(S82/(S82+T82)),(MAX(-35,(C82-D82)))*(IF(P82=0,0.1,(P82/(O82+P82))))*(T82/(S82+T82)))</f>
        <v>3.45779220779221</v>
      </c>
      <c r="V82" s="0" t="n">
        <f aca="false">IF(L82=1,(MIN(35,(D82-C82)))*(M82/(M82+N82))*(Q82/(Q82+R82)),(MAX(-35,(D82-C82)))*(IF(N82=0,0.1,(N82/(M82+N82))))*(R82/(R82+Q82)))</f>
        <v>-5.96875</v>
      </c>
    </row>
    <row r="83" customFormat="false" ht="15" hidden="false" customHeight="false" outlineLevel="0" collapsed="false">
      <c r="A83" s="0" t="s">
        <v>198</v>
      </c>
      <c r="B83" s="0" t="s">
        <v>133</v>
      </c>
      <c r="C83" s="0" t="n">
        <v>27</v>
      </c>
      <c r="D83" s="0" t="n">
        <v>38</v>
      </c>
      <c r="E83" s="0" t="n">
        <v>171</v>
      </c>
      <c r="F83" s="0" t="n">
        <v>108</v>
      </c>
      <c r="G83" s="0" t="n">
        <v>156</v>
      </c>
      <c r="H83" s="0" t="n">
        <v>279</v>
      </c>
      <c r="I83" s="0" t="n">
        <v>4</v>
      </c>
      <c r="J83" s="0" t="n">
        <v>1</v>
      </c>
      <c r="K83" s="0" t="n">
        <v>0</v>
      </c>
      <c r="L83" s="0" t="n">
        <v>1</v>
      </c>
      <c r="M83" s="0" t="n">
        <f aca="false">VLOOKUP(A83,'Team Data'!$A$1:$P$133,2,FALSE())</f>
        <v>8</v>
      </c>
      <c r="N83" s="0" t="n">
        <f aca="false">VLOOKUP(A83,'Team Data'!$A$1:$P$133,3,FALSE())</f>
        <v>112</v>
      </c>
      <c r="O83" s="0" t="n">
        <f aca="false">VLOOKUP(B83,'Team Data'!$A$1:$P$133,2,FALSE())</f>
        <v>9</v>
      </c>
      <c r="P83" s="0" t="n">
        <f aca="false">VLOOKUP(B83,'Team Data'!$A$1:$P$133,3,FALSE())</f>
        <v>5</v>
      </c>
      <c r="Q83" s="0" t="n">
        <f aca="false">VLOOKUP(A83,'Team Data'!$A$1:$P$133,4,FALSE())</f>
        <v>805</v>
      </c>
      <c r="R83" s="0" t="n">
        <f aca="false">VLOOKUP(A83,'Team Data'!$A$1:$P$133,5,FALSE())</f>
        <v>725</v>
      </c>
      <c r="S83" s="0" t="n">
        <f aca="false">VLOOKUP(B83,'Team Data'!$A$1:$P$133,4,FALSE())</f>
        <v>92</v>
      </c>
      <c r="T83" s="0" t="n">
        <f aca="false">VLOOKUP(B83,'Team Data'!$A$1:$P$133,5,FALSE())</f>
        <v>195</v>
      </c>
      <c r="U83" s="0" t="n">
        <f aca="false">IF(K83=1,(MIN(35,(C83-D83)))*(O83/(O83+P83))*(S83/(S83+T83)),(MAX(-35,(C83-D83)))*(IF(P83=0,0.1,(P83/(O83+P83))))*(T83/(S83+T83)))</f>
        <v>-2.66923842707815</v>
      </c>
      <c r="V83" s="0" t="n">
        <f aca="false">IF(L83=1,(MIN(35,(D83-C83)))*(M83/(M83+N83))*(Q83/(Q83+R83)),(MAX(-35,(D83-C83)))*(IF(N83=0,0.1,(N83/(M83+N83))))*(R83/(R83+Q83)))</f>
        <v>0.385838779956427</v>
      </c>
    </row>
    <row r="84" customFormat="false" ht="15" hidden="false" customHeight="false" outlineLevel="0" collapsed="false">
      <c r="A84" s="0" t="s">
        <v>198</v>
      </c>
      <c r="B84" s="0" t="s">
        <v>34</v>
      </c>
      <c r="C84" s="0" t="n">
        <v>37</v>
      </c>
      <c r="D84" s="0" t="n">
        <v>38</v>
      </c>
      <c r="E84" s="0" t="n">
        <v>121</v>
      </c>
      <c r="F84" s="0" t="n">
        <v>67</v>
      </c>
      <c r="G84" s="0" t="n">
        <v>349</v>
      </c>
      <c r="H84" s="0" t="n">
        <v>310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f aca="false">VLOOKUP(A84,'Team Data'!$A$1:$P$133,2,FALSE())</f>
        <v>8</v>
      </c>
      <c r="N84" s="0" t="n">
        <f aca="false">VLOOKUP(A84,'Team Data'!$A$1:$P$133,3,FALSE())</f>
        <v>112</v>
      </c>
      <c r="O84" s="0" t="n">
        <f aca="false">VLOOKUP(B84,'Team Data'!$A$1:$P$133,2,FALSE())</f>
        <v>4</v>
      </c>
      <c r="P84" s="0" t="n">
        <f aca="false">VLOOKUP(B84,'Team Data'!$A$1:$P$133,3,FALSE())</f>
        <v>8</v>
      </c>
      <c r="Q84" s="0" t="n">
        <f aca="false">VLOOKUP(A84,'Team Data'!$A$1:$P$133,4,FALSE())</f>
        <v>805</v>
      </c>
      <c r="R84" s="0" t="n">
        <f aca="false">VLOOKUP(A84,'Team Data'!$A$1:$P$133,5,FALSE())</f>
        <v>725</v>
      </c>
      <c r="S84" s="0" t="n">
        <f aca="false">VLOOKUP(B84,'Team Data'!$A$1:$P$133,4,FALSE())</f>
        <v>76</v>
      </c>
      <c r="T84" s="0" t="n">
        <f aca="false">VLOOKUP(B84,'Team Data'!$A$1:$P$133,5,FALSE())</f>
        <v>185</v>
      </c>
      <c r="U84" s="0" t="n">
        <f aca="false">IF(K84=1,(MIN(35,(C84-D84)))*(O84/(O84+P84))*(S84/(S84+T84)),(MAX(-35,(C84-D84)))*(IF(P84=0,0.1,(P84/(O84+P84))))*(T84/(S84+T84)))</f>
        <v>-0.472541507024266</v>
      </c>
      <c r="V84" s="0" t="n">
        <f aca="false">IF(L84=1,(MIN(35,(D84-C84)))*(M84/(M84+N84))*(Q84/(Q84+R84)),(MAX(-35,(D84-C84)))*(IF(N84=0,0.1,(N84/(M84+N84))))*(R84/(R84+Q84)))</f>
        <v>0.0350762527233115</v>
      </c>
    </row>
    <row r="85" customFormat="false" ht="15" hidden="false" customHeight="false" outlineLevel="0" collapsed="false">
      <c r="A85" s="0" t="s">
        <v>198</v>
      </c>
      <c r="B85" s="0" t="s">
        <v>114</v>
      </c>
      <c r="C85" s="0" t="n">
        <v>0</v>
      </c>
      <c r="D85" s="0" t="n">
        <v>59</v>
      </c>
      <c r="E85" s="0" t="n">
        <v>98</v>
      </c>
      <c r="F85" s="0" t="n">
        <v>231</v>
      </c>
      <c r="G85" s="0" t="n">
        <v>137</v>
      </c>
      <c r="H85" s="0" t="n">
        <v>247</v>
      </c>
      <c r="I85" s="0" t="n">
        <v>4</v>
      </c>
      <c r="J85" s="0" t="n">
        <v>1</v>
      </c>
      <c r="K85" s="0" t="n">
        <v>0</v>
      </c>
      <c r="L85" s="0" t="n">
        <v>1</v>
      </c>
      <c r="M85" s="0" t="n">
        <f aca="false">VLOOKUP(A85,'Team Data'!$A$1:$P$133,2,FALSE())</f>
        <v>8</v>
      </c>
      <c r="N85" s="0" t="n">
        <f aca="false">VLOOKUP(A85,'Team Data'!$A$1:$P$133,3,FALSE())</f>
        <v>112</v>
      </c>
      <c r="O85" s="0" t="n">
        <f aca="false">VLOOKUP(B85,'Team Data'!$A$1:$P$133,2,FALSE())</f>
        <v>7</v>
      </c>
      <c r="P85" s="0" t="n">
        <f aca="false">VLOOKUP(B85,'Team Data'!$A$1:$P$133,3,FALSE())</f>
        <v>6</v>
      </c>
      <c r="Q85" s="0" t="n">
        <f aca="false">VLOOKUP(A85,'Team Data'!$A$1:$P$133,4,FALSE())</f>
        <v>805</v>
      </c>
      <c r="R85" s="0" t="n">
        <f aca="false">VLOOKUP(A85,'Team Data'!$A$1:$P$133,5,FALSE())</f>
        <v>725</v>
      </c>
      <c r="S85" s="0" t="n">
        <f aca="false">VLOOKUP(B85,'Team Data'!$A$1:$P$133,4,FALSE())</f>
        <v>89</v>
      </c>
      <c r="T85" s="0" t="n">
        <f aca="false">VLOOKUP(B85,'Team Data'!$A$1:$P$133,5,FALSE())</f>
        <v>188</v>
      </c>
      <c r="U85" s="0" t="n">
        <f aca="false">IF(K85=1,(MIN(35,(C85-D85)))*(O85/(O85+P85))*(S85/(S85+T85)),(MAX(-35,(C85-D85)))*(IF(P85=0,0.1,(P85/(O85+P85))))*(T85/(S85+T85)))</f>
        <v>-10.9636212163288</v>
      </c>
      <c r="V85" s="0" t="n">
        <f aca="false">IF(L85=1,(MIN(35,(D85-C85)))*(M85/(M85+N85))*(Q85/(Q85+R85)),(MAX(-35,(D85-C85)))*(IF(N85=0,0.1,(N85/(M85+N85))))*(R85/(R85+Q85)))</f>
        <v>1.2276688453159</v>
      </c>
    </row>
    <row r="86" customFormat="false" ht="15" hidden="false" customHeight="false" outlineLevel="0" collapsed="false">
      <c r="A86" s="0" t="s">
        <v>198</v>
      </c>
      <c r="B86" s="0" t="s">
        <v>25</v>
      </c>
      <c r="C86" s="0" t="n">
        <v>41</v>
      </c>
      <c r="D86" s="0" t="n">
        <v>24</v>
      </c>
      <c r="E86" s="0" t="n">
        <v>303</v>
      </c>
      <c r="F86" s="0" t="n">
        <v>131</v>
      </c>
      <c r="G86" s="0" t="n">
        <v>256</v>
      </c>
      <c r="H86" s="0" t="n">
        <v>248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f aca="false">VLOOKUP(A86,'Team Data'!$A$1:$P$133,2,FALSE())</f>
        <v>8</v>
      </c>
      <c r="N86" s="0" t="n">
        <f aca="false">VLOOKUP(A86,'Team Data'!$A$1:$P$133,3,FALSE())</f>
        <v>112</v>
      </c>
      <c r="O86" s="0" t="n">
        <f aca="false">VLOOKUP(B86,'Team Data'!$A$1:$P$133,2,FALSE())</f>
        <v>3</v>
      </c>
      <c r="P86" s="0" t="n">
        <f aca="false">VLOOKUP(B86,'Team Data'!$A$1:$P$133,3,FALSE())</f>
        <v>9</v>
      </c>
      <c r="Q86" s="0" t="n">
        <f aca="false">VLOOKUP(A86,'Team Data'!$A$1:$P$133,4,FALSE())</f>
        <v>805</v>
      </c>
      <c r="R86" s="0" t="n">
        <f aca="false">VLOOKUP(A86,'Team Data'!$A$1:$P$133,5,FALSE())</f>
        <v>725</v>
      </c>
      <c r="S86" s="0" t="n">
        <f aca="false">VLOOKUP(B86,'Team Data'!$A$1:$P$133,4,FALSE())</f>
        <v>74</v>
      </c>
      <c r="T86" s="0" t="n">
        <f aca="false">VLOOKUP(B86,'Team Data'!$A$1:$P$133,5,FALSE())</f>
        <v>185</v>
      </c>
      <c r="U86" s="0" t="n">
        <f aca="false">IF(K86=1,(MIN(35,(C86-D86)))*(O86/(O86+P86))*(S86/(S86+T86)),(MAX(-35,(C86-D86)))*(IF(P86=0,0.1,(P86/(O86+P86))))*(T86/(S86+T86)))</f>
        <v>1.21428571428571</v>
      </c>
      <c r="V86" s="0" t="n">
        <f aca="false">IF(L86=1,(MIN(35,(D86-C86)))*(M86/(M86+N86))*(Q86/(Q86+R86)),(MAX(-35,(D86-C86)))*(IF(N86=0,0.1,(N86/(M86+N86))))*(R86/(R86+Q86)))</f>
        <v>-7.51851851851852</v>
      </c>
    </row>
    <row r="87" customFormat="false" ht="15" hidden="false" customHeight="false" outlineLevel="0" collapsed="false">
      <c r="A87" s="0" t="s">
        <v>36</v>
      </c>
      <c r="B87" s="0" t="s">
        <v>82</v>
      </c>
      <c r="C87" s="0" t="n">
        <v>38</v>
      </c>
      <c r="D87" s="0" t="n">
        <v>41</v>
      </c>
      <c r="E87" s="0" t="n">
        <v>100</v>
      </c>
      <c r="F87" s="0" t="n">
        <v>131</v>
      </c>
      <c r="G87" s="0" t="n">
        <v>364</v>
      </c>
      <c r="H87" s="0" t="n">
        <v>345</v>
      </c>
      <c r="I87" s="0" t="n">
        <v>2</v>
      </c>
      <c r="J87" s="0" t="n">
        <v>0</v>
      </c>
      <c r="K87" s="0" t="n">
        <v>0</v>
      </c>
      <c r="L87" s="0" t="n">
        <v>1</v>
      </c>
      <c r="M87" s="0" t="n">
        <f aca="false">VLOOKUP(A87,'Team Data'!$A$1:$P$133,2,FALSE())</f>
        <v>5</v>
      </c>
      <c r="N87" s="0" t="n">
        <f aca="false">VLOOKUP(A87,'Team Data'!$A$1:$P$133,3,FALSE())</f>
        <v>7</v>
      </c>
      <c r="O87" s="0" t="n">
        <f aca="false">VLOOKUP(B87,'Team Data'!$A$1:$P$133,2,FALSE())</f>
        <v>10</v>
      </c>
      <c r="P87" s="0" t="n">
        <f aca="false">VLOOKUP(B87,'Team Data'!$A$1:$P$133,3,FALSE())</f>
        <v>4</v>
      </c>
      <c r="Q87" s="0" t="n">
        <f aca="false">VLOOKUP(A87,'Team Data'!$A$1:$P$133,4,FALSE())</f>
        <v>83</v>
      </c>
      <c r="R87" s="0" t="n">
        <f aca="false">VLOOKUP(A87,'Team Data'!$A$1:$P$133,5,FALSE())</f>
        <v>182</v>
      </c>
      <c r="S87" s="0" t="n">
        <f aca="false">VLOOKUP(B87,'Team Data'!$A$1:$P$133,4,FALSE())</f>
        <v>83</v>
      </c>
      <c r="T87" s="0" t="n">
        <f aca="false">VLOOKUP(B87,'Team Data'!$A$1:$P$133,5,FALSE())</f>
        <v>200</v>
      </c>
      <c r="U87" s="0" t="n">
        <f aca="false">IF(K87=1,(MIN(35,(C87-D87)))*(O87/(O87+P87))*(S87/(S87+T87)),(MAX(-35,(C87-D87)))*(IF(P87=0,0.1,(P87/(O87+P87))))*(T87/(S87+T87)))</f>
        <v>-0.60575466935891</v>
      </c>
      <c r="V87" s="0" t="n">
        <f aca="false">IF(L87=1,(MIN(35,(D87-C87)))*(M87/(M87+N87))*(Q87/(Q87+R87)),(MAX(-35,(D87-C87)))*(IF(N87=0,0.1,(N87/(M87+N87))))*(R87/(R87+Q87)))</f>
        <v>0.391509433962264</v>
      </c>
    </row>
    <row r="88" customFormat="false" ht="15" hidden="false" customHeight="false" outlineLevel="0" collapsed="false">
      <c r="A88" s="0" t="s">
        <v>57</v>
      </c>
      <c r="B88" s="0" t="s">
        <v>70</v>
      </c>
      <c r="C88" s="0" t="n">
        <v>24</v>
      </c>
      <c r="D88" s="0" t="n">
        <v>52</v>
      </c>
      <c r="E88" s="0" t="n">
        <v>11</v>
      </c>
      <c r="F88" s="0" t="n">
        <v>323</v>
      </c>
      <c r="G88" s="0" t="n">
        <v>336</v>
      </c>
      <c r="H88" s="0" t="n">
        <v>235</v>
      </c>
      <c r="I88" s="0" t="n">
        <v>3</v>
      </c>
      <c r="J88" s="0" t="n">
        <v>2</v>
      </c>
      <c r="K88" s="0" t="n">
        <v>0</v>
      </c>
      <c r="L88" s="0" t="n">
        <v>1</v>
      </c>
      <c r="M88" s="0" t="n">
        <f aca="false">VLOOKUP(A88,'Team Data'!$A$1:$P$133,2,FALSE())</f>
        <v>3</v>
      </c>
      <c r="N88" s="0" t="n">
        <f aca="false">VLOOKUP(A88,'Team Data'!$A$1:$P$133,3,FALSE())</f>
        <v>9</v>
      </c>
      <c r="O88" s="0" t="n">
        <f aca="false">VLOOKUP(B88,'Team Data'!$A$1:$P$133,2,FALSE())</f>
        <v>6</v>
      </c>
      <c r="P88" s="0" t="n">
        <f aca="false">VLOOKUP(B88,'Team Data'!$A$1:$P$133,3,FALSE())</f>
        <v>7</v>
      </c>
      <c r="Q88" s="0" t="n">
        <f aca="false">VLOOKUP(A88,'Team Data'!$A$1:$P$133,4,FALSE())</f>
        <v>85</v>
      </c>
      <c r="R88" s="0" t="n">
        <f aca="false">VLOOKUP(A88,'Team Data'!$A$1:$P$133,5,FALSE())</f>
        <v>178</v>
      </c>
      <c r="S88" s="0" t="n">
        <f aca="false">VLOOKUP(B88,'Team Data'!$A$1:$P$133,4,FALSE())</f>
        <v>100</v>
      </c>
      <c r="T88" s="0" t="n">
        <f aca="false">VLOOKUP(B88,'Team Data'!$A$1:$P$133,5,FALSE())</f>
        <v>176</v>
      </c>
      <c r="U88" s="0" t="n">
        <f aca="false">IF(K88=1,(MIN(35,(C88-D88)))*(O88/(O88+P88))*(S88/(S88+T88)),(MAX(-35,(C88-D88)))*(IF(P88=0,0.1,(P88/(O88+P88))))*(T88/(S88+T88)))</f>
        <v>-9.61426978818283</v>
      </c>
      <c r="V88" s="0" t="n">
        <f aca="false">IF(L88=1,(MIN(35,(D88-C88)))*(M88/(M88+N88))*(Q88/(Q88+R88)),(MAX(-35,(D88-C88)))*(IF(N88=0,0.1,(N88/(M88+N88))))*(R88/(R88+Q88)))</f>
        <v>2.26235741444867</v>
      </c>
    </row>
    <row r="89" customFormat="false" ht="15" hidden="false" customHeight="false" outlineLevel="0" collapsed="false">
      <c r="A89" s="0" t="s">
        <v>67</v>
      </c>
      <c r="B89" s="0" t="s">
        <v>49</v>
      </c>
      <c r="C89" s="0" t="n">
        <v>7</v>
      </c>
      <c r="D89" s="0" t="n">
        <v>44</v>
      </c>
      <c r="E89" s="0" t="n">
        <v>12</v>
      </c>
      <c r="F89" s="0" t="n">
        <v>261</v>
      </c>
      <c r="G89" s="0" t="n">
        <v>107</v>
      </c>
      <c r="H89" s="0" t="n">
        <v>287</v>
      </c>
      <c r="I89" s="0" t="n">
        <v>1</v>
      </c>
      <c r="J89" s="0" t="n">
        <v>0</v>
      </c>
      <c r="K89" s="0" t="n">
        <v>0</v>
      </c>
      <c r="L89" s="0" t="n">
        <v>1</v>
      </c>
      <c r="M89" s="0" t="n">
        <f aca="false">VLOOKUP(A89,'Team Data'!$A$1:$P$133,2,FALSE())</f>
        <v>8</v>
      </c>
      <c r="N89" s="0" t="n">
        <f aca="false">VLOOKUP(A89,'Team Data'!$A$1:$P$133,3,FALSE())</f>
        <v>5</v>
      </c>
      <c r="O89" s="0" t="n">
        <f aca="false">VLOOKUP(B89,'Team Data'!$A$1:$P$133,2,FALSE())</f>
        <v>8</v>
      </c>
      <c r="P89" s="0" t="n">
        <f aca="false">VLOOKUP(B89,'Team Data'!$A$1:$P$133,3,FALSE())</f>
        <v>3</v>
      </c>
      <c r="Q89" s="0" t="n">
        <f aca="false">VLOOKUP(A89,'Team Data'!$A$1:$P$133,4,FALSE())</f>
        <v>78</v>
      </c>
      <c r="R89" s="0" t="n">
        <f aca="false">VLOOKUP(A89,'Team Data'!$A$1:$P$133,5,FALSE())</f>
        <v>191</v>
      </c>
      <c r="S89" s="0" t="n">
        <f aca="false">VLOOKUP(B89,'Team Data'!$A$1:$P$133,4,FALSE())</f>
        <v>68</v>
      </c>
      <c r="T89" s="0" t="n">
        <f aca="false">VLOOKUP(B89,'Team Data'!$A$1:$P$133,5,FALSE())</f>
        <v>177</v>
      </c>
      <c r="U89" s="0" t="n">
        <f aca="false">IF(K89=1,(MIN(35,(C89-D89)))*(O89/(O89+P89))*(S89/(S89+T89)),(MAX(-35,(C89-D89)))*(IF(P89=0,0.1,(P89/(O89+P89))))*(T89/(S89+T89)))</f>
        <v>-6.8961038961039</v>
      </c>
      <c r="V89" s="0" t="n">
        <f aca="false">IF(L89=1,(MIN(35,(D89-C89)))*(M89/(M89+N89))*(Q89/(Q89+R89)),(MAX(-35,(D89-C89)))*(IF(N89=0,0.1,(N89/(M89+N89))))*(R89/(R89+Q89)))</f>
        <v>6.2453531598513</v>
      </c>
    </row>
    <row r="90" customFormat="false" ht="15" hidden="false" customHeight="false" outlineLevel="0" collapsed="false">
      <c r="A90" s="0" t="s">
        <v>95</v>
      </c>
      <c r="B90" s="0" t="s">
        <v>78</v>
      </c>
      <c r="C90" s="0" t="n">
        <v>48</v>
      </c>
      <c r="D90" s="0" t="n">
        <v>10</v>
      </c>
      <c r="E90" s="0" t="n">
        <v>150</v>
      </c>
      <c r="F90" s="0" t="n">
        <v>202</v>
      </c>
      <c r="G90" s="0" t="n">
        <v>426</v>
      </c>
      <c r="H90" s="0" t="n">
        <v>220</v>
      </c>
      <c r="I90" s="0" t="n">
        <v>2</v>
      </c>
      <c r="J90" s="0" t="n">
        <v>3</v>
      </c>
      <c r="K90" s="0" t="n">
        <v>1</v>
      </c>
      <c r="L90" s="0" t="n">
        <v>0</v>
      </c>
      <c r="M90" s="0" t="n">
        <f aca="false">VLOOKUP(A90,'Team Data'!$A$1:$P$133,2,FALSE())</f>
        <v>7</v>
      </c>
      <c r="N90" s="0" t="n">
        <f aca="false">VLOOKUP(A90,'Team Data'!$A$1:$P$133,3,FALSE())</f>
        <v>6</v>
      </c>
      <c r="O90" s="0" t="n">
        <f aca="false">VLOOKUP(B90,'Team Data'!$A$1:$P$133,2,FALSE())</f>
        <v>7</v>
      </c>
      <c r="P90" s="0" t="n">
        <f aca="false">VLOOKUP(B90,'Team Data'!$A$1:$P$133,3,FALSE())</f>
        <v>7</v>
      </c>
      <c r="Q90" s="0" t="n">
        <f aca="false">VLOOKUP(A90,'Team Data'!$A$1:$P$133,4,FALSE())</f>
        <v>99</v>
      </c>
      <c r="R90" s="0" t="n">
        <f aca="false">VLOOKUP(A90,'Team Data'!$A$1:$P$133,5,FALSE())</f>
        <v>179</v>
      </c>
      <c r="S90" s="0" t="n">
        <f aca="false">VLOOKUP(B90,'Team Data'!$A$1:$P$133,4,FALSE())</f>
        <v>97</v>
      </c>
      <c r="T90" s="0" t="n">
        <f aca="false">VLOOKUP(B90,'Team Data'!$A$1:$P$133,5,FALSE())</f>
        <v>191</v>
      </c>
      <c r="U90" s="0" t="n">
        <f aca="false">IF(K90=1,(MIN(35,(C90-D90)))*(O90/(O90+P90))*(S90/(S90+T90)),(MAX(-35,(C90-D90)))*(IF(P90=0,0.1,(P90/(O90+P90))))*(T90/(S90+T90)))</f>
        <v>5.89409722222222</v>
      </c>
      <c r="V90" s="0" t="n">
        <f aca="false">IF(L90=1,(MIN(35,(D90-C90)))*(M90/(M90+N90))*(Q90/(Q90+R90)),(MAX(-35,(D90-C90)))*(IF(N90=0,0.1,(N90/(M90+N90))))*(R90/(R90+Q90)))</f>
        <v>-10.4012174875484</v>
      </c>
    </row>
    <row r="91" customFormat="false" ht="15" hidden="false" customHeight="false" outlineLevel="0" collapsed="false">
      <c r="A91" s="0" t="s">
        <v>93</v>
      </c>
      <c r="B91" s="0" t="s">
        <v>120</v>
      </c>
      <c r="C91" s="0" t="n">
        <v>14</v>
      </c>
      <c r="D91" s="0" t="n">
        <v>66</v>
      </c>
      <c r="E91" s="0" t="n">
        <v>146</v>
      </c>
      <c r="F91" s="0" t="n">
        <v>208</v>
      </c>
      <c r="G91" s="0" t="n">
        <v>134</v>
      </c>
      <c r="H91" s="0" t="n">
        <v>330</v>
      </c>
      <c r="I91" s="0" t="n">
        <v>4</v>
      </c>
      <c r="J91" s="0" t="n">
        <v>0</v>
      </c>
      <c r="K91" s="0" t="n">
        <v>0</v>
      </c>
      <c r="L91" s="0" t="n">
        <v>1</v>
      </c>
      <c r="M91" s="0" t="n">
        <f aca="false">VLOOKUP(A91,'Team Data'!$A$1:$P$133,2,FALSE())</f>
        <v>5</v>
      </c>
      <c r="N91" s="0" t="n">
        <f aca="false">VLOOKUP(A91,'Team Data'!$A$1:$P$133,3,FALSE())</f>
        <v>8</v>
      </c>
      <c r="O91" s="0" t="n">
        <f aca="false">VLOOKUP(B91,'Team Data'!$A$1:$P$133,2,FALSE())</f>
        <v>11</v>
      </c>
      <c r="P91" s="0" t="n">
        <f aca="false">VLOOKUP(B91,'Team Data'!$A$1:$P$133,3,FALSE())</f>
        <v>3</v>
      </c>
      <c r="Q91" s="0" t="n">
        <f aca="false">VLOOKUP(A91,'Team Data'!$A$1:$P$133,4,FALSE())</f>
        <v>90</v>
      </c>
      <c r="R91" s="0" t="n">
        <f aca="false">VLOOKUP(A91,'Team Data'!$A$1:$P$133,5,FALSE())</f>
        <v>186</v>
      </c>
      <c r="S91" s="0" t="n">
        <f aca="false">VLOOKUP(B91,'Team Data'!$A$1:$P$133,4,FALSE())</f>
        <v>98</v>
      </c>
      <c r="T91" s="0" t="n">
        <f aca="false">VLOOKUP(B91,'Team Data'!$A$1:$P$133,5,FALSE())</f>
        <v>83</v>
      </c>
      <c r="U91" s="0" t="n">
        <f aca="false">IF(K91=1,(MIN(35,(C91-D91)))*(O91/(O91+P91))*(S91/(S91+T91)),(MAX(-35,(C91-D91)))*(IF(P91=0,0.1,(P91/(O91+P91))))*(T91/(S91+T91)))</f>
        <v>-3.43922651933702</v>
      </c>
      <c r="V91" s="0" t="n">
        <f aca="false">IF(L91=1,(MIN(35,(D91-C91)))*(M91/(M91+N91))*(Q91/(Q91+R91)),(MAX(-35,(D91-C91)))*(IF(N91=0,0.1,(N91/(M91+N91))))*(R91/(R91+Q91)))</f>
        <v>4.38963210702341</v>
      </c>
    </row>
    <row r="92" customFormat="false" ht="15" hidden="false" customHeight="false" outlineLevel="0" collapsed="false">
      <c r="A92" s="0" t="s">
        <v>122</v>
      </c>
      <c r="B92" s="0" t="s">
        <v>84</v>
      </c>
      <c r="C92" s="0" t="n">
        <v>13</v>
      </c>
      <c r="D92" s="0" t="n">
        <v>45</v>
      </c>
      <c r="E92" s="0" t="n">
        <v>28</v>
      </c>
      <c r="F92" s="0" t="n">
        <v>259</v>
      </c>
      <c r="G92" s="0" t="n">
        <v>288</v>
      </c>
      <c r="H92" s="0" t="n">
        <v>233</v>
      </c>
      <c r="I92" s="0" t="n">
        <v>1</v>
      </c>
      <c r="J92" s="0" t="n">
        <v>0</v>
      </c>
      <c r="K92" s="0" t="n">
        <v>0</v>
      </c>
      <c r="L92" s="0" t="n">
        <v>1</v>
      </c>
      <c r="M92" s="0" t="n">
        <f aca="false">VLOOKUP(A92,'Team Data'!$A$1:$P$133,2,FALSE())</f>
        <v>5</v>
      </c>
      <c r="N92" s="0" t="n">
        <f aca="false">VLOOKUP(A92,'Team Data'!$A$1:$P$133,3,FALSE())</f>
        <v>7</v>
      </c>
      <c r="O92" s="0" t="n">
        <f aca="false">VLOOKUP(B92,'Team Data'!$A$1:$P$133,2,FALSE())</f>
        <v>6</v>
      </c>
      <c r="P92" s="0" t="n">
        <f aca="false">VLOOKUP(B92,'Team Data'!$A$1:$P$133,3,FALSE())</f>
        <v>7</v>
      </c>
      <c r="Q92" s="0" t="n">
        <f aca="false">VLOOKUP(A92,'Team Data'!$A$1:$P$133,4,FALSE())</f>
        <v>71</v>
      </c>
      <c r="R92" s="0" t="n">
        <f aca="false">VLOOKUP(A92,'Team Data'!$A$1:$P$133,5,FALSE())</f>
        <v>83</v>
      </c>
      <c r="S92" s="0" t="n">
        <f aca="false">VLOOKUP(B92,'Team Data'!$A$1:$P$133,4,FALSE())</f>
        <v>91</v>
      </c>
      <c r="T92" s="0" t="n">
        <f aca="false">VLOOKUP(B92,'Team Data'!$A$1:$P$133,5,FALSE())</f>
        <v>76</v>
      </c>
      <c r="U92" s="0" t="n">
        <f aca="false">IF(K92=1,(MIN(35,(C92-D92)))*(O92/(O92+P92))*(S92/(S92+T92)),(MAX(-35,(C92-D92)))*(IF(P92=0,0.1,(P92/(O92+P92))))*(T92/(S92+T92)))</f>
        <v>-7.841547673883</v>
      </c>
      <c r="V92" s="0" t="n">
        <f aca="false">IF(L92=1,(MIN(35,(D92-C92)))*(M92/(M92+N92))*(Q92/(Q92+R92)),(MAX(-35,(D92-C92)))*(IF(N92=0,0.1,(N92/(M92+N92))))*(R92/(R92+Q92)))</f>
        <v>6.14718614718615</v>
      </c>
    </row>
    <row r="93" customFormat="false" ht="15" hidden="false" customHeight="false" outlineLevel="0" collapsed="false">
      <c r="A93" s="0" t="s">
        <v>44</v>
      </c>
      <c r="B93" s="0" t="s">
        <v>123</v>
      </c>
      <c r="C93" s="0" t="n">
        <v>37</v>
      </c>
      <c r="D93" s="0" t="n">
        <v>35</v>
      </c>
      <c r="E93" s="0" t="n">
        <v>140</v>
      </c>
      <c r="F93" s="0" t="n">
        <v>104</v>
      </c>
      <c r="G93" s="0" t="n">
        <v>206</v>
      </c>
      <c r="H93" s="0" t="n">
        <v>337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f aca="false">VLOOKUP(A93,'Team Data'!$A$1:$P$133,2,FALSE())</f>
        <v>8</v>
      </c>
      <c r="N93" s="0" t="n">
        <f aca="false">VLOOKUP(A93,'Team Data'!$A$1:$P$133,3,FALSE())</f>
        <v>5</v>
      </c>
      <c r="O93" s="0" t="n">
        <f aca="false">VLOOKUP(B93,'Team Data'!$A$1:$P$133,2,FALSE())</f>
        <v>11</v>
      </c>
      <c r="P93" s="0" t="n">
        <f aca="false">VLOOKUP(B93,'Team Data'!$A$1:$P$133,3,FALSE())</f>
        <v>3</v>
      </c>
      <c r="Q93" s="0" t="n">
        <f aca="false">VLOOKUP(A93,'Team Data'!$A$1:$P$133,4,FALSE())</f>
        <v>83</v>
      </c>
      <c r="R93" s="0" t="n">
        <f aca="false">VLOOKUP(A93,'Team Data'!$A$1:$P$133,5,FALSE())</f>
        <v>84</v>
      </c>
      <c r="S93" s="0" t="n">
        <f aca="false">VLOOKUP(B93,'Team Data'!$A$1:$P$133,4,FALSE())</f>
        <v>97</v>
      </c>
      <c r="T93" s="0" t="n">
        <f aca="false">VLOOKUP(B93,'Team Data'!$A$1:$P$133,5,FALSE())</f>
        <v>192</v>
      </c>
      <c r="U93" s="0" t="n">
        <f aca="false">IF(K93=1,(MIN(35,(C93-D93)))*(O93/(O93+P93))*(S93/(S93+T93)),(MAX(-35,(C93-D93)))*(IF(P93=0,0.1,(P93/(O93+P93))))*(T93/(S93+T93)))</f>
        <v>0.52743450321305</v>
      </c>
      <c r="V93" s="0" t="n">
        <f aca="false">IF(L93=1,(MIN(35,(D93-C93)))*(M93/(M93+N93))*(Q93/(Q93+R93)),(MAX(-35,(D93-C93)))*(IF(N93=0,0.1,(N93/(M93+N93))))*(R93/(R93+Q93)))</f>
        <v>-0.386918470750806</v>
      </c>
    </row>
    <row r="94" customFormat="false" ht="15" hidden="false" customHeight="false" outlineLevel="0" collapsed="false">
      <c r="A94" s="0" t="s">
        <v>133</v>
      </c>
      <c r="B94" s="0" t="s">
        <v>43</v>
      </c>
      <c r="C94" s="0" t="n">
        <v>49</v>
      </c>
      <c r="D94" s="0" t="n">
        <v>17</v>
      </c>
      <c r="E94" s="0" t="n">
        <v>141</v>
      </c>
      <c r="F94" s="0" t="n">
        <v>94</v>
      </c>
      <c r="G94" s="0" t="n">
        <v>271</v>
      </c>
      <c r="H94" s="0" t="n">
        <v>266</v>
      </c>
      <c r="I94" s="0" t="n">
        <v>2</v>
      </c>
      <c r="J94" s="0" t="n">
        <v>6</v>
      </c>
      <c r="K94" s="0" t="n">
        <v>1</v>
      </c>
      <c r="L94" s="0" t="n">
        <v>0</v>
      </c>
      <c r="M94" s="0" t="n">
        <f aca="false">VLOOKUP(A94,'Team Data'!$A$1:$P$133,2,FALSE())</f>
        <v>9</v>
      </c>
      <c r="N94" s="0" t="n">
        <f aca="false">VLOOKUP(A94,'Team Data'!$A$1:$P$133,3,FALSE())</f>
        <v>5</v>
      </c>
      <c r="O94" s="0" t="n">
        <f aca="false">VLOOKUP(B94,'Team Data'!$A$1:$P$133,2,FALSE())</f>
        <v>3</v>
      </c>
      <c r="P94" s="0" t="n">
        <f aca="false">VLOOKUP(B94,'Team Data'!$A$1:$P$133,3,FALSE())</f>
        <v>10</v>
      </c>
      <c r="Q94" s="0" t="n">
        <f aca="false">VLOOKUP(A94,'Team Data'!$A$1:$P$133,4,FALSE())</f>
        <v>92</v>
      </c>
      <c r="R94" s="0" t="n">
        <f aca="false">VLOOKUP(A94,'Team Data'!$A$1:$P$133,5,FALSE())</f>
        <v>195</v>
      </c>
      <c r="S94" s="0" t="n">
        <f aca="false">VLOOKUP(B94,'Team Data'!$A$1:$P$133,4,FALSE())</f>
        <v>89</v>
      </c>
      <c r="T94" s="0" t="n">
        <f aca="false">VLOOKUP(B94,'Team Data'!$A$1:$P$133,5,FALSE())</f>
        <v>185</v>
      </c>
      <c r="U94" s="0" t="n">
        <f aca="false">IF(K94=1,(MIN(35,(C94-D94)))*(O94/(O94+P94))*(S94/(S94+T94)),(MAX(-35,(C94-D94)))*(IF(P94=0,0.1,(P94/(O94+P94))))*(T94/(S94+T94)))</f>
        <v>2.39865244244806</v>
      </c>
      <c r="V94" s="0" t="n">
        <f aca="false">IF(L94=1,(MIN(35,(D94-C94)))*(M94/(M94+N94))*(Q94/(Q94+R94)),(MAX(-35,(D94-C94)))*(IF(N94=0,0.1,(N94/(M94+N94))))*(R94/(R94+Q94)))</f>
        <v>-7.76505724240916</v>
      </c>
    </row>
    <row r="95" customFormat="false" ht="15" hidden="false" customHeight="false" outlineLevel="0" collapsed="false">
      <c r="A95" s="0" t="s">
        <v>198</v>
      </c>
      <c r="B95" s="0" t="s">
        <v>110</v>
      </c>
      <c r="C95" s="0" t="n">
        <v>0</v>
      </c>
      <c r="D95" s="0" t="n">
        <v>37</v>
      </c>
      <c r="E95" s="0" t="n">
        <v>45</v>
      </c>
      <c r="F95" s="0" t="n">
        <v>226</v>
      </c>
      <c r="G95" s="0" t="n">
        <v>68</v>
      </c>
      <c r="H95" s="0" t="n">
        <v>216</v>
      </c>
      <c r="I95" s="0" t="n">
        <v>1</v>
      </c>
      <c r="J95" s="0" t="n">
        <v>1</v>
      </c>
      <c r="K95" s="0" t="n">
        <v>0</v>
      </c>
      <c r="L95" s="0" t="n">
        <v>1</v>
      </c>
      <c r="M95" s="0" t="n">
        <f aca="false">VLOOKUP(A95,'Team Data'!$A$1:$P$133,2,FALSE())</f>
        <v>8</v>
      </c>
      <c r="N95" s="0" t="n">
        <f aca="false">VLOOKUP(A95,'Team Data'!$A$1:$P$133,3,FALSE())</f>
        <v>112</v>
      </c>
      <c r="O95" s="0" t="n">
        <f aca="false">VLOOKUP(B95,'Team Data'!$A$1:$P$133,2,FALSE())</f>
        <v>9</v>
      </c>
      <c r="P95" s="0" t="n">
        <f aca="false">VLOOKUP(B95,'Team Data'!$A$1:$P$133,3,FALSE())</f>
        <v>5</v>
      </c>
      <c r="Q95" s="0" t="n">
        <f aca="false">VLOOKUP(A95,'Team Data'!$A$1:$P$133,4,FALSE())</f>
        <v>805</v>
      </c>
      <c r="R95" s="0" t="n">
        <f aca="false">VLOOKUP(A95,'Team Data'!$A$1:$P$133,5,FALSE())</f>
        <v>725</v>
      </c>
      <c r="S95" s="0" t="n">
        <f aca="false">VLOOKUP(B95,'Team Data'!$A$1:$P$133,4,FALSE())</f>
        <v>89</v>
      </c>
      <c r="T95" s="0" t="n">
        <f aca="false">VLOOKUP(B95,'Team Data'!$A$1:$P$133,5,FALSE())</f>
        <v>195</v>
      </c>
      <c r="U95" s="0" t="n">
        <f aca="false">IF(K95=1,(MIN(35,(C95-D95)))*(O95/(O95+P95))*(S95/(S95+T95)),(MAX(-35,(C95-D95)))*(IF(P95=0,0.1,(P95/(O95+P95))))*(T95/(S95+T95)))</f>
        <v>-8.58274647887324</v>
      </c>
      <c r="V95" s="0" t="n">
        <f aca="false">IF(L95=1,(MIN(35,(D95-C95)))*(M95/(M95+N95))*(Q95/(Q95+R95)),(MAX(-35,(D95-C95)))*(IF(N95=0,0.1,(N95/(M95+N95))))*(R95/(R95+Q95)))</f>
        <v>1.2276688453159</v>
      </c>
    </row>
    <row r="96" customFormat="false" ht="15" hidden="false" customHeight="false" outlineLevel="0" collapsed="false">
      <c r="A96" s="0" t="s">
        <v>64</v>
      </c>
      <c r="B96" s="0" t="s">
        <v>114</v>
      </c>
      <c r="C96" s="0" t="n">
        <v>20</v>
      </c>
      <c r="D96" s="0" t="n">
        <v>24</v>
      </c>
      <c r="E96" s="0" t="n">
        <v>110</v>
      </c>
      <c r="F96" s="0" t="n">
        <v>138</v>
      </c>
      <c r="G96" s="0" t="n">
        <v>162</v>
      </c>
      <c r="H96" s="0" t="n">
        <v>252</v>
      </c>
      <c r="I96" s="0" t="n">
        <v>0</v>
      </c>
      <c r="J96" s="0" t="n">
        <v>3</v>
      </c>
      <c r="K96" s="0" t="n">
        <v>0</v>
      </c>
      <c r="L96" s="0" t="n">
        <v>1</v>
      </c>
      <c r="M96" s="0" t="n">
        <f aca="false">VLOOKUP(A96,'Team Data'!$A$1:$P$133,2,FALSE())</f>
        <v>6</v>
      </c>
      <c r="N96" s="0" t="n">
        <f aca="false">VLOOKUP(A96,'Team Data'!$A$1:$P$133,3,FALSE())</f>
        <v>7</v>
      </c>
      <c r="O96" s="0" t="n">
        <f aca="false">VLOOKUP(B96,'Team Data'!$A$1:$P$133,2,FALSE())</f>
        <v>7</v>
      </c>
      <c r="P96" s="0" t="n">
        <f aca="false">VLOOKUP(B96,'Team Data'!$A$1:$P$133,3,FALSE())</f>
        <v>6</v>
      </c>
      <c r="Q96" s="0" t="n">
        <f aca="false">VLOOKUP(A96,'Team Data'!$A$1:$P$133,4,FALSE())</f>
        <v>75</v>
      </c>
      <c r="R96" s="0" t="n">
        <f aca="false">VLOOKUP(A96,'Team Data'!$A$1:$P$133,5,FALSE())</f>
        <v>196</v>
      </c>
      <c r="S96" s="0" t="n">
        <f aca="false">VLOOKUP(B96,'Team Data'!$A$1:$P$133,4,FALSE())</f>
        <v>89</v>
      </c>
      <c r="T96" s="0" t="n">
        <f aca="false">VLOOKUP(B96,'Team Data'!$A$1:$P$133,5,FALSE())</f>
        <v>188</v>
      </c>
      <c r="U96" s="0" t="n">
        <f aca="false">IF(K96=1,(MIN(35,(C96-D96)))*(O96/(O96+P96))*(S96/(S96+T96)),(MAX(-35,(C96-D96)))*(IF(P96=0,0.1,(P96/(O96+P96))))*(T96/(S96+T96)))</f>
        <v>-1.25298528186615</v>
      </c>
      <c r="V96" s="0" t="n">
        <f aca="false">IF(L96=1,(MIN(35,(D96-C96)))*(M96/(M96+N96))*(Q96/(Q96+R96)),(MAX(-35,(D96-C96)))*(IF(N96=0,0.1,(N96/(M96+N96))))*(R96/(R96+Q96)))</f>
        <v>0.510928186204939</v>
      </c>
    </row>
    <row r="97" customFormat="false" ht="15" hidden="false" customHeight="false" outlineLevel="0" collapsed="false">
      <c r="A97" s="0" t="s">
        <v>123</v>
      </c>
      <c r="B97" s="0" t="s">
        <v>111</v>
      </c>
      <c r="C97" s="0" t="n">
        <v>12</v>
      </c>
      <c r="D97" s="0" t="n">
        <v>18</v>
      </c>
      <c r="E97" s="0" t="n">
        <v>151</v>
      </c>
      <c r="F97" s="0" t="n">
        <v>40</v>
      </c>
      <c r="G97" s="0" t="n">
        <v>194</v>
      </c>
      <c r="H97" s="0" t="n">
        <v>113</v>
      </c>
      <c r="I97" s="0" t="n">
        <v>5</v>
      </c>
      <c r="J97" s="0" t="n">
        <v>2</v>
      </c>
      <c r="K97" s="0" t="n">
        <v>0</v>
      </c>
      <c r="L97" s="0" t="n">
        <v>1</v>
      </c>
      <c r="M97" s="0" t="n">
        <f aca="false">VLOOKUP(A97,'Team Data'!$A$1:$P$133,2,FALSE())</f>
        <v>11</v>
      </c>
      <c r="N97" s="0" t="n">
        <f aca="false">VLOOKUP(A97,'Team Data'!$A$1:$P$133,3,FALSE())</f>
        <v>3</v>
      </c>
      <c r="O97" s="0" t="n">
        <f aca="false">VLOOKUP(B97,'Team Data'!$A$1:$P$133,2,FALSE())</f>
        <v>12</v>
      </c>
      <c r="P97" s="0" t="n">
        <f aca="false">VLOOKUP(B97,'Team Data'!$A$1:$P$133,3,FALSE())</f>
        <v>2</v>
      </c>
      <c r="Q97" s="0" t="n">
        <f aca="false">VLOOKUP(A97,'Team Data'!$A$1:$P$133,4,FALSE())</f>
        <v>97</v>
      </c>
      <c r="R97" s="0" t="n">
        <f aca="false">VLOOKUP(A97,'Team Data'!$A$1:$P$133,5,FALSE())</f>
        <v>192</v>
      </c>
      <c r="S97" s="0" t="n">
        <f aca="false">VLOOKUP(B97,'Team Data'!$A$1:$P$133,4,FALSE())</f>
        <v>100</v>
      </c>
      <c r="T97" s="0" t="n">
        <f aca="false">VLOOKUP(B97,'Team Data'!$A$1:$P$133,5,FALSE())</f>
        <v>186</v>
      </c>
      <c r="U97" s="0" t="n">
        <f aca="false">IF(K97=1,(MIN(35,(C97-D97)))*(O97/(O97+P97))*(S97/(S97+T97)),(MAX(-35,(C97-D97)))*(IF(P97=0,0.1,(P97/(O97+P97))))*(T97/(S97+T97)))</f>
        <v>-0.557442557442557</v>
      </c>
      <c r="V97" s="0" t="n">
        <f aca="false">IF(L97=1,(MIN(35,(D97-C97)))*(M97/(M97+N97))*(Q97/(Q97+R97)),(MAX(-35,(D97-C97)))*(IF(N97=0,0.1,(N97/(M97+N97))))*(R97/(R97+Q97)))</f>
        <v>1.58230350963915</v>
      </c>
    </row>
    <row r="98" customFormat="false" ht="15" hidden="false" customHeight="false" outlineLevel="0" collapsed="false">
      <c r="A98" s="0" t="s">
        <v>26</v>
      </c>
      <c r="B98" s="0" t="s">
        <v>59</v>
      </c>
      <c r="C98" s="0" t="n">
        <v>7</v>
      </c>
      <c r="D98" s="0" t="n">
        <v>24</v>
      </c>
      <c r="E98" s="0" t="n">
        <v>44</v>
      </c>
      <c r="F98" s="0" t="n">
        <v>287</v>
      </c>
      <c r="G98" s="0" t="n">
        <v>83</v>
      </c>
      <c r="H98" s="0" t="n">
        <v>132</v>
      </c>
      <c r="I98" s="0" t="n">
        <v>2</v>
      </c>
      <c r="J98" s="0" t="n">
        <v>4</v>
      </c>
      <c r="K98" s="0" t="n">
        <v>0</v>
      </c>
      <c r="L98" s="0" t="n">
        <v>1</v>
      </c>
      <c r="M98" s="0" t="n">
        <f aca="false">VLOOKUP(A98,'Team Data'!$A$1:$P$133,2,FALSE())</f>
        <v>9</v>
      </c>
      <c r="N98" s="0" t="n">
        <f aca="false">VLOOKUP(A98,'Team Data'!$A$1:$P$133,3,FALSE())</f>
        <v>4</v>
      </c>
      <c r="O98" s="0" t="n">
        <f aca="false">VLOOKUP(B98,'Team Data'!$A$1:$P$133,2,FALSE())</f>
        <v>8</v>
      </c>
      <c r="P98" s="0" t="n">
        <f aca="false">VLOOKUP(B98,'Team Data'!$A$1:$P$133,3,FALSE())</f>
        <v>5</v>
      </c>
      <c r="Q98" s="0" t="n">
        <f aca="false">VLOOKUP(A98,'Team Data'!$A$1:$P$133,4,FALSE())</f>
        <v>82</v>
      </c>
      <c r="R98" s="0" t="n">
        <f aca="false">VLOOKUP(A98,'Team Data'!$A$1:$P$133,5,FALSE())</f>
        <v>191</v>
      </c>
      <c r="S98" s="0" t="n">
        <f aca="false">VLOOKUP(B98,'Team Data'!$A$1:$P$133,4,FALSE())</f>
        <v>93</v>
      </c>
      <c r="T98" s="0" t="n">
        <f aca="false">VLOOKUP(B98,'Team Data'!$A$1:$P$133,5,FALSE())</f>
        <v>71</v>
      </c>
      <c r="U98" s="0" t="n">
        <f aca="false">IF(K98=1,(MIN(35,(C98-D98)))*(O98/(O98+P98))*(S98/(S98+T98)),(MAX(-35,(C98-D98)))*(IF(P98=0,0.1,(P98/(O98+P98))))*(T98/(S98+T98)))</f>
        <v>-2.83067542213884</v>
      </c>
      <c r="V98" s="0" t="n">
        <f aca="false">IF(L98=1,(MIN(35,(D98-C98)))*(M98/(M98+N98))*(Q98/(Q98+R98)),(MAX(-35,(D98-C98)))*(IF(N98=0,0.1,(N98/(M98+N98))))*(R98/(R98+Q98)))</f>
        <v>3.53508030431107</v>
      </c>
    </row>
    <row r="99" customFormat="false" ht="15" hidden="false" customHeight="false" outlineLevel="0" collapsed="false">
      <c r="A99" s="0" t="s">
        <v>95</v>
      </c>
      <c r="B99" s="0" t="s">
        <v>16</v>
      </c>
      <c r="C99" s="0" t="n">
        <v>23</v>
      </c>
      <c r="D99" s="0" t="n">
        <v>24</v>
      </c>
      <c r="E99" s="0" t="n">
        <v>171</v>
      </c>
      <c r="F99" s="0" t="n">
        <v>209</v>
      </c>
      <c r="G99" s="0" t="n">
        <v>218</v>
      </c>
      <c r="H99" s="0" t="n">
        <v>47</v>
      </c>
      <c r="I99" s="0" t="n">
        <v>1</v>
      </c>
      <c r="J99" s="0" t="n">
        <v>1</v>
      </c>
      <c r="K99" s="0" t="n">
        <v>0</v>
      </c>
      <c r="L99" s="0" t="n">
        <v>1</v>
      </c>
      <c r="M99" s="0" t="n">
        <f aca="false">VLOOKUP(A99,'Team Data'!$A$1:$P$133,2,FALSE())</f>
        <v>7</v>
      </c>
      <c r="N99" s="0" t="n">
        <f aca="false">VLOOKUP(A99,'Team Data'!$A$1:$P$133,3,FALSE())</f>
        <v>6</v>
      </c>
      <c r="O99" s="0" t="n">
        <f aca="false">VLOOKUP(B99,'Team Data'!$A$1:$P$133,2,FALSE())</f>
        <v>8</v>
      </c>
      <c r="P99" s="0" t="n">
        <f aca="false">VLOOKUP(B99,'Team Data'!$A$1:$P$133,3,FALSE())</f>
        <v>5</v>
      </c>
      <c r="Q99" s="0" t="n">
        <f aca="false">VLOOKUP(A99,'Team Data'!$A$1:$P$133,4,FALSE())</f>
        <v>99</v>
      </c>
      <c r="R99" s="0" t="n">
        <f aca="false">VLOOKUP(A99,'Team Data'!$A$1:$P$133,5,FALSE())</f>
        <v>179</v>
      </c>
      <c r="S99" s="0" t="n">
        <f aca="false">VLOOKUP(B99,'Team Data'!$A$1:$P$133,4,FALSE())</f>
        <v>90</v>
      </c>
      <c r="T99" s="0" t="n">
        <f aca="false">VLOOKUP(B99,'Team Data'!$A$1:$P$133,5,FALSE())</f>
        <v>185</v>
      </c>
      <c r="U99" s="0" t="n">
        <f aca="false">IF(K99=1,(MIN(35,(C99-D99)))*(O99/(O99+P99))*(S99/(S99+T99)),(MAX(-35,(C99-D99)))*(IF(P99=0,0.1,(P99/(O99+P99))))*(T99/(S99+T99)))</f>
        <v>-0.258741258741259</v>
      </c>
      <c r="V99" s="0" t="n">
        <f aca="false">IF(L99=1,(MIN(35,(D99-C99)))*(M99/(M99+N99))*(Q99/(Q99+R99)),(MAX(-35,(D99-C99)))*(IF(N99=0,0.1,(N99/(M99+N99))))*(R99/(R99+Q99)))</f>
        <v>0.191754288876591</v>
      </c>
    </row>
    <row r="100" customFormat="false" ht="15" hidden="false" customHeight="false" outlineLevel="0" collapsed="false">
      <c r="A100" s="0" t="s">
        <v>40</v>
      </c>
      <c r="B100" s="0" t="s">
        <v>22</v>
      </c>
      <c r="C100" s="0" t="n">
        <v>21</v>
      </c>
      <c r="D100" s="0" t="n">
        <v>23</v>
      </c>
      <c r="E100" s="0" t="n">
        <v>89</v>
      </c>
      <c r="F100" s="0" t="n">
        <v>124</v>
      </c>
      <c r="G100" s="0" t="n">
        <v>355</v>
      </c>
      <c r="H100" s="0" t="n">
        <v>265</v>
      </c>
      <c r="I100" s="0" t="n">
        <v>2</v>
      </c>
      <c r="J100" s="0" t="n">
        <v>1</v>
      </c>
      <c r="K100" s="0" t="n">
        <v>0</v>
      </c>
      <c r="L100" s="0" t="n">
        <v>1</v>
      </c>
      <c r="M100" s="0" t="n">
        <f aca="false">VLOOKUP(A100,'Team Data'!$A$1:$P$133,2,FALSE())</f>
        <v>6</v>
      </c>
      <c r="N100" s="0" t="n">
        <f aca="false">VLOOKUP(A100,'Team Data'!$A$1:$P$133,3,FALSE())</f>
        <v>7</v>
      </c>
      <c r="O100" s="0" t="n">
        <f aca="false">VLOOKUP(B100,'Team Data'!$A$1:$P$133,2,FALSE())</f>
        <v>7</v>
      </c>
      <c r="P100" s="0" t="n">
        <f aca="false">VLOOKUP(B100,'Team Data'!$A$1:$P$133,3,FALSE())</f>
        <v>6</v>
      </c>
      <c r="Q100" s="0" t="n">
        <f aca="false">VLOOKUP(A100,'Team Data'!$A$1:$P$133,4,FALSE())</f>
        <v>86</v>
      </c>
      <c r="R100" s="0" t="n">
        <f aca="false">VLOOKUP(A100,'Team Data'!$A$1:$P$133,5,FALSE())</f>
        <v>183</v>
      </c>
      <c r="S100" s="0" t="n">
        <f aca="false">VLOOKUP(B100,'Team Data'!$A$1:$P$133,4,FALSE())</f>
        <v>83</v>
      </c>
      <c r="T100" s="0" t="n">
        <f aca="false">VLOOKUP(B100,'Team Data'!$A$1:$P$133,5,FALSE())</f>
        <v>191</v>
      </c>
      <c r="U100" s="0" t="n">
        <f aca="false">IF(K100=1,(MIN(35,(C100-D100)))*(O100/(O100+P100))*(S100/(S100+T100)),(MAX(-35,(C100-D100)))*(IF(P100=0,0.1,(P100/(O100+P100))))*(T100/(S100+T100)))</f>
        <v>-0.643458731049972</v>
      </c>
      <c r="V100" s="0" t="n">
        <f aca="false">IF(L100=1,(MIN(35,(D100-C100)))*(M100/(M100+N100))*(Q100/(Q100+R100)),(MAX(-35,(D100-C100)))*(IF(N100=0,0.1,(N100/(M100+N100))))*(R100/(R100+Q100)))</f>
        <v>0.2951100943666</v>
      </c>
    </row>
    <row r="101" customFormat="false" ht="15" hidden="false" customHeight="false" outlineLevel="0" collapsed="false">
      <c r="A101" s="0" t="s">
        <v>35</v>
      </c>
      <c r="B101" s="0" t="s">
        <v>89</v>
      </c>
      <c r="C101" s="0" t="n">
        <v>3</v>
      </c>
      <c r="D101" s="0" t="n">
        <v>30</v>
      </c>
      <c r="E101" s="0" t="n">
        <v>39</v>
      </c>
      <c r="F101" s="0" t="n">
        <v>164</v>
      </c>
      <c r="G101" s="0" t="n">
        <v>180</v>
      </c>
      <c r="H101" s="0" t="n">
        <v>189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f aca="false">VLOOKUP(A101,'Team Data'!$A$1:$P$133,2,FALSE())</f>
        <v>6</v>
      </c>
      <c r="N101" s="0" t="n">
        <f aca="false">VLOOKUP(A101,'Team Data'!$A$1:$P$133,3,FALSE())</f>
        <v>7</v>
      </c>
      <c r="O101" s="0" t="n">
        <f aca="false">VLOOKUP(B101,'Team Data'!$A$1:$P$133,2,FALSE())</f>
        <v>10</v>
      </c>
      <c r="P101" s="0" t="n">
        <f aca="false">VLOOKUP(B101,'Team Data'!$A$1:$P$133,3,FALSE())</f>
        <v>3</v>
      </c>
      <c r="Q101" s="0" t="n">
        <f aca="false">VLOOKUP(A101,'Team Data'!$A$1:$P$133,4,FALSE())</f>
        <v>106</v>
      </c>
      <c r="R101" s="0" t="n">
        <f aca="false">VLOOKUP(A101,'Team Data'!$A$1:$P$133,5,FALSE())</f>
        <v>171</v>
      </c>
      <c r="S101" s="0" t="n">
        <f aca="false">VLOOKUP(B101,'Team Data'!$A$1:$P$133,4,FALSE())</f>
        <v>94</v>
      </c>
      <c r="T101" s="0" t="n">
        <f aca="false">VLOOKUP(B101,'Team Data'!$A$1:$P$133,5,FALSE())</f>
        <v>182</v>
      </c>
      <c r="U101" s="0" t="n">
        <f aca="false">IF(K101=1,(MIN(35,(C101-D101)))*(O101/(O101+P101))*(S101/(S101+T101)),(MAX(-35,(C101-D101)))*(IF(P101=0,0.1,(P101/(O101+P101))))*(T101/(S101+T101)))</f>
        <v>-4.10869565217391</v>
      </c>
      <c r="V101" s="0" t="n">
        <f aca="false">IF(L101=1,(MIN(35,(D101-C101)))*(M101/(M101+N101))*(Q101/(Q101+R101)),(MAX(-35,(D101-C101)))*(IF(N101=0,0.1,(N101/(M101+N101))))*(R101/(R101+Q101)))</f>
        <v>4.76867536795335</v>
      </c>
    </row>
    <row r="102" customFormat="false" ht="15" hidden="false" customHeight="false" outlineLevel="0" collapsed="false">
      <c r="A102" s="0" t="s">
        <v>62</v>
      </c>
      <c r="B102" s="0" t="s">
        <v>125</v>
      </c>
      <c r="C102" s="0" t="n">
        <v>38</v>
      </c>
      <c r="D102" s="0" t="n">
        <v>10</v>
      </c>
      <c r="E102" s="0" t="n">
        <v>146</v>
      </c>
      <c r="F102" s="0" t="n">
        <v>126</v>
      </c>
      <c r="G102" s="0" t="n">
        <v>284</v>
      </c>
      <c r="H102" s="0" t="n">
        <v>135</v>
      </c>
      <c r="I102" s="0" t="n">
        <v>1</v>
      </c>
      <c r="J102" s="0" t="n">
        <v>3</v>
      </c>
      <c r="K102" s="0" t="n">
        <v>1</v>
      </c>
      <c r="L102" s="0" t="n">
        <v>0</v>
      </c>
      <c r="M102" s="0" t="n">
        <f aca="false">VLOOKUP(A102,'Team Data'!$A$1:$P$133,2,FALSE())</f>
        <v>7</v>
      </c>
      <c r="N102" s="0" t="n">
        <f aca="false">VLOOKUP(A102,'Team Data'!$A$1:$P$133,3,FALSE())</f>
        <v>6</v>
      </c>
      <c r="O102" s="0" t="n">
        <f aca="false">VLOOKUP(B102,'Team Data'!$A$1:$P$133,2,FALSE())</f>
        <v>6</v>
      </c>
      <c r="P102" s="0" t="n">
        <f aca="false">VLOOKUP(B102,'Team Data'!$A$1:$P$133,3,FALSE())</f>
        <v>7</v>
      </c>
      <c r="Q102" s="0" t="n">
        <f aca="false">VLOOKUP(A102,'Team Data'!$A$1:$P$133,4,FALSE())</f>
        <v>89</v>
      </c>
      <c r="R102" s="0" t="n">
        <f aca="false">VLOOKUP(A102,'Team Data'!$A$1:$P$133,5,FALSE())</f>
        <v>186</v>
      </c>
      <c r="S102" s="0" t="n">
        <f aca="false">VLOOKUP(B102,'Team Data'!$A$1:$P$133,4,FALSE())</f>
        <v>87</v>
      </c>
      <c r="T102" s="0" t="n">
        <f aca="false">VLOOKUP(B102,'Team Data'!$A$1:$P$133,5,FALSE())</f>
        <v>186</v>
      </c>
      <c r="U102" s="0" t="n">
        <f aca="false">IF(K102=1,(MIN(35,(C102-D102)))*(O102/(O102+P102))*(S102/(S102+T102)),(MAX(-35,(C102-D102)))*(IF(P102=0,0.1,(P102/(O102+P102))))*(T102/(S102+T102)))</f>
        <v>4.11834319526627</v>
      </c>
      <c r="V102" s="0" t="n">
        <f aca="false">IF(L102=1,(MIN(35,(D102-C102)))*(M102/(M102+N102))*(Q102/(Q102+R102)),(MAX(-35,(D102-C102)))*(IF(N102=0,0.1,(N102/(M102+N102))))*(R102/(R102+Q102)))</f>
        <v>-8.7406993006993</v>
      </c>
    </row>
    <row r="103" customFormat="false" ht="15" hidden="false" customHeight="false" outlineLevel="0" collapsed="false">
      <c r="A103" s="0" t="s">
        <v>78</v>
      </c>
      <c r="B103" s="0" t="s">
        <v>19</v>
      </c>
      <c r="C103" s="0" t="n">
        <v>32</v>
      </c>
      <c r="D103" s="0" t="n">
        <v>35</v>
      </c>
      <c r="E103" s="0" t="n">
        <v>176</v>
      </c>
      <c r="F103" s="0" t="n">
        <v>320</v>
      </c>
      <c r="G103" s="0" t="n">
        <v>259</v>
      </c>
      <c r="H103" s="0" t="n">
        <v>137</v>
      </c>
      <c r="I103" s="0" t="n">
        <v>2</v>
      </c>
      <c r="J103" s="0" t="n">
        <v>0</v>
      </c>
      <c r="K103" s="0" t="n">
        <v>0</v>
      </c>
      <c r="L103" s="0" t="n">
        <v>1</v>
      </c>
      <c r="M103" s="0" t="n">
        <f aca="false">VLOOKUP(A103,'Team Data'!$A$1:$P$133,2,FALSE())</f>
        <v>7</v>
      </c>
      <c r="N103" s="0" t="n">
        <f aca="false">VLOOKUP(A103,'Team Data'!$A$1:$P$133,3,FALSE())</f>
        <v>7</v>
      </c>
      <c r="O103" s="0" t="n">
        <f aca="false">VLOOKUP(B103,'Team Data'!$A$1:$P$133,2,FALSE())</f>
        <v>10</v>
      </c>
      <c r="P103" s="0" t="n">
        <f aca="false">VLOOKUP(B103,'Team Data'!$A$1:$P$133,3,FALSE())</f>
        <v>4</v>
      </c>
      <c r="Q103" s="0" t="n">
        <f aca="false">VLOOKUP(A103,'Team Data'!$A$1:$P$133,4,FALSE())</f>
        <v>97</v>
      </c>
      <c r="R103" s="0" t="n">
        <f aca="false">VLOOKUP(A103,'Team Data'!$A$1:$P$133,5,FALSE())</f>
        <v>191</v>
      </c>
      <c r="S103" s="0" t="n">
        <f aca="false">VLOOKUP(B103,'Team Data'!$A$1:$P$133,4,FALSE())</f>
        <v>95</v>
      </c>
      <c r="T103" s="0" t="n">
        <f aca="false">VLOOKUP(B103,'Team Data'!$A$1:$P$133,5,FALSE())</f>
        <v>193</v>
      </c>
      <c r="U103" s="0" t="n">
        <f aca="false">IF(K103=1,(MIN(35,(C103-D103)))*(O103/(O103+P103))*(S103/(S103+T103)),(MAX(-35,(C103-D103)))*(IF(P103=0,0.1,(P103/(O103+P103))))*(T103/(S103+T103)))</f>
        <v>-0.574404761904762</v>
      </c>
      <c r="V103" s="0" t="n">
        <f aca="false">IF(L103=1,(MIN(35,(D103-C103)))*(M103/(M103+N103))*(Q103/(Q103+R103)),(MAX(-35,(D103-C103)))*(IF(N103=0,0.1,(N103/(M103+N103))))*(R103/(R103+Q103)))</f>
        <v>0.505208333333333</v>
      </c>
    </row>
    <row r="104" customFormat="false" ht="15" hidden="false" customHeight="false" outlineLevel="0" collapsed="false">
      <c r="A104" s="0" t="s">
        <v>28</v>
      </c>
      <c r="B104" s="0" t="s">
        <v>32</v>
      </c>
      <c r="C104" s="0" t="n">
        <v>29</v>
      </c>
      <c r="D104" s="0" t="n">
        <v>53</v>
      </c>
      <c r="E104" s="0" t="n">
        <v>125</v>
      </c>
      <c r="F104" s="0" t="n">
        <v>172</v>
      </c>
      <c r="G104" s="0" t="n">
        <v>212</v>
      </c>
      <c r="H104" s="0" t="n">
        <v>314</v>
      </c>
      <c r="I104" s="0" t="n">
        <v>3</v>
      </c>
      <c r="J104" s="0" t="n">
        <v>0</v>
      </c>
      <c r="K104" s="0" t="n">
        <v>0</v>
      </c>
      <c r="L104" s="0" t="n">
        <v>1</v>
      </c>
      <c r="M104" s="0" t="n">
        <f aca="false">VLOOKUP(A104,'Team Data'!$A$1:$P$133,2,FALSE())</f>
        <v>9</v>
      </c>
      <c r="N104" s="0" t="n">
        <f aca="false">VLOOKUP(A104,'Team Data'!$A$1:$P$133,3,FALSE())</f>
        <v>4</v>
      </c>
      <c r="O104" s="0" t="n">
        <f aca="false">VLOOKUP(B104,'Team Data'!$A$1:$P$133,2,FALSE())</f>
        <v>8</v>
      </c>
      <c r="P104" s="0" t="n">
        <f aca="false">VLOOKUP(B104,'Team Data'!$A$1:$P$133,3,FALSE())</f>
        <v>5</v>
      </c>
      <c r="Q104" s="0" t="n">
        <f aca="false">VLOOKUP(A104,'Team Data'!$A$1:$P$133,4,FALSE())</f>
        <v>88</v>
      </c>
      <c r="R104" s="0" t="n">
        <f aca="false">VLOOKUP(A104,'Team Data'!$A$1:$P$133,5,FALSE())</f>
        <v>182</v>
      </c>
      <c r="S104" s="0" t="n">
        <f aca="false">VLOOKUP(B104,'Team Data'!$A$1:$P$133,4,FALSE())</f>
        <v>89</v>
      </c>
      <c r="T104" s="0" t="n">
        <f aca="false">VLOOKUP(B104,'Team Data'!$A$1:$P$133,5,FALSE())</f>
        <v>185</v>
      </c>
      <c r="U104" s="0" t="n">
        <f aca="false">IF(K104=1,(MIN(35,(C104-D104)))*(O104/(O104+P104))*(S104/(S104+T104)),(MAX(-35,(C104-D104)))*(IF(P104=0,0.1,(P104/(O104+P104))))*(T104/(S104+T104)))</f>
        <v>-6.23245367770915</v>
      </c>
      <c r="V104" s="0" t="n">
        <f aca="false">IF(L104=1,(MIN(35,(D104-C104)))*(M104/(M104+N104))*(Q104/(Q104+R104)),(MAX(-35,(D104-C104)))*(IF(N104=0,0.1,(N104/(M104+N104))))*(R104/(R104+Q104)))</f>
        <v>5.41538461538462</v>
      </c>
    </row>
    <row r="105" customFormat="false" ht="15" hidden="false" customHeight="false" outlineLevel="0" collapsed="false">
      <c r="A105" s="0" t="s">
        <v>60</v>
      </c>
      <c r="B105" s="0" t="s">
        <v>117</v>
      </c>
      <c r="C105" s="0" t="n">
        <v>28</v>
      </c>
      <c r="D105" s="0" t="n">
        <v>14</v>
      </c>
      <c r="E105" s="0" t="n">
        <v>201</v>
      </c>
      <c r="F105" s="0" t="n">
        <v>144</v>
      </c>
      <c r="G105" s="0" t="n">
        <v>93</v>
      </c>
      <c r="H105" s="0" t="n">
        <v>172</v>
      </c>
      <c r="I105" s="0" t="n">
        <v>2</v>
      </c>
      <c r="J105" s="0" t="n">
        <v>4</v>
      </c>
      <c r="K105" s="0" t="n">
        <v>1</v>
      </c>
      <c r="L105" s="0" t="n">
        <v>0</v>
      </c>
      <c r="M105" s="0" t="n">
        <f aca="false">VLOOKUP(A105,'Team Data'!$A$1:$P$133,2,FALSE())</f>
        <v>9</v>
      </c>
      <c r="N105" s="0" t="n">
        <f aca="false">VLOOKUP(A105,'Team Data'!$A$1:$P$133,3,FALSE())</f>
        <v>4</v>
      </c>
      <c r="O105" s="0" t="n">
        <f aca="false">VLOOKUP(B105,'Team Data'!$A$1:$P$133,2,FALSE())</f>
        <v>6</v>
      </c>
      <c r="P105" s="0" t="n">
        <f aca="false">VLOOKUP(B105,'Team Data'!$A$1:$P$133,3,FALSE())</f>
        <v>7</v>
      </c>
      <c r="Q105" s="0" t="n">
        <f aca="false">VLOOKUP(A105,'Team Data'!$A$1:$P$133,4,FALSE())</f>
        <v>91</v>
      </c>
      <c r="R105" s="0" t="n">
        <f aca="false">VLOOKUP(A105,'Team Data'!$A$1:$P$133,5,FALSE())</f>
        <v>288</v>
      </c>
      <c r="S105" s="0" t="n">
        <f aca="false">VLOOKUP(B105,'Team Data'!$A$1:$P$133,4,FALSE())</f>
        <v>88</v>
      </c>
      <c r="T105" s="0" t="n">
        <f aca="false">VLOOKUP(B105,'Team Data'!$A$1:$P$133,5,FALSE())</f>
        <v>185</v>
      </c>
      <c r="U105" s="0" t="n">
        <f aca="false">IF(K105=1,(MIN(35,(C105-D105)))*(O105/(O105+P105))*(S105/(S105+T105)),(MAX(-35,(C105-D105)))*(IF(P105=0,0.1,(P105/(O105+P105))))*(T105/(S105+T105)))</f>
        <v>2.08284023668639</v>
      </c>
      <c r="V105" s="0" t="n">
        <f aca="false">IF(L105=1,(MIN(35,(D105-C105)))*(M105/(M105+N105))*(Q105/(Q105+R105)),(MAX(-35,(D105-C105)))*(IF(N105=0,0.1,(N105/(M105+N105))))*(R105/(R105+Q105)))</f>
        <v>-3.27339151613558</v>
      </c>
    </row>
    <row r="106" customFormat="false" ht="15" hidden="false" customHeight="false" outlineLevel="0" collapsed="false">
      <c r="A106" s="0" t="s">
        <v>33</v>
      </c>
      <c r="B106" s="0" t="s">
        <v>97</v>
      </c>
      <c r="C106" s="0" t="n">
        <v>41</v>
      </c>
      <c r="D106" s="0" t="n">
        <v>27</v>
      </c>
      <c r="E106" s="0" t="n">
        <v>119</v>
      </c>
      <c r="F106" s="0" t="n">
        <v>132</v>
      </c>
      <c r="G106" s="0" t="n">
        <v>298</v>
      </c>
      <c r="H106" s="0" t="n">
        <v>366</v>
      </c>
      <c r="I106" s="0" t="n">
        <v>2</v>
      </c>
      <c r="J106" s="0" t="n">
        <v>3</v>
      </c>
      <c r="K106" s="0" t="n">
        <v>1</v>
      </c>
      <c r="L106" s="0" t="n">
        <v>0</v>
      </c>
      <c r="M106" s="0" t="n">
        <f aca="false">VLOOKUP(A106,'Team Data'!$A$1:$P$133,2,FALSE())</f>
        <v>9</v>
      </c>
      <c r="N106" s="0" t="n">
        <f aca="false">VLOOKUP(A106,'Team Data'!$A$1:$P$133,3,FALSE())</f>
        <v>4</v>
      </c>
      <c r="O106" s="0" t="n">
        <f aca="false">VLOOKUP(B106,'Team Data'!$A$1:$P$133,2,FALSE())</f>
        <v>7</v>
      </c>
      <c r="P106" s="0" t="n">
        <f aca="false">VLOOKUP(B106,'Team Data'!$A$1:$P$133,3,FALSE())</f>
        <v>5</v>
      </c>
      <c r="Q106" s="0" t="n">
        <f aca="false">VLOOKUP(A106,'Team Data'!$A$1:$P$133,4,FALSE())</f>
        <v>65</v>
      </c>
      <c r="R106" s="0" t="n">
        <f aca="false">VLOOKUP(A106,'Team Data'!$A$1:$P$133,5,FALSE())</f>
        <v>203</v>
      </c>
      <c r="S106" s="0" t="n">
        <f aca="false">VLOOKUP(B106,'Team Data'!$A$1:$P$133,4,FALSE())</f>
        <v>70</v>
      </c>
      <c r="T106" s="0" t="n">
        <f aca="false">VLOOKUP(B106,'Team Data'!$A$1:$P$133,5,FALSE())</f>
        <v>189</v>
      </c>
      <c r="U106" s="0" t="n">
        <f aca="false">IF(K106=1,(MIN(35,(C106-D106)))*(O106/(O106+P106))*(S106/(S106+T106)),(MAX(-35,(C106-D106)))*(IF(P106=0,0.1,(P106/(O106+P106))))*(T106/(S106+T106)))</f>
        <v>2.20720720720721</v>
      </c>
      <c r="V106" s="0" t="n">
        <f aca="false">IF(L106=1,(MIN(35,(D106-C106)))*(M106/(M106+N106))*(Q106/(Q106+R106)),(MAX(-35,(D106-C106)))*(IF(N106=0,0.1,(N106/(M106+N106))))*(R106/(R106+Q106)))</f>
        <v>-3.26291618828932</v>
      </c>
    </row>
    <row r="107" customFormat="false" ht="15" hidden="false" customHeight="false" outlineLevel="0" collapsed="false">
      <c r="A107" s="0" t="s">
        <v>135</v>
      </c>
      <c r="B107" s="0" t="s">
        <v>85</v>
      </c>
      <c r="C107" s="0" t="n">
        <v>24</v>
      </c>
      <c r="D107" s="0" t="n">
        <v>17</v>
      </c>
      <c r="E107" s="0" t="n">
        <v>258</v>
      </c>
      <c r="F107" s="0" t="n">
        <v>52</v>
      </c>
      <c r="G107" s="0" t="n">
        <v>116</v>
      </c>
      <c r="H107" s="0" t="n">
        <v>229</v>
      </c>
      <c r="I107" s="0" t="n">
        <v>2</v>
      </c>
      <c r="J107" s="0" t="n">
        <v>2</v>
      </c>
      <c r="K107" s="0" t="n">
        <v>1</v>
      </c>
      <c r="L107" s="0" t="n">
        <v>0</v>
      </c>
      <c r="M107" s="0" t="n">
        <f aca="false">VLOOKUP(A107,'Team Data'!$A$1:$P$133,2,FALSE())</f>
        <v>7</v>
      </c>
      <c r="N107" s="0" t="n">
        <f aca="false">VLOOKUP(A107,'Team Data'!$A$1:$P$133,3,FALSE())</f>
        <v>6</v>
      </c>
      <c r="O107" s="0" t="n">
        <f aca="false">VLOOKUP(B107,'Team Data'!$A$1:$P$133,2,FALSE())</f>
        <v>7</v>
      </c>
      <c r="P107" s="0" t="n">
        <f aca="false">VLOOKUP(B107,'Team Data'!$A$1:$P$133,3,FALSE())</f>
        <v>6</v>
      </c>
      <c r="Q107" s="0" t="n">
        <f aca="false">VLOOKUP(A107,'Team Data'!$A$1:$P$133,4,FALSE())</f>
        <v>91</v>
      </c>
      <c r="R107" s="0" t="n">
        <f aca="false">VLOOKUP(A107,'Team Data'!$A$1:$P$133,5,FALSE())</f>
        <v>183</v>
      </c>
      <c r="S107" s="0" t="n">
        <f aca="false">VLOOKUP(B107,'Team Data'!$A$1:$P$133,4,FALSE())</f>
        <v>88</v>
      </c>
      <c r="T107" s="0" t="n">
        <f aca="false">VLOOKUP(B107,'Team Data'!$A$1:$P$133,5,FALSE())</f>
        <v>187</v>
      </c>
      <c r="U107" s="0" t="n">
        <f aca="false">IF(K107=1,(MIN(35,(C107-D107)))*(O107/(O107+P107))*(S107/(S107+T107)),(MAX(-35,(C107-D107)))*(IF(P107=0,0.1,(P107/(O107+P107))))*(T107/(S107+T107)))</f>
        <v>1.20615384615385</v>
      </c>
      <c r="V107" s="0" t="n">
        <f aca="false">IF(L107=1,(MIN(35,(D107-C107)))*(M107/(M107+N107))*(Q107/(Q107+R107)),(MAX(-35,(D107-C107)))*(IF(N107=0,0.1,(N107/(M107+N107))))*(R107/(R107+Q107)))</f>
        <v>-2.1577765300393</v>
      </c>
    </row>
    <row r="108" customFormat="false" ht="15" hidden="false" customHeight="false" outlineLevel="0" collapsed="false">
      <c r="A108" s="0" t="s">
        <v>55</v>
      </c>
      <c r="B108" s="0" t="s">
        <v>110</v>
      </c>
      <c r="C108" s="0" t="n">
        <v>19</v>
      </c>
      <c r="D108" s="0" t="n">
        <v>21</v>
      </c>
      <c r="E108" s="0" t="n">
        <v>102</v>
      </c>
      <c r="F108" s="0" t="n">
        <v>177</v>
      </c>
      <c r="G108" s="0" t="n">
        <v>151</v>
      </c>
      <c r="H108" s="0" t="n">
        <v>183</v>
      </c>
      <c r="I108" s="0" t="n">
        <v>1</v>
      </c>
      <c r="J108" s="0" t="n">
        <v>1</v>
      </c>
      <c r="K108" s="0" t="n">
        <v>0</v>
      </c>
      <c r="L108" s="0" t="n">
        <v>1</v>
      </c>
      <c r="M108" s="0" t="n">
        <f aca="false">VLOOKUP(A108,'Team Data'!$A$1:$P$133,2,FALSE())</f>
        <v>8</v>
      </c>
      <c r="N108" s="0" t="n">
        <f aca="false">VLOOKUP(A108,'Team Data'!$A$1:$P$133,3,FALSE())</f>
        <v>5</v>
      </c>
      <c r="O108" s="0" t="n">
        <f aca="false">VLOOKUP(B108,'Team Data'!$A$1:$P$133,2,FALSE())</f>
        <v>9</v>
      </c>
      <c r="P108" s="0" t="n">
        <f aca="false">VLOOKUP(B108,'Team Data'!$A$1:$P$133,3,FALSE())</f>
        <v>5</v>
      </c>
      <c r="Q108" s="0" t="n">
        <f aca="false">VLOOKUP(A108,'Team Data'!$A$1:$P$133,4,FALSE())</f>
        <v>76</v>
      </c>
      <c r="R108" s="0" t="n">
        <f aca="false">VLOOKUP(A108,'Team Data'!$A$1:$P$133,5,FALSE())</f>
        <v>196</v>
      </c>
      <c r="S108" s="0" t="n">
        <f aca="false">VLOOKUP(B108,'Team Data'!$A$1:$P$133,4,FALSE())</f>
        <v>89</v>
      </c>
      <c r="T108" s="0" t="n">
        <f aca="false">VLOOKUP(B108,'Team Data'!$A$1:$P$133,5,FALSE())</f>
        <v>195</v>
      </c>
      <c r="U108" s="0" t="n">
        <f aca="false">IF(K108=1,(MIN(35,(C108-D108)))*(O108/(O108+P108))*(S108/(S108+T108)),(MAX(-35,(C108-D108)))*(IF(P108=0,0.1,(P108/(O108+P108))))*(T108/(S108+T108)))</f>
        <v>-0.490442655935614</v>
      </c>
      <c r="V108" s="0" t="n">
        <f aca="false">IF(L108=1,(MIN(35,(D108-C108)))*(M108/(M108+N108))*(Q108/(Q108+R108)),(MAX(-35,(D108-C108)))*(IF(N108=0,0.1,(N108/(M108+N108))))*(R108/(R108+Q108)))</f>
        <v>0.343891402714932</v>
      </c>
    </row>
    <row r="109" customFormat="false" ht="15" hidden="false" customHeight="false" outlineLevel="0" collapsed="false">
      <c r="A109" s="0" t="s">
        <v>129</v>
      </c>
      <c r="B109" s="0" t="s">
        <v>70</v>
      </c>
      <c r="C109" s="0" t="n">
        <v>27</v>
      </c>
      <c r="D109" s="0" t="n">
        <v>17</v>
      </c>
      <c r="E109" s="0" t="n">
        <v>103</v>
      </c>
      <c r="F109" s="0" t="n">
        <v>128</v>
      </c>
      <c r="G109" s="0" t="n">
        <v>280</v>
      </c>
      <c r="H109" s="0" t="n">
        <v>227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f aca="false">VLOOKUP(A109,'Team Data'!$A$1:$P$133,2,FALSE())</f>
        <v>8</v>
      </c>
      <c r="N109" s="0" t="n">
        <f aca="false">VLOOKUP(A109,'Team Data'!$A$1:$P$133,3,FALSE())</f>
        <v>5</v>
      </c>
      <c r="O109" s="0" t="n">
        <f aca="false">VLOOKUP(B109,'Team Data'!$A$1:$P$133,2,FALSE())</f>
        <v>6</v>
      </c>
      <c r="P109" s="0" t="n">
        <f aca="false">VLOOKUP(B109,'Team Data'!$A$1:$P$133,3,FALSE())</f>
        <v>7</v>
      </c>
      <c r="Q109" s="0" t="n">
        <f aca="false">VLOOKUP(A109,'Team Data'!$A$1:$P$133,4,FALSE())</f>
        <v>98</v>
      </c>
      <c r="R109" s="0" t="n">
        <f aca="false">VLOOKUP(A109,'Team Data'!$A$1:$P$133,5,FALSE())</f>
        <v>177</v>
      </c>
      <c r="S109" s="0" t="n">
        <f aca="false">VLOOKUP(B109,'Team Data'!$A$1:$P$133,4,FALSE())</f>
        <v>100</v>
      </c>
      <c r="T109" s="0" t="n">
        <f aca="false">VLOOKUP(B109,'Team Data'!$A$1:$P$133,5,FALSE())</f>
        <v>176</v>
      </c>
      <c r="U109" s="0" t="n">
        <f aca="false">IF(K109=1,(MIN(35,(C109-D109)))*(O109/(O109+P109))*(S109/(S109+T109)),(MAX(-35,(C109-D109)))*(IF(P109=0,0.1,(P109/(O109+P109))))*(T109/(S109+T109)))</f>
        <v>1.67224080267559</v>
      </c>
      <c r="V109" s="0" t="n">
        <f aca="false">IF(L109=1,(MIN(35,(D109-C109)))*(M109/(M109+N109))*(Q109/(Q109+R109)),(MAX(-35,(D109-C109)))*(IF(N109=0,0.1,(N109/(M109+N109))))*(R109/(R109+Q109)))</f>
        <v>-2.47552447552448</v>
      </c>
    </row>
    <row r="110" customFormat="false" ht="15" hidden="false" customHeight="false" outlineLevel="0" collapsed="false">
      <c r="A110" s="0" t="s">
        <v>115</v>
      </c>
      <c r="B110" s="0" t="s">
        <v>31</v>
      </c>
      <c r="C110" s="0" t="n">
        <v>13</v>
      </c>
      <c r="D110" s="0" t="n">
        <v>30</v>
      </c>
      <c r="E110" s="0" t="n">
        <v>128</v>
      </c>
      <c r="F110" s="0" t="n">
        <v>177</v>
      </c>
      <c r="G110" s="0" t="n">
        <v>198</v>
      </c>
      <c r="H110" s="0" t="n">
        <v>173</v>
      </c>
      <c r="I110" s="0" t="n">
        <v>2</v>
      </c>
      <c r="J110" s="0" t="n">
        <v>0</v>
      </c>
      <c r="K110" s="0" t="n">
        <v>0</v>
      </c>
      <c r="L110" s="0" t="n">
        <v>1</v>
      </c>
      <c r="M110" s="0" t="n">
        <f aca="false">VLOOKUP(A110,'Team Data'!$A$1:$P$133,2,FALSE())</f>
        <v>9</v>
      </c>
      <c r="N110" s="0" t="n">
        <f aca="false">VLOOKUP(A110,'Team Data'!$A$1:$P$133,3,FALSE())</f>
        <v>5</v>
      </c>
      <c r="O110" s="0" t="n">
        <f aca="false">VLOOKUP(B110,'Team Data'!$A$1:$P$133,2,FALSE())</f>
        <v>9</v>
      </c>
      <c r="P110" s="0" t="n">
        <f aca="false">VLOOKUP(B110,'Team Data'!$A$1:$P$133,3,FALSE())</f>
        <v>4</v>
      </c>
      <c r="Q110" s="0" t="n">
        <f aca="false">VLOOKUP(A110,'Team Data'!$A$1:$P$133,4,FALSE())</f>
        <v>98</v>
      </c>
      <c r="R110" s="0" t="n">
        <f aca="false">VLOOKUP(A110,'Team Data'!$A$1:$P$133,5,FALSE())</f>
        <v>188</v>
      </c>
      <c r="S110" s="0" t="n">
        <f aca="false">VLOOKUP(B110,'Team Data'!$A$1:$P$133,4,FALSE())</f>
        <v>72</v>
      </c>
      <c r="T110" s="0" t="n">
        <f aca="false">VLOOKUP(B110,'Team Data'!$A$1:$P$133,5,FALSE())</f>
        <v>196</v>
      </c>
      <c r="U110" s="0" t="n">
        <f aca="false">IF(K110=1,(MIN(35,(C110-D110)))*(O110/(O110+P110))*(S110/(S110+T110)),(MAX(-35,(C110-D110)))*(IF(P110=0,0.1,(P110/(O110+P110))))*(T110/(S110+T110)))</f>
        <v>-3.82548794489093</v>
      </c>
      <c r="V110" s="0" t="n">
        <f aca="false">IF(L110=1,(MIN(35,(D110-C110)))*(M110/(M110+N110))*(Q110/(Q110+R110)),(MAX(-35,(D110-C110)))*(IF(N110=0,0.1,(N110/(M110+N110))))*(R110/(R110+Q110)))</f>
        <v>3.74475524475525</v>
      </c>
    </row>
    <row r="111" customFormat="false" ht="15" hidden="false" customHeight="false" outlineLevel="0" collapsed="false">
      <c r="A111" s="0" t="s">
        <v>67</v>
      </c>
      <c r="B111" s="0" t="s">
        <v>96</v>
      </c>
      <c r="C111" s="0" t="n">
        <v>25</v>
      </c>
      <c r="D111" s="0" t="n">
        <v>23</v>
      </c>
      <c r="E111" s="0" t="n">
        <v>-57</v>
      </c>
      <c r="F111" s="0" t="n">
        <v>55</v>
      </c>
      <c r="G111" s="0" t="n">
        <v>236</v>
      </c>
      <c r="H111" s="0" t="n">
        <v>297</v>
      </c>
      <c r="I111" s="0" t="n">
        <v>1</v>
      </c>
      <c r="J111" s="0" t="n">
        <v>4</v>
      </c>
      <c r="K111" s="0" t="n">
        <v>1</v>
      </c>
      <c r="L111" s="0" t="n">
        <v>0</v>
      </c>
      <c r="M111" s="0" t="n">
        <f aca="false">VLOOKUP(A111,'Team Data'!$A$1:$P$133,2,FALSE())</f>
        <v>8</v>
      </c>
      <c r="N111" s="0" t="n">
        <f aca="false">VLOOKUP(A111,'Team Data'!$A$1:$P$133,3,FALSE())</f>
        <v>5</v>
      </c>
      <c r="O111" s="0" t="n">
        <f aca="false">VLOOKUP(B111,'Team Data'!$A$1:$P$133,2,FALSE())</f>
        <v>7</v>
      </c>
      <c r="P111" s="0" t="n">
        <f aca="false">VLOOKUP(B111,'Team Data'!$A$1:$P$133,3,FALSE())</f>
        <v>6</v>
      </c>
      <c r="Q111" s="0" t="n">
        <f aca="false">VLOOKUP(A111,'Team Data'!$A$1:$P$133,4,FALSE())</f>
        <v>78</v>
      </c>
      <c r="R111" s="0" t="n">
        <f aca="false">VLOOKUP(A111,'Team Data'!$A$1:$P$133,5,FALSE())</f>
        <v>191</v>
      </c>
      <c r="S111" s="0" t="n">
        <f aca="false">VLOOKUP(B111,'Team Data'!$A$1:$P$133,4,FALSE())</f>
        <v>89</v>
      </c>
      <c r="T111" s="0" t="n">
        <f aca="false">VLOOKUP(B111,'Team Data'!$A$1:$P$133,5,FALSE())</f>
        <v>186</v>
      </c>
      <c r="U111" s="0" t="n">
        <f aca="false">IF(K111=1,(MIN(35,(C111-D111)))*(O111/(O111+P111))*(S111/(S111+T111)),(MAX(-35,(C111-D111)))*(IF(P111=0,0.1,(P111/(O111+P111))))*(T111/(S111+T111)))</f>
        <v>0.348531468531469</v>
      </c>
      <c r="V111" s="0" t="n">
        <f aca="false">IF(L111=1,(MIN(35,(D111-C111)))*(M111/(M111+N111))*(Q111/(Q111+R111)),(MAX(-35,(D111-C111)))*(IF(N111=0,0.1,(N111/(M111+N111))))*(R111/(R111+Q111)))</f>
        <v>-0.546182442093223</v>
      </c>
    </row>
    <row r="112" customFormat="false" ht="15" hidden="false" customHeight="false" outlineLevel="0" collapsed="false">
      <c r="A112" s="0" t="s">
        <v>103</v>
      </c>
      <c r="B112" s="0" t="s">
        <v>39</v>
      </c>
      <c r="C112" s="0" t="n">
        <v>7</v>
      </c>
      <c r="D112" s="0" t="n">
        <v>65</v>
      </c>
      <c r="E112" s="0" t="n">
        <v>36</v>
      </c>
      <c r="F112" s="0" t="n">
        <v>254</v>
      </c>
      <c r="G112" s="0" t="n">
        <v>152</v>
      </c>
      <c r="H112" s="0" t="n">
        <v>335</v>
      </c>
      <c r="I112" s="0" t="n">
        <v>3</v>
      </c>
      <c r="J112" s="0" t="n">
        <v>0</v>
      </c>
      <c r="K112" s="0" t="n">
        <v>0</v>
      </c>
      <c r="L112" s="0" t="n">
        <v>1</v>
      </c>
      <c r="M112" s="0" t="n">
        <f aca="false">VLOOKUP(A112,'Team Data'!$A$1:$P$133,2,FALSE())</f>
        <v>13</v>
      </c>
      <c r="N112" s="0" t="n">
        <f aca="false">VLOOKUP(A112,'Team Data'!$A$1:$P$133,3,FALSE())</f>
        <v>2</v>
      </c>
      <c r="O112" s="0" t="n">
        <f aca="false">VLOOKUP(B112,'Team Data'!$A$1:$P$133,2,FALSE())</f>
        <v>15</v>
      </c>
      <c r="P112" s="0" t="n">
        <f aca="false">VLOOKUP(B112,'Team Data'!$A$1:$P$133,3,FALSE())</f>
        <v>0</v>
      </c>
      <c r="Q112" s="0" t="n">
        <f aca="false">VLOOKUP(A112,'Team Data'!$A$1:$P$133,4,FALSE())</f>
        <v>114</v>
      </c>
      <c r="R112" s="0" t="n">
        <f aca="false">VLOOKUP(A112,'Team Data'!$A$1:$P$133,5,FALSE())</f>
        <v>190</v>
      </c>
      <c r="S112" s="0" t="n">
        <f aca="false">VLOOKUP(B112,'Team Data'!$A$1:$P$133,4,FALSE())</f>
        <v>119</v>
      </c>
      <c r="T112" s="0" t="n">
        <f aca="false">VLOOKUP(B112,'Team Data'!$A$1:$P$133,5,FALSE())</f>
        <v>182</v>
      </c>
      <c r="U112" s="0" t="n">
        <f aca="false">IF(K112=1,(MIN(35,(C112-D112)))*(O112/(O112+P112))*(S112/(S112+T112)),(MAX(-35,(C112-D112)))*(IF(P112=0,0.1,(P112/(O112+P112))))*(T112/(S112+T112)))</f>
        <v>-2.11627906976744</v>
      </c>
      <c r="V112" s="0" t="n">
        <f aca="false">IF(L112=1,(MIN(35,(D112-C112)))*(M112/(M112+N112))*(Q112/(Q112+R112)),(MAX(-35,(D112-C112)))*(IF(N112=0,0.1,(N112/(M112+N112))))*(R112/(R112+Q112)))</f>
        <v>11.375</v>
      </c>
    </row>
    <row r="113" customFormat="false" ht="15" hidden="false" customHeight="false" outlineLevel="0" collapsed="false">
      <c r="A113" s="0" t="s">
        <v>69</v>
      </c>
      <c r="B113" s="0" t="s">
        <v>45</v>
      </c>
      <c r="C113" s="0" t="n">
        <v>19</v>
      </c>
      <c r="D113" s="0" t="n">
        <v>10</v>
      </c>
      <c r="E113" s="0" t="n">
        <v>114</v>
      </c>
      <c r="F113" s="0" t="n">
        <v>35</v>
      </c>
      <c r="G113" s="0" t="n">
        <v>274</v>
      </c>
      <c r="H113" s="0" t="n">
        <v>222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f aca="false">VLOOKUP(A113,'Team Data'!$A$1:$P$133,2,FALSE())</f>
        <v>9</v>
      </c>
      <c r="N113" s="0" t="n">
        <f aca="false">VLOOKUP(A113,'Team Data'!$A$1:$P$133,3,FALSE())</f>
        <v>4</v>
      </c>
      <c r="O113" s="0" t="n">
        <f aca="false">VLOOKUP(B113,'Team Data'!$A$1:$P$133,2,FALSE())</f>
        <v>8</v>
      </c>
      <c r="P113" s="0" t="n">
        <f aca="false">VLOOKUP(B113,'Team Data'!$A$1:$P$133,3,FALSE())</f>
        <v>5</v>
      </c>
      <c r="Q113" s="0" t="n">
        <f aca="false">VLOOKUP(A113,'Team Data'!$A$1:$P$133,4,FALSE())</f>
        <v>102</v>
      </c>
      <c r="R113" s="0" t="n">
        <f aca="false">VLOOKUP(A113,'Team Data'!$A$1:$P$133,5,FALSE())</f>
        <v>174</v>
      </c>
      <c r="S113" s="0" t="n">
        <f aca="false">VLOOKUP(B113,'Team Data'!$A$1:$P$133,4,FALSE())</f>
        <v>86</v>
      </c>
      <c r="T113" s="0" t="n">
        <f aca="false">VLOOKUP(B113,'Team Data'!$A$1:$P$133,5,FALSE())</f>
        <v>185</v>
      </c>
      <c r="U113" s="0" t="n">
        <f aca="false">IF(K113=1,(MIN(35,(C113-D113)))*(O113/(O113+P113))*(S113/(S113+T113)),(MAX(-35,(C113-D113)))*(IF(P113=0,0.1,(P113/(O113+P113))))*(T113/(S113+T113)))</f>
        <v>1.75759296054499</v>
      </c>
      <c r="V113" s="0" t="n">
        <f aca="false">IF(L113=1,(MIN(35,(D113-C113)))*(M113/(M113+N113))*(Q113/(Q113+R113)),(MAX(-35,(D113-C113)))*(IF(N113=0,0.1,(N113/(M113+N113))))*(R113/(R113+Q113)))</f>
        <v>-1.74581939799331</v>
      </c>
    </row>
    <row r="114" customFormat="false" ht="15" hidden="false" customHeight="false" outlineLevel="0" collapsed="false">
      <c r="A114" s="0" t="s">
        <v>54</v>
      </c>
      <c r="B114" s="0" t="s">
        <v>92</v>
      </c>
      <c r="C114" s="0" t="n">
        <v>63</v>
      </c>
      <c r="D114" s="0" t="n">
        <v>7</v>
      </c>
      <c r="E114" s="0" t="n">
        <v>225</v>
      </c>
      <c r="F114" s="0" t="n">
        <v>86</v>
      </c>
      <c r="G114" s="0" t="n">
        <v>369</v>
      </c>
      <c r="H114" s="0" t="n">
        <v>170</v>
      </c>
      <c r="I114" s="0" t="n">
        <v>1</v>
      </c>
      <c r="J114" s="0" t="n">
        <v>3</v>
      </c>
      <c r="K114" s="0" t="n">
        <v>1</v>
      </c>
      <c r="L114" s="0" t="n">
        <v>0</v>
      </c>
      <c r="M114" s="0" t="n">
        <f aca="false">VLOOKUP(A114,'Team Data'!$A$1:$P$133,2,FALSE())</f>
        <v>10</v>
      </c>
      <c r="N114" s="0" t="n">
        <f aca="false">VLOOKUP(A114,'Team Data'!$A$1:$P$133,3,FALSE())</f>
        <v>4</v>
      </c>
      <c r="O114" s="0" t="n">
        <f aca="false">VLOOKUP(B114,'Team Data'!$A$1:$P$133,2,FALSE())</f>
        <v>8</v>
      </c>
      <c r="P114" s="0" t="n">
        <f aca="false">VLOOKUP(B114,'Team Data'!$A$1:$P$133,3,FALSE())</f>
        <v>6</v>
      </c>
      <c r="Q114" s="0" t="n">
        <f aca="false">VLOOKUP(A114,'Team Data'!$A$1:$P$133,4,FALSE())</f>
        <v>112</v>
      </c>
      <c r="R114" s="0" t="n">
        <f aca="false">VLOOKUP(A114,'Team Data'!$A$1:$P$133,5,FALSE())</f>
        <v>177</v>
      </c>
      <c r="S114" s="0" t="n">
        <f aca="false">VLOOKUP(B114,'Team Data'!$A$1:$P$133,4,FALSE())</f>
        <v>103</v>
      </c>
      <c r="T114" s="0" t="n">
        <f aca="false">VLOOKUP(B114,'Team Data'!$A$1:$P$133,5,FALSE())</f>
        <v>184</v>
      </c>
      <c r="U114" s="0" t="n">
        <f aca="false">IF(K114=1,(MIN(35,(C114-D114)))*(O114/(O114+P114))*(S114/(S114+T114)),(MAX(-35,(C114-D114)))*(IF(P114=0,0.1,(P114/(O114+P114))))*(T114/(S114+T114)))</f>
        <v>7.17770034843206</v>
      </c>
      <c r="V114" s="0" t="n">
        <f aca="false">IF(L114=1,(MIN(35,(D114-C114)))*(M114/(M114+N114))*(Q114/(Q114+R114)),(MAX(-35,(D114-C114)))*(IF(N114=0,0.1,(N114/(M114+N114))))*(R114/(R114+Q114)))</f>
        <v>-6.12456747404844</v>
      </c>
    </row>
    <row r="115" customFormat="false" ht="15" hidden="false" customHeight="false" outlineLevel="0" collapsed="false">
      <c r="A115" s="0" t="s">
        <v>112</v>
      </c>
      <c r="B115" s="0" t="s">
        <v>120</v>
      </c>
      <c r="C115" s="0" t="n">
        <v>46</v>
      </c>
      <c r="D115" s="0" t="n">
        <v>45</v>
      </c>
      <c r="E115" s="0" t="n">
        <v>305</v>
      </c>
      <c r="F115" s="0" t="n">
        <v>132</v>
      </c>
      <c r="G115" s="0" t="n">
        <v>234</v>
      </c>
      <c r="H115" s="0" t="n">
        <v>460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f aca="false">VLOOKUP(A115,'Team Data'!$A$1:$P$133,2,FALSE())</f>
        <v>12</v>
      </c>
      <c r="N115" s="0" t="n">
        <f aca="false">VLOOKUP(A115,'Team Data'!$A$1:$P$133,3,FALSE())</f>
        <v>2</v>
      </c>
      <c r="O115" s="0" t="n">
        <f aca="false">VLOOKUP(B115,'Team Data'!$A$1:$P$133,2,FALSE())</f>
        <v>11</v>
      </c>
      <c r="P115" s="0" t="n">
        <f aca="false">VLOOKUP(B115,'Team Data'!$A$1:$P$133,3,FALSE())</f>
        <v>3</v>
      </c>
      <c r="Q115" s="0" t="n">
        <f aca="false">VLOOKUP(A115,'Team Data'!$A$1:$P$133,4,FALSE())</f>
        <v>100</v>
      </c>
      <c r="R115" s="0" t="n">
        <f aca="false">VLOOKUP(A115,'Team Data'!$A$1:$P$133,5,FALSE())</f>
        <v>190</v>
      </c>
      <c r="S115" s="0" t="n">
        <f aca="false">VLOOKUP(B115,'Team Data'!$A$1:$P$133,4,FALSE())</f>
        <v>98</v>
      </c>
      <c r="T115" s="0" t="n">
        <f aca="false">VLOOKUP(B115,'Team Data'!$A$1:$P$133,5,FALSE())</f>
        <v>83</v>
      </c>
      <c r="U115" s="0" t="n">
        <f aca="false">IF(K115=1,(MIN(35,(C115-D115)))*(O115/(O115+P115))*(S115/(S115+T115)),(MAX(-35,(C115-D115)))*(IF(P115=0,0.1,(P115/(O115+P115))))*(T115/(S115+T115)))</f>
        <v>0.425414364640884</v>
      </c>
      <c r="V115" s="0" t="n">
        <f aca="false">IF(L115=1,(MIN(35,(D115-C115)))*(M115/(M115+N115))*(Q115/(Q115+R115)),(MAX(-35,(D115-C115)))*(IF(N115=0,0.1,(N115/(M115+N115))))*(R115/(R115+Q115)))</f>
        <v>-0.0935960591133005</v>
      </c>
    </row>
    <row r="116" customFormat="false" ht="15" hidden="false" customHeight="false" outlineLevel="0" collapsed="false">
      <c r="A116" s="0" t="s">
        <v>90</v>
      </c>
      <c r="B116" s="0" t="s">
        <v>124</v>
      </c>
      <c r="C116" s="0" t="n">
        <v>35</v>
      </c>
      <c r="D116" s="0" t="n">
        <v>21</v>
      </c>
      <c r="E116" s="0" t="n">
        <v>169</v>
      </c>
      <c r="F116" s="0" t="n">
        <v>184</v>
      </c>
      <c r="G116" s="0" t="n">
        <v>279</v>
      </c>
      <c r="H116" s="0" t="n">
        <v>207</v>
      </c>
      <c r="I116" s="0" t="n">
        <v>0</v>
      </c>
      <c r="J116" s="0" t="n">
        <v>2</v>
      </c>
      <c r="K116" s="0" t="n">
        <v>1</v>
      </c>
      <c r="L116" s="0" t="n">
        <v>0</v>
      </c>
      <c r="M116" s="0" t="n">
        <f aca="false">VLOOKUP(A116,'Team Data'!$A$1:$P$133,2,FALSE())</f>
        <v>11</v>
      </c>
      <c r="N116" s="0" t="n">
        <f aca="false">VLOOKUP(A116,'Team Data'!$A$1:$P$133,3,FALSE())</f>
        <v>2</v>
      </c>
      <c r="O116" s="0" t="n">
        <f aca="false">VLOOKUP(B116,'Team Data'!$A$1:$P$133,2,FALSE())</f>
        <v>10</v>
      </c>
      <c r="P116" s="0" t="n">
        <f aca="false">VLOOKUP(B116,'Team Data'!$A$1:$P$133,3,FALSE())</f>
        <v>4</v>
      </c>
      <c r="Q116" s="0" t="n">
        <f aca="false">VLOOKUP(A116,'Team Data'!$A$1:$P$133,4,FALSE())</f>
        <v>92</v>
      </c>
      <c r="R116" s="0" t="n">
        <f aca="false">VLOOKUP(A116,'Team Data'!$A$1:$P$133,5,FALSE())</f>
        <v>75</v>
      </c>
      <c r="S116" s="0" t="n">
        <f aca="false">VLOOKUP(B116,'Team Data'!$A$1:$P$133,4,FALSE())</f>
        <v>102</v>
      </c>
      <c r="T116" s="0" t="n">
        <f aca="false">VLOOKUP(B116,'Team Data'!$A$1:$P$133,5,FALSE())</f>
        <v>185</v>
      </c>
      <c r="U116" s="0" t="n">
        <f aca="false">IF(K116=1,(MIN(35,(C116-D116)))*(O116/(O116+P116))*(S116/(S116+T116)),(MAX(-35,(C116-D116)))*(IF(P116=0,0.1,(P116/(O116+P116))))*(T116/(S116+T116)))</f>
        <v>3.55400696864112</v>
      </c>
      <c r="V116" s="0" t="n">
        <f aca="false">IF(L116=1,(MIN(35,(D116-C116)))*(M116/(M116+N116))*(Q116/(Q116+R116)),(MAX(-35,(D116-C116)))*(IF(N116=0,0.1,(N116/(M116+N116))))*(R116/(R116+Q116)))</f>
        <v>-0.967296176877015</v>
      </c>
    </row>
    <row r="117" customFormat="false" ht="15" hidden="false" customHeight="false" outlineLevel="0" collapsed="false">
      <c r="A117" s="0" t="s">
        <v>83</v>
      </c>
      <c r="B117" s="0" t="s">
        <v>39</v>
      </c>
      <c r="C117" s="0" t="n">
        <v>41</v>
      </c>
      <c r="D117" s="0" t="n">
        <v>42</v>
      </c>
      <c r="E117" s="0" t="n">
        <v>119</v>
      </c>
      <c r="F117" s="0" t="n">
        <v>135</v>
      </c>
      <c r="G117" s="0" t="n">
        <v>348</v>
      </c>
      <c r="H117" s="0" t="n">
        <v>398</v>
      </c>
      <c r="I117" s="0" t="n">
        <v>0</v>
      </c>
      <c r="J117" s="0" t="n">
        <v>1</v>
      </c>
      <c r="K117" s="0" t="n">
        <v>0</v>
      </c>
      <c r="L117" s="0" t="n">
        <v>1</v>
      </c>
      <c r="M117" s="0" t="n">
        <f aca="false">VLOOKUP(A117,'Team Data'!$A$1:$P$133,2,FALSE())</f>
        <v>11</v>
      </c>
      <c r="N117" s="0" t="n">
        <f aca="false">VLOOKUP(A117,'Team Data'!$A$1:$P$133,3,FALSE())</f>
        <v>2</v>
      </c>
      <c r="O117" s="0" t="n">
        <f aca="false">VLOOKUP(B117,'Team Data'!$A$1:$P$133,2,FALSE())</f>
        <v>15</v>
      </c>
      <c r="P117" s="0" t="n">
        <f aca="false">VLOOKUP(B117,'Team Data'!$A$1:$P$133,3,FALSE())</f>
        <v>0</v>
      </c>
      <c r="Q117" s="0" t="n">
        <f aca="false">VLOOKUP(A117,'Team Data'!$A$1:$P$133,4,FALSE())</f>
        <v>97</v>
      </c>
      <c r="R117" s="0" t="n">
        <f aca="false">VLOOKUP(A117,'Team Data'!$A$1:$P$133,5,FALSE())</f>
        <v>71</v>
      </c>
      <c r="S117" s="0" t="n">
        <f aca="false">VLOOKUP(B117,'Team Data'!$A$1:$P$133,4,FALSE())</f>
        <v>119</v>
      </c>
      <c r="T117" s="0" t="n">
        <f aca="false">VLOOKUP(B117,'Team Data'!$A$1:$P$133,5,FALSE())</f>
        <v>182</v>
      </c>
      <c r="U117" s="0" t="n">
        <f aca="false">IF(K117=1,(MIN(35,(C117-D117)))*(O117/(O117+P117))*(S117/(S117+T117)),(MAX(-35,(C117-D117)))*(IF(P117=0,0.1,(P117/(O117+P117))))*(T117/(S117+T117)))</f>
        <v>-0.0604651162790698</v>
      </c>
      <c r="V117" s="0" t="n">
        <f aca="false">IF(L117=1,(MIN(35,(D117-C117)))*(M117/(M117+N117))*(Q117/(Q117+R117)),(MAX(-35,(D117-C117)))*(IF(N117=0,0.1,(N117/(M117+N117))))*(R117/(R117+Q117)))</f>
        <v>0.488553113553114</v>
      </c>
    </row>
    <row r="118" customFormat="false" ht="15" hidden="false" customHeight="false" outlineLevel="0" collapsed="false">
      <c r="A118" s="0" t="s">
        <v>103</v>
      </c>
      <c r="B118" s="0" t="s">
        <v>65</v>
      </c>
      <c r="C118" s="0" t="n">
        <v>51</v>
      </c>
      <c r="D118" s="0" t="n">
        <v>45</v>
      </c>
      <c r="E118" s="0" t="n">
        <v>263</v>
      </c>
      <c r="F118" s="0" t="n">
        <v>185</v>
      </c>
      <c r="G118" s="0" t="n">
        <v>225</v>
      </c>
      <c r="H118" s="0" t="n">
        <v>342</v>
      </c>
      <c r="I118" s="0" t="n">
        <v>3</v>
      </c>
      <c r="J118" s="0" t="n">
        <v>3</v>
      </c>
      <c r="K118" s="0" t="n">
        <v>1</v>
      </c>
      <c r="L118" s="0" t="n">
        <v>0</v>
      </c>
      <c r="M118" s="0" t="n">
        <f aca="false">VLOOKUP(A118,'Team Data'!$A$1:$P$133,2,FALSE())</f>
        <v>13</v>
      </c>
      <c r="N118" s="0" t="n">
        <f aca="false">VLOOKUP(A118,'Team Data'!$A$1:$P$133,3,FALSE())</f>
        <v>2</v>
      </c>
      <c r="O118" s="0" t="n">
        <f aca="false">VLOOKUP(B118,'Team Data'!$A$1:$P$133,2,FALSE())</f>
        <v>13</v>
      </c>
      <c r="P118" s="0" t="n">
        <f aca="false">VLOOKUP(B118,'Team Data'!$A$1:$P$133,3,FALSE())</f>
        <v>1</v>
      </c>
      <c r="Q118" s="0" t="n">
        <f aca="false">VLOOKUP(A118,'Team Data'!$A$1:$P$133,4,FALSE())</f>
        <v>114</v>
      </c>
      <c r="R118" s="0" t="n">
        <f aca="false">VLOOKUP(A118,'Team Data'!$A$1:$P$133,5,FALSE())</f>
        <v>190</v>
      </c>
      <c r="S118" s="0" t="n">
        <f aca="false">VLOOKUP(B118,'Team Data'!$A$1:$P$133,4,FALSE())</f>
        <v>96</v>
      </c>
      <c r="T118" s="0" t="n">
        <f aca="false">VLOOKUP(B118,'Team Data'!$A$1:$P$133,5,FALSE())</f>
        <v>84</v>
      </c>
      <c r="U118" s="0" t="n">
        <f aca="false">IF(K118=1,(MIN(35,(C118-D118)))*(O118/(O118+P118))*(S118/(S118+T118)),(MAX(-35,(C118-D118)))*(IF(P118=0,0.1,(P118/(O118+P118))))*(T118/(S118+T118)))</f>
        <v>2.97142857142857</v>
      </c>
      <c r="V118" s="0" t="n">
        <f aca="false">IF(L118=1,(MIN(35,(D118-C118)))*(M118/(M118+N118))*(Q118/(Q118+R118)),(MAX(-35,(D118-C118)))*(IF(N118=0,0.1,(N118/(M118+N118))))*(R118/(R118+Q118)))</f>
        <v>-0.5</v>
      </c>
    </row>
    <row r="119" customFormat="false" ht="15" hidden="false" customHeight="false" outlineLevel="0" collapsed="false">
      <c r="A119" s="0" t="s">
        <v>47</v>
      </c>
      <c r="B119" s="0" t="s">
        <v>53</v>
      </c>
      <c r="C119" s="0" t="n">
        <v>21</v>
      </c>
      <c r="D119" s="0" t="n">
        <v>0</v>
      </c>
      <c r="E119" s="0" t="n">
        <v>67</v>
      </c>
      <c r="F119" s="0" t="n">
        <v>68</v>
      </c>
      <c r="G119" s="0" t="n">
        <v>139</v>
      </c>
      <c r="H119" s="0" t="n">
        <v>117</v>
      </c>
      <c r="I119" s="0" t="n">
        <v>0</v>
      </c>
      <c r="J119" s="0" t="n">
        <v>2</v>
      </c>
      <c r="K119" s="0" t="n">
        <v>1</v>
      </c>
      <c r="L119" s="0" t="n">
        <v>0</v>
      </c>
      <c r="M119" s="0" t="n">
        <f aca="false">VLOOKUP(A119,'Team Data'!$A$1:$P$133,2,FALSE())</f>
        <v>8</v>
      </c>
      <c r="N119" s="0" t="n">
        <f aca="false">VLOOKUP(A119,'Team Data'!$A$1:$P$133,3,FALSE())</f>
        <v>5</v>
      </c>
      <c r="O119" s="0" t="n">
        <f aca="false">VLOOKUP(B119,'Team Data'!$A$1:$P$133,2,FALSE())</f>
        <v>7</v>
      </c>
      <c r="P119" s="0" t="n">
        <f aca="false">VLOOKUP(B119,'Team Data'!$A$1:$P$133,3,FALSE())</f>
        <v>6</v>
      </c>
      <c r="Q119" s="0" t="n">
        <f aca="false">VLOOKUP(A119,'Team Data'!$A$1:$P$133,4,FALSE())</f>
        <v>86</v>
      </c>
      <c r="R119" s="0" t="n">
        <f aca="false">VLOOKUP(A119,'Team Data'!$A$1:$P$133,5,FALSE())</f>
        <v>187</v>
      </c>
      <c r="S119" s="0" t="n">
        <f aca="false">VLOOKUP(B119,'Team Data'!$A$1:$P$133,4,FALSE())</f>
        <v>101</v>
      </c>
      <c r="T119" s="0" t="n">
        <f aca="false">VLOOKUP(B119,'Team Data'!$A$1:$P$133,5,FALSE())</f>
        <v>175</v>
      </c>
      <c r="U119" s="0" t="n">
        <f aca="false">IF(K119=1,(MIN(35,(C119-D119)))*(O119/(O119+P119))*(S119/(S119+T119)),(MAX(-35,(C119-D119)))*(IF(P119=0,0.1,(P119/(O119+P119))))*(T119/(S119+T119)))</f>
        <v>4.13795986622074</v>
      </c>
      <c r="V119" s="0" t="n">
        <f aca="false">IF(L119=1,(MIN(35,(D119-C119)))*(M119/(M119+N119))*(Q119/(Q119+R119)),(MAX(-35,(D119-C119)))*(IF(N119=0,0.1,(N119/(M119+N119))))*(R119/(R119+Q119)))</f>
        <v>-5.53254437869822</v>
      </c>
    </row>
    <row r="120" customFormat="false" ht="15" hidden="false" customHeight="false" outlineLevel="0" collapsed="false">
      <c r="A120" s="0" t="s">
        <v>8</v>
      </c>
      <c r="B120" s="0" t="s">
        <v>51</v>
      </c>
      <c r="C120" s="0" t="n">
        <v>45</v>
      </c>
      <c r="D120" s="0" t="n">
        <v>20</v>
      </c>
      <c r="E120" s="0" t="n">
        <v>175</v>
      </c>
      <c r="F120" s="0" t="n">
        <v>191</v>
      </c>
      <c r="G120" s="0" t="n">
        <v>321</v>
      </c>
      <c r="H120" s="0" t="n">
        <v>210</v>
      </c>
      <c r="I120" s="0" t="n">
        <v>0</v>
      </c>
      <c r="J120" s="0" t="n">
        <v>2</v>
      </c>
      <c r="K120" s="0" t="n">
        <v>1</v>
      </c>
      <c r="L120" s="0" t="n">
        <v>0</v>
      </c>
      <c r="M120" s="0" t="n">
        <f aca="false">VLOOKUP(A120,'Team Data'!$A$1:$P$133,2,FALSE())</f>
        <v>11</v>
      </c>
      <c r="N120" s="0" t="n">
        <f aca="false">VLOOKUP(A120,'Team Data'!$A$1:$P$133,3,FALSE())</f>
        <v>2</v>
      </c>
      <c r="O120" s="0" t="n">
        <f aca="false">VLOOKUP(B120,'Team Data'!$A$1:$P$133,2,FALSE())</f>
        <v>10</v>
      </c>
      <c r="P120" s="0" t="n">
        <f aca="false">VLOOKUP(B120,'Team Data'!$A$1:$P$133,3,FALSE())</f>
        <v>4</v>
      </c>
      <c r="Q120" s="0" t="n">
        <f aca="false">VLOOKUP(A120,'Team Data'!$A$1:$P$133,4,FALSE())</f>
        <v>96</v>
      </c>
      <c r="R120" s="0" t="n">
        <f aca="false">VLOOKUP(A120,'Team Data'!$A$1:$P$133,5,FALSE())</f>
        <v>178</v>
      </c>
      <c r="S120" s="0" t="n">
        <f aca="false">VLOOKUP(B120,'Team Data'!$A$1:$P$133,4,FALSE())</f>
        <v>113</v>
      </c>
      <c r="T120" s="0" t="n">
        <f aca="false">VLOOKUP(B120,'Team Data'!$A$1:$P$133,5,FALSE())</f>
        <v>179</v>
      </c>
      <c r="U120" s="0" t="n">
        <f aca="false">IF(K120=1,(MIN(35,(C120-D120)))*(O120/(O120+P120))*(S120/(S120+T120)),(MAX(-35,(C120-D120)))*(IF(P120=0,0.1,(P120/(O120+P120))))*(T120/(S120+T120)))</f>
        <v>6.91046966731898</v>
      </c>
      <c r="V120" s="0" t="n">
        <f aca="false">IF(L120=1,(MIN(35,(D120-C120)))*(M120/(M120+N120))*(Q120/(Q120+R120)),(MAX(-35,(D120-C120)))*(IF(N120=0,0.1,(N120/(M120+N120))))*(R120/(R120+Q120)))</f>
        <v>-2.49859629421673</v>
      </c>
    </row>
    <row r="121" customFormat="false" ht="15" hidden="false" customHeight="false" outlineLevel="0" collapsed="false">
      <c r="A121" s="0" t="s">
        <v>105</v>
      </c>
      <c r="B121" s="0" t="s">
        <v>27</v>
      </c>
      <c r="C121" s="0" t="n">
        <v>31</v>
      </c>
      <c r="D121" s="0" t="n">
        <v>14</v>
      </c>
      <c r="E121" s="0" t="n">
        <v>124</v>
      </c>
      <c r="F121" s="0" t="n">
        <v>164</v>
      </c>
      <c r="G121" s="0" t="n">
        <v>251</v>
      </c>
      <c r="H121" s="0" t="n">
        <v>320</v>
      </c>
      <c r="I121" s="0" t="n">
        <v>0</v>
      </c>
      <c r="J121" s="0" t="n">
        <v>2</v>
      </c>
      <c r="K121" s="0" t="n">
        <v>1</v>
      </c>
      <c r="L121" s="0" t="n">
        <v>0</v>
      </c>
      <c r="M121" s="0" t="n">
        <f aca="false">VLOOKUP(A121,'Team Data'!$A$1:$P$133,2,FALSE())</f>
        <v>11</v>
      </c>
      <c r="N121" s="0" t="n">
        <f aca="false">VLOOKUP(A121,'Team Data'!$A$1:$P$133,3,FALSE())</f>
        <v>2</v>
      </c>
      <c r="O121" s="0" t="n">
        <f aca="false">VLOOKUP(B121,'Team Data'!$A$1:$P$133,2,FALSE())</f>
        <v>11</v>
      </c>
      <c r="P121" s="0" t="n">
        <f aca="false">VLOOKUP(B121,'Team Data'!$A$1:$P$133,3,FALSE())</f>
        <v>3</v>
      </c>
      <c r="Q121" s="0" t="n">
        <f aca="false">VLOOKUP(A121,'Team Data'!$A$1:$P$133,4,FALSE())</f>
        <v>103</v>
      </c>
      <c r="R121" s="0" t="n">
        <f aca="false">VLOOKUP(A121,'Team Data'!$A$1:$P$133,5,FALSE())</f>
        <v>174</v>
      </c>
      <c r="S121" s="0" t="n">
        <f aca="false">VLOOKUP(B121,'Team Data'!$A$1:$P$133,4,FALSE())</f>
        <v>102</v>
      </c>
      <c r="T121" s="0" t="n">
        <f aca="false">VLOOKUP(B121,'Team Data'!$A$1:$P$133,5,FALSE())</f>
        <v>184</v>
      </c>
      <c r="U121" s="0" t="n">
        <f aca="false">IF(K121=1,(MIN(35,(C121-D121)))*(O121/(O121+P121))*(S121/(S121+T121)),(MAX(-35,(C121-D121)))*(IF(P121=0,0.1,(P121/(O121+P121))))*(T121/(S121+T121)))</f>
        <v>4.76373626373627</v>
      </c>
      <c r="V121" s="0" t="n">
        <f aca="false">IF(L121=1,(MIN(35,(D121-C121)))*(M121/(M121+N121))*(Q121/(Q121+R121)),(MAX(-35,(D121-C121)))*(IF(N121=0,0.1,(N121/(M121+N121))))*(R121/(R121+Q121)))</f>
        <v>-1.64287697861705</v>
      </c>
    </row>
    <row r="122" customFormat="false" ht="15" hidden="false" customHeight="false" outlineLevel="0" collapsed="false">
      <c r="A122" s="0" t="s">
        <v>50</v>
      </c>
      <c r="B122" s="0" t="s">
        <v>12</v>
      </c>
      <c r="C122" s="0" t="n">
        <v>53</v>
      </c>
      <c r="D122" s="0" t="n">
        <v>55</v>
      </c>
      <c r="E122" s="0" t="n">
        <v>59</v>
      </c>
      <c r="F122" s="0" t="n">
        <v>394</v>
      </c>
      <c r="G122" s="0" t="n">
        <v>544</v>
      </c>
      <c r="H122" s="0" t="n">
        <v>287</v>
      </c>
      <c r="I122" s="0" t="n">
        <v>3</v>
      </c>
      <c r="J122" s="0" t="n">
        <v>2</v>
      </c>
      <c r="K122" s="0" t="n">
        <v>0</v>
      </c>
      <c r="L122" s="0" t="n">
        <v>1</v>
      </c>
      <c r="M122" s="0" t="n">
        <f aca="false">VLOOKUP(A122,'Team Data'!$A$1:$P$133,2,FALSE())</f>
        <v>6</v>
      </c>
      <c r="N122" s="0" t="n">
        <f aca="false">VLOOKUP(A122,'Team Data'!$A$1:$P$133,3,FALSE())</f>
        <v>7</v>
      </c>
      <c r="O122" s="0" t="n">
        <f aca="false">VLOOKUP(B122,'Team Data'!$A$1:$P$133,2,FALSE())</f>
        <v>7</v>
      </c>
      <c r="P122" s="0" t="n">
        <f aca="false">VLOOKUP(B122,'Team Data'!$A$1:$P$133,3,FALSE())</f>
        <v>6</v>
      </c>
      <c r="Q122" s="0" t="n">
        <f aca="false">VLOOKUP(A122,'Team Data'!$A$1:$P$133,4,FALSE())</f>
        <v>99</v>
      </c>
      <c r="R122" s="0" t="n">
        <f aca="false">VLOOKUP(A122,'Team Data'!$A$1:$P$133,5,FALSE())</f>
        <v>178</v>
      </c>
      <c r="S122" s="0" t="n">
        <f aca="false">VLOOKUP(B122,'Team Data'!$A$1:$P$133,4,FALSE())</f>
        <v>101</v>
      </c>
      <c r="T122" s="0" t="n">
        <f aca="false">VLOOKUP(B122,'Team Data'!$A$1:$P$133,5,FALSE())</f>
        <v>174</v>
      </c>
      <c r="U122" s="0" t="n">
        <f aca="false">IF(K122=1,(MIN(35,(C122-D122)))*(O122/(O122+P122))*(S122/(S122+T122)),(MAX(-35,(C122-D122)))*(IF(P122=0,0.1,(P122/(O122+P122))))*(T122/(S122+T122)))</f>
        <v>-0.584055944055944</v>
      </c>
      <c r="V122" s="0" t="n">
        <f aca="false">IF(L122=1,(MIN(35,(D122-C122)))*(M122/(M122+N122))*(Q122/(Q122+R122)),(MAX(-35,(D122-C122)))*(IF(N122=0,0.1,(N122/(M122+N122))))*(R122/(R122+Q122)))</f>
        <v>0.329908358789225</v>
      </c>
    </row>
    <row r="123" customFormat="false" ht="15" hidden="false" customHeight="false" outlineLevel="0" collapsed="false">
      <c r="A123" s="0" t="s">
        <v>109</v>
      </c>
      <c r="B123" s="0" t="s">
        <v>87</v>
      </c>
      <c r="C123" s="0" t="n">
        <v>42</v>
      </c>
      <c r="D123" s="0" t="n">
        <v>25</v>
      </c>
      <c r="E123" s="0" t="n">
        <v>244</v>
      </c>
      <c r="F123" s="0" t="n">
        <v>197</v>
      </c>
      <c r="G123" s="0" t="n">
        <v>242</v>
      </c>
      <c r="H123" s="0" t="n">
        <v>361</v>
      </c>
      <c r="I123" s="0" t="n">
        <v>3</v>
      </c>
      <c r="J123" s="0" t="n">
        <v>4</v>
      </c>
      <c r="K123" s="0" t="n">
        <v>1</v>
      </c>
      <c r="L123" s="0" t="n">
        <v>0</v>
      </c>
      <c r="M123" s="0" t="n">
        <f aca="false">VLOOKUP(A123,'Team Data'!$A$1:$P$133,2,FALSE())</f>
        <v>8</v>
      </c>
      <c r="N123" s="0" t="n">
        <f aca="false">VLOOKUP(A123,'Team Data'!$A$1:$P$133,3,FALSE())</f>
        <v>5</v>
      </c>
      <c r="O123" s="0" t="n">
        <f aca="false">VLOOKUP(B123,'Team Data'!$A$1:$P$133,2,FALSE())</f>
        <v>8</v>
      </c>
      <c r="P123" s="0" t="n">
        <f aca="false">VLOOKUP(B123,'Team Data'!$A$1:$P$133,3,FALSE())</f>
        <v>5</v>
      </c>
      <c r="Q123" s="0" t="n">
        <f aca="false">VLOOKUP(A123,'Team Data'!$A$1:$P$133,4,FALSE())</f>
        <v>97</v>
      </c>
      <c r="R123" s="0" t="n">
        <f aca="false">VLOOKUP(A123,'Team Data'!$A$1:$P$133,5,FALSE())</f>
        <v>180</v>
      </c>
      <c r="S123" s="0" t="n">
        <f aca="false">VLOOKUP(B123,'Team Data'!$A$1:$P$133,4,FALSE())</f>
        <v>97</v>
      </c>
      <c r="T123" s="0" t="n">
        <f aca="false">VLOOKUP(B123,'Team Data'!$A$1:$P$133,5,FALSE())</f>
        <v>176</v>
      </c>
      <c r="U123" s="0" t="n">
        <f aca="false">IF(K123=1,(MIN(35,(C123-D123)))*(O123/(O123+P123))*(S123/(S123+T123)),(MAX(-35,(C123-D123)))*(IF(P123=0,0.1,(P123/(O123+P123))))*(T123/(S123+T123)))</f>
        <v>3.7171034094111</v>
      </c>
      <c r="V123" s="0" t="n">
        <f aca="false">IF(L123=1,(MIN(35,(D123-C123)))*(M123/(M123+N123))*(Q123/(Q123+R123)),(MAX(-35,(D123-C123)))*(IF(N123=0,0.1,(N123/(M123+N123))))*(R123/(R123+Q123)))</f>
        <v>-4.24881977228548</v>
      </c>
    </row>
    <row r="124" customFormat="false" ht="15" hidden="false" customHeight="false" outlineLevel="0" collapsed="false">
      <c r="A124" s="0" t="s">
        <v>102</v>
      </c>
      <c r="B124" s="0" t="s">
        <v>68</v>
      </c>
      <c r="C124" s="0" t="n">
        <v>20</v>
      </c>
      <c r="D124" s="0" t="n">
        <v>28</v>
      </c>
      <c r="E124" s="0" t="n">
        <v>147</v>
      </c>
      <c r="F124" s="0" t="n">
        <v>75</v>
      </c>
      <c r="G124" s="0" t="n">
        <v>330</v>
      </c>
      <c r="H124" s="0" t="n">
        <v>138</v>
      </c>
      <c r="I124" s="0" t="n">
        <v>1</v>
      </c>
      <c r="J124" s="0" t="n">
        <v>0</v>
      </c>
      <c r="K124" s="0" t="n">
        <v>0</v>
      </c>
      <c r="L124" s="0" t="n">
        <v>1</v>
      </c>
      <c r="M124" s="0" t="n">
        <f aca="false">VLOOKUP(A124,'Team Data'!$A$1:$P$133,2,FALSE())</f>
        <v>7</v>
      </c>
      <c r="N124" s="0" t="n">
        <f aca="false">VLOOKUP(A124,'Team Data'!$A$1:$P$133,3,FALSE())</f>
        <v>6</v>
      </c>
      <c r="O124" s="0" t="n">
        <f aca="false">VLOOKUP(B124,'Team Data'!$A$1:$P$133,2,FALSE())</f>
        <v>9</v>
      </c>
      <c r="P124" s="0" t="n">
        <f aca="false">VLOOKUP(B124,'Team Data'!$A$1:$P$133,3,FALSE())</f>
        <v>4</v>
      </c>
      <c r="Q124" s="0" t="n">
        <f aca="false">VLOOKUP(A124,'Team Data'!$A$1:$P$133,4,FALSE())</f>
        <v>100</v>
      </c>
      <c r="R124" s="0" t="n">
        <f aca="false">VLOOKUP(A124,'Team Data'!$A$1:$P$133,5,FALSE())</f>
        <v>174</v>
      </c>
      <c r="S124" s="0" t="n">
        <f aca="false">VLOOKUP(B124,'Team Data'!$A$1:$P$133,4,FALSE())</f>
        <v>79</v>
      </c>
      <c r="T124" s="0" t="n">
        <f aca="false">VLOOKUP(B124,'Team Data'!$A$1:$P$133,5,FALSE())</f>
        <v>193</v>
      </c>
      <c r="U124" s="0" t="n">
        <f aca="false">IF(K124=1,(MIN(35,(C124-D124)))*(O124/(O124+P124))*(S124/(S124+T124)),(MAX(-35,(C124-D124)))*(IF(P124=0,0.1,(P124/(O124+P124))))*(T124/(S124+T124)))</f>
        <v>-1.74660633484163</v>
      </c>
      <c r="V124" s="0" t="n">
        <f aca="false">IF(L124=1,(MIN(35,(D124-C124)))*(M124/(M124+N124))*(Q124/(Q124+R124)),(MAX(-35,(D124-C124)))*(IF(N124=0,0.1,(N124/(M124+N124))))*(R124/(R124+Q124)))</f>
        <v>1.57215047725997</v>
      </c>
    </row>
    <row r="125" customFormat="false" ht="15" hidden="false" customHeight="false" outlineLevel="0" collapsed="false">
      <c r="A125" s="0" t="s">
        <v>84</v>
      </c>
      <c r="B125" s="0" t="s">
        <v>37</v>
      </c>
      <c r="C125" s="0" t="n">
        <v>32</v>
      </c>
      <c r="D125" s="0" t="n">
        <v>35</v>
      </c>
      <c r="E125" s="0" t="n">
        <v>260</v>
      </c>
      <c r="F125" s="0" t="n">
        <v>169</v>
      </c>
      <c r="G125" s="0" t="n">
        <v>243</v>
      </c>
      <c r="H125" s="0" t="n">
        <v>418</v>
      </c>
      <c r="I125" s="0" t="n">
        <v>1</v>
      </c>
      <c r="J125" s="0" t="n">
        <v>1</v>
      </c>
      <c r="K125" s="0" t="n">
        <v>0</v>
      </c>
      <c r="L125" s="0" t="n">
        <v>1</v>
      </c>
      <c r="M125" s="0" t="n">
        <f aca="false">VLOOKUP(A125,'Team Data'!$A$1:$P$133,2,FALSE())</f>
        <v>6</v>
      </c>
      <c r="N125" s="0" t="n">
        <f aca="false">VLOOKUP(A125,'Team Data'!$A$1:$P$133,3,FALSE())</f>
        <v>7</v>
      </c>
      <c r="O125" s="0" t="n">
        <f aca="false">VLOOKUP(B125,'Team Data'!$A$1:$P$133,2,FALSE())</f>
        <v>10</v>
      </c>
      <c r="P125" s="0" t="n">
        <f aca="false">VLOOKUP(B125,'Team Data'!$A$1:$P$133,3,FALSE())</f>
        <v>3</v>
      </c>
      <c r="Q125" s="0" t="n">
        <f aca="false">VLOOKUP(A125,'Team Data'!$A$1:$P$133,4,FALSE())</f>
        <v>91</v>
      </c>
      <c r="R125" s="0" t="n">
        <f aca="false">VLOOKUP(A125,'Team Data'!$A$1:$P$133,5,FALSE())</f>
        <v>76</v>
      </c>
      <c r="S125" s="0" t="n">
        <f aca="false">VLOOKUP(B125,'Team Data'!$A$1:$P$133,4,FALSE())</f>
        <v>91</v>
      </c>
      <c r="T125" s="0" t="n">
        <f aca="false">VLOOKUP(B125,'Team Data'!$A$1:$P$133,5,FALSE())</f>
        <v>184</v>
      </c>
      <c r="U125" s="0" t="n">
        <f aca="false">IF(K125=1,(MIN(35,(C125-D125)))*(O125/(O125+P125))*(S125/(S125+T125)),(MAX(-35,(C125-D125)))*(IF(P125=0,0.1,(P125/(O125+P125))))*(T125/(S125+T125)))</f>
        <v>-0.463216783216783</v>
      </c>
      <c r="V125" s="0" t="n">
        <f aca="false">IF(L125=1,(MIN(35,(D125-C125)))*(M125/(M125+N125))*(Q125/(Q125+R125)),(MAX(-35,(D125-C125)))*(IF(N125=0,0.1,(N125/(M125+N125))))*(R125/(R125+Q125)))</f>
        <v>0.754491017964072</v>
      </c>
    </row>
    <row r="126" customFormat="false" ht="15" hidden="false" customHeight="false" outlineLevel="0" collapsed="false">
      <c r="A126" s="0" t="s">
        <v>106</v>
      </c>
      <c r="B126" s="0" t="s">
        <v>130</v>
      </c>
      <c r="C126" s="0" t="n">
        <v>20</v>
      </c>
      <c r="D126" s="0" t="n">
        <v>27</v>
      </c>
      <c r="E126" s="0" t="n">
        <v>51</v>
      </c>
      <c r="F126" s="0" t="n">
        <v>153</v>
      </c>
      <c r="G126" s="0" t="n">
        <v>369</v>
      </c>
      <c r="H126" s="0" t="n">
        <v>287</v>
      </c>
      <c r="I126" s="0" t="n">
        <v>0</v>
      </c>
      <c r="J126" s="0" t="n">
        <v>1</v>
      </c>
      <c r="K126" s="0" t="n">
        <v>0</v>
      </c>
      <c r="L126" s="0" t="n">
        <v>1</v>
      </c>
      <c r="M126" s="0" t="n">
        <f aca="false">VLOOKUP(A126,'Team Data'!$A$1:$P$133,2,FALSE())</f>
        <v>8</v>
      </c>
      <c r="N126" s="0" t="n">
        <f aca="false">VLOOKUP(A126,'Team Data'!$A$1:$P$133,3,FALSE())</f>
        <v>5</v>
      </c>
      <c r="O126" s="0" t="n">
        <f aca="false">VLOOKUP(B126,'Team Data'!$A$1:$P$133,2,FALSE())</f>
        <v>11</v>
      </c>
      <c r="P126" s="0" t="n">
        <f aca="false">VLOOKUP(B126,'Team Data'!$A$1:$P$133,3,FALSE())</f>
        <v>2</v>
      </c>
      <c r="Q126" s="0" t="n">
        <f aca="false">VLOOKUP(A126,'Team Data'!$A$1:$P$133,4,FALSE())</f>
        <v>102</v>
      </c>
      <c r="R126" s="0" t="n">
        <f aca="false">VLOOKUP(A126,'Team Data'!$A$1:$P$133,5,FALSE())</f>
        <v>68</v>
      </c>
      <c r="S126" s="0" t="n">
        <f aca="false">VLOOKUP(B126,'Team Data'!$A$1:$P$133,4,FALSE())</f>
        <v>78</v>
      </c>
      <c r="T126" s="0" t="n">
        <f aca="false">VLOOKUP(B126,'Team Data'!$A$1:$P$133,5,FALSE())</f>
        <v>191</v>
      </c>
      <c r="U126" s="0" t="n">
        <f aca="false">IF(K126=1,(MIN(35,(C126-D126)))*(O126/(O126+P126))*(S126/(S126+T126)),(MAX(-35,(C126-D126)))*(IF(P126=0,0.1,(P126/(O126+P126))))*(T126/(S126+T126)))</f>
        <v>-0.764655418930512</v>
      </c>
      <c r="V126" s="0" t="n">
        <f aca="false">IF(L126=1,(MIN(35,(D126-C126)))*(M126/(M126+N126))*(Q126/(Q126+R126)),(MAX(-35,(D126-C126)))*(IF(N126=0,0.1,(N126/(M126+N126))))*(R126/(R126+Q126)))</f>
        <v>2.58461538461538</v>
      </c>
    </row>
    <row r="127" customFormat="false" ht="15" hidden="false" customHeight="false" outlineLevel="0" collapsed="false">
      <c r="A127" s="0" t="s">
        <v>61</v>
      </c>
      <c r="B127" s="0" t="s">
        <v>71</v>
      </c>
      <c r="C127" s="0" t="n">
        <v>16</v>
      </c>
      <c r="D127" s="0" t="n">
        <v>12</v>
      </c>
      <c r="E127" s="0" t="n">
        <v>76</v>
      </c>
      <c r="F127" s="0" t="n">
        <v>27</v>
      </c>
      <c r="G127" s="0" t="n">
        <v>266</v>
      </c>
      <c r="H127" s="0" t="n">
        <v>269</v>
      </c>
      <c r="I127" s="0" t="n">
        <v>2</v>
      </c>
      <c r="J127" s="0" t="n">
        <v>2</v>
      </c>
      <c r="K127" s="0" t="n">
        <v>1</v>
      </c>
      <c r="L127" s="0" t="n">
        <v>0</v>
      </c>
      <c r="M127" s="0" t="n">
        <f aca="false">VLOOKUP(A127,'Team Data'!$A$1:$P$133,2,FALSE())</f>
        <v>8</v>
      </c>
      <c r="N127" s="0" t="n">
        <f aca="false">VLOOKUP(A127,'Team Data'!$A$1:$P$133,3,FALSE())</f>
        <v>5</v>
      </c>
      <c r="O127" s="0" t="n">
        <f aca="false">VLOOKUP(B127,'Team Data'!$A$1:$P$133,2,FALSE())</f>
        <v>8</v>
      </c>
      <c r="P127" s="0" t="n">
        <f aca="false">VLOOKUP(B127,'Team Data'!$A$1:$P$133,3,FALSE())</f>
        <v>5</v>
      </c>
      <c r="Q127" s="0" t="n">
        <f aca="false">VLOOKUP(A127,'Team Data'!$A$1:$P$133,4,FALSE())</f>
        <v>89</v>
      </c>
      <c r="R127" s="0" t="n">
        <f aca="false">VLOOKUP(A127,'Team Data'!$A$1:$P$133,5,FALSE())</f>
        <v>77</v>
      </c>
      <c r="S127" s="0" t="n">
        <f aca="false">VLOOKUP(B127,'Team Data'!$A$1:$P$133,4,FALSE())</f>
        <v>97</v>
      </c>
      <c r="T127" s="0" t="n">
        <f aca="false">VLOOKUP(B127,'Team Data'!$A$1:$P$133,5,FALSE())</f>
        <v>178</v>
      </c>
      <c r="U127" s="0" t="n">
        <f aca="false">IF(K127=1,(MIN(35,(C127-D127)))*(O127/(O127+P127))*(S127/(S127+T127)),(MAX(-35,(C127-D127)))*(IF(P127=0,0.1,(P127/(O127+P127))))*(T127/(S127+T127)))</f>
        <v>0.868251748251748</v>
      </c>
      <c r="V127" s="0" t="n">
        <f aca="false">IF(L127=1,(MIN(35,(D127-C127)))*(M127/(M127+N127))*(Q127/(Q127+R127)),(MAX(-35,(D127-C127)))*(IF(N127=0,0.1,(N127/(M127+N127))))*(R127/(R127+Q127)))</f>
        <v>-0.713623725671919</v>
      </c>
    </row>
    <row r="128" customFormat="false" ht="15" hidden="false" customHeight="false" outlineLevel="0" collapsed="false">
      <c r="A128" s="0" t="s">
        <v>81</v>
      </c>
      <c r="B128" s="0" t="s">
        <v>99</v>
      </c>
      <c r="C128" s="0" t="n">
        <v>45</v>
      </c>
      <c r="D128" s="0" t="n">
        <v>38</v>
      </c>
      <c r="E128" s="0" t="n">
        <v>265</v>
      </c>
      <c r="F128" s="0" t="n">
        <v>76</v>
      </c>
      <c r="G128" s="0" t="n">
        <v>294</v>
      </c>
      <c r="H128" s="0" t="n">
        <v>287</v>
      </c>
      <c r="I128" s="0" t="n">
        <v>3</v>
      </c>
      <c r="J128" s="0" t="n">
        <v>2</v>
      </c>
      <c r="K128" s="0" t="n">
        <v>1</v>
      </c>
      <c r="L128" s="0" t="n">
        <v>0</v>
      </c>
      <c r="M128" s="0" t="n">
        <f aca="false">VLOOKUP(A128,'Team Data'!$A$1:$P$133,2,FALSE())</f>
        <v>9</v>
      </c>
      <c r="N128" s="0" t="n">
        <f aca="false">VLOOKUP(A128,'Team Data'!$A$1:$P$133,3,FALSE())</f>
        <v>4</v>
      </c>
      <c r="O128" s="0" t="n">
        <f aca="false">VLOOKUP(B128,'Team Data'!$A$1:$P$133,2,FALSE())</f>
        <v>8</v>
      </c>
      <c r="P128" s="0" t="n">
        <f aca="false">VLOOKUP(B128,'Team Data'!$A$1:$P$133,3,FALSE())</f>
        <v>5</v>
      </c>
      <c r="Q128" s="0" t="n">
        <f aca="false">VLOOKUP(A128,'Team Data'!$A$1:$P$133,4,FALSE())</f>
        <v>93</v>
      </c>
      <c r="R128" s="0" t="n">
        <f aca="false">VLOOKUP(A128,'Team Data'!$A$1:$P$133,5,FALSE())</f>
        <v>74</v>
      </c>
      <c r="S128" s="0" t="n">
        <f aca="false">VLOOKUP(B128,'Team Data'!$A$1:$P$133,4,FALSE())</f>
        <v>97</v>
      </c>
      <c r="T128" s="0" t="n">
        <f aca="false">VLOOKUP(B128,'Team Data'!$A$1:$P$133,5,FALSE())</f>
        <v>178</v>
      </c>
      <c r="U128" s="0" t="n">
        <f aca="false">IF(K128=1,(MIN(35,(C128-D128)))*(O128/(O128+P128))*(S128/(S128+T128)),(MAX(-35,(C128-D128)))*(IF(P128=0,0.1,(P128/(O128+P128))))*(T128/(S128+T128)))</f>
        <v>1.51944055944056</v>
      </c>
      <c r="V128" s="0" t="n">
        <f aca="false">IF(L128=1,(MIN(35,(D128-C128)))*(M128/(M128+N128))*(Q128/(Q128+R128)),(MAX(-35,(D128-C128)))*(IF(N128=0,0.1,(N128/(M128+N128))))*(R128/(R128+Q128)))</f>
        <v>-0.954398894518655</v>
      </c>
    </row>
    <row r="129" customFormat="false" ht="15" hidden="false" customHeight="false" outlineLevel="0" collapsed="false">
      <c r="A129" s="0" t="s">
        <v>76</v>
      </c>
      <c r="B129" s="0" t="s">
        <v>21</v>
      </c>
      <c r="C129" s="0" t="n">
        <v>24</v>
      </c>
      <c r="D129" s="0" t="n">
        <v>19</v>
      </c>
      <c r="E129" s="0" t="n">
        <v>240</v>
      </c>
      <c r="F129" s="0" t="n">
        <v>73</v>
      </c>
      <c r="G129" s="0" t="n">
        <v>167</v>
      </c>
      <c r="H129" s="0" t="n">
        <v>221</v>
      </c>
      <c r="I129" s="0" t="n">
        <v>1</v>
      </c>
      <c r="J129" s="0" t="n">
        <v>2</v>
      </c>
      <c r="K129" s="0" t="n">
        <v>1</v>
      </c>
      <c r="L129" s="0" t="n">
        <v>0</v>
      </c>
      <c r="M129" s="0" t="n">
        <f aca="false">VLOOKUP(A129,'Team Data'!$A$1:$P$133,2,FALSE())</f>
        <v>7</v>
      </c>
      <c r="N129" s="0" t="n">
        <f aca="false">VLOOKUP(A129,'Team Data'!$A$1:$P$133,3,FALSE())</f>
        <v>6</v>
      </c>
      <c r="O129" s="0" t="n">
        <f aca="false">VLOOKUP(B129,'Team Data'!$A$1:$P$133,2,FALSE())</f>
        <v>6</v>
      </c>
      <c r="P129" s="0" t="n">
        <f aca="false">VLOOKUP(B129,'Team Data'!$A$1:$P$133,3,FALSE())</f>
        <v>7</v>
      </c>
      <c r="Q129" s="0" t="n">
        <f aca="false">VLOOKUP(A129,'Team Data'!$A$1:$P$133,4,FALSE())</f>
        <v>69</v>
      </c>
      <c r="R129" s="0" t="n">
        <f aca="false">VLOOKUP(A129,'Team Data'!$A$1:$P$133,5,FALSE())</f>
        <v>309</v>
      </c>
      <c r="S129" s="0" t="n">
        <f aca="false">VLOOKUP(B129,'Team Data'!$A$1:$P$133,4,FALSE())</f>
        <v>90</v>
      </c>
      <c r="T129" s="0" t="n">
        <f aca="false">VLOOKUP(B129,'Team Data'!$A$1:$P$133,5,FALSE())</f>
        <v>184</v>
      </c>
      <c r="U129" s="0" t="n">
        <f aca="false">IF(K129=1,(MIN(35,(C129-D129)))*(O129/(O129+P129))*(S129/(S129+T129)),(MAX(-35,(C129-D129)))*(IF(P129=0,0.1,(P129/(O129+P129))))*(T129/(S129+T129)))</f>
        <v>0.758001122964627</v>
      </c>
      <c r="V129" s="0" t="n">
        <f aca="false">IF(L129=1,(MIN(35,(D129-C129)))*(M129/(M129+N129))*(Q129/(Q129+R129)),(MAX(-35,(D129-C129)))*(IF(N129=0,0.1,(N129/(M129+N129))))*(R129/(R129+Q129)))</f>
        <v>-1.88644688644689</v>
      </c>
    </row>
    <row r="130" customFormat="false" ht="15" hidden="false" customHeight="false" outlineLevel="0" collapsed="false">
      <c r="A130" s="0" t="s">
        <v>131</v>
      </c>
      <c r="B130" s="0" t="s">
        <v>38</v>
      </c>
      <c r="C130" s="0" t="n">
        <v>6</v>
      </c>
      <c r="D130" s="0" t="n">
        <v>29</v>
      </c>
      <c r="E130" s="0" t="n">
        <v>38</v>
      </c>
      <c r="F130" s="0" t="n">
        <v>229</v>
      </c>
      <c r="G130" s="0" t="n">
        <v>137</v>
      </c>
      <c r="H130" s="0" t="n">
        <v>272</v>
      </c>
      <c r="I130" s="0" t="n">
        <v>1</v>
      </c>
      <c r="J130" s="0" t="n">
        <v>0</v>
      </c>
      <c r="K130" s="0" t="n">
        <v>0</v>
      </c>
      <c r="L130" s="0" t="n">
        <v>1</v>
      </c>
      <c r="M130" s="0" t="n">
        <f aca="false">VLOOKUP(A130,'Team Data'!$A$1:$P$133,2,FALSE())</f>
        <v>7</v>
      </c>
      <c r="N130" s="0" t="n">
        <f aca="false">VLOOKUP(A130,'Team Data'!$A$1:$P$133,3,FALSE())</f>
        <v>6</v>
      </c>
      <c r="O130" s="0" t="n">
        <f aca="false">VLOOKUP(B130,'Team Data'!$A$1:$P$133,2,FALSE())</f>
        <v>10</v>
      </c>
      <c r="P130" s="0" t="n">
        <f aca="false">VLOOKUP(B130,'Team Data'!$A$1:$P$133,3,FALSE())</f>
        <v>4</v>
      </c>
      <c r="Q130" s="0" t="n">
        <f aca="false">VLOOKUP(A130,'Team Data'!$A$1:$P$133,4,FALSE())</f>
        <v>95</v>
      </c>
      <c r="R130" s="0" t="n">
        <f aca="false">VLOOKUP(A130,'Team Data'!$A$1:$P$133,5,FALSE())</f>
        <v>179</v>
      </c>
      <c r="S130" s="0" t="n">
        <f aca="false">VLOOKUP(B130,'Team Data'!$A$1:$P$133,4,FALSE())</f>
        <v>95</v>
      </c>
      <c r="T130" s="0" t="n">
        <f aca="false">VLOOKUP(B130,'Team Data'!$A$1:$P$133,5,FALSE())</f>
        <v>193</v>
      </c>
      <c r="U130" s="0" t="n">
        <f aca="false">IF(K130=1,(MIN(35,(C130-D130)))*(O130/(O130+P130))*(S130/(S130+T130)),(MAX(-35,(C130-D130)))*(IF(P130=0,0.1,(P130/(O130+P130))))*(T130/(S130+T130)))</f>
        <v>-4.40376984126984</v>
      </c>
      <c r="V130" s="0" t="n">
        <f aca="false">IF(L130=1,(MIN(35,(D130-C130)))*(M130/(M130+N130))*(Q130/(Q130+R130)),(MAX(-35,(D130-C130)))*(IF(N130=0,0.1,(N130/(M130+N130))))*(R130/(R130+Q130)))</f>
        <v>4.29393599101628</v>
      </c>
    </row>
    <row r="131" customFormat="false" ht="15" hidden="false" customHeight="false" outlineLevel="0" collapsed="false">
      <c r="A131" s="0" t="s">
        <v>133</v>
      </c>
      <c r="B131" s="0" t="s">
        <v>98</v>
      </c>
      <c r="C131" s="0" t="n">
        <v>44</v>
      </c>
      <c r="D131" s="0" t="n">
        <v>23</v>
      </c>
      <c r="E131" s="0" t="n">
        <v>155</v>
      </c>
      <c r="F131" s="0" t="n">
        <v>44</v>
      </c>
      <c r="G131" s="0" t="n">
        <v>522</v>
      </c>
      <c r="H131" s="0" t="n">
        <v>377</v>
      </c>
      <c r="I131" s="0" t="n">
        <v>1</v>
      </c>
      <c r="J131" s="0" t="n">
        <v>2</v>
      </c>
      <c r="K131" s="0" t="n">
        <v>1</v>
      </c>
      <c r="L131" s="0" t="n">
        <v>0</v>
      </c>
      <c r="M131" s="0" t="n">
        <f aca="false">VLOOKUP(A131,'Team Data'!$A$1:$P$133,2,FALSE())</f>
        <v>9</v>
      </c>
      <c r="N131" s="0" t="n">
        <f aca="false">VLOOKUP(A131,'Team Data'!$A$1:$P$133,3,FALSE())</f>
        <v>5</v>
      </c>
      <c r="O131" s="0" t="n">
        <f aca="false">VLOOKUP(B131,'Team Data'!$A$1:$P$133,2,FALSE())</f>
        <v>10</v>
      </c>
      <c r="P131" s="0" t="n">
        <f aca="false">VLOOKUP(B131,'Team Data'!$A$1:$P$133,3,FALSE())</f>
        <v>3</v>
      </c>
      <c r="Q131" s="0" t="n">
        <f aca="false">VLOOKUP(A131,'Team Data'!$A$1:$P$133,4,FALSE())</f>
        <v>92</v>
      </c>
      <c r="R131" s="0" t="n">
        <f aca="false">VLOOKUP(A131,'Team Data'!$A$1:$P$133,5,FALSE())</f>
        <v>195</v>
      </c>
      <c r="S131" s="0" t="n">
        <f aca="false">VLOOKUP(B131,'Team Data'!$A$1:$P$133,4,FALSE())</f>
        <v>78</v>
      </c>
      <c r="T131" s="0" t="n">
        <f aca="false">VLOOKUP(B131,'Team Data'!$A$1:$P$133,5,FALSE())</f>
        <v>194</v>
      </c>
      <c r="U131" s="0" t="n">
        <f aca="false">IF(K131=1,(MIN(35,(C131-D131)))*(O131/(O131+P131))*(S131/(S131+T131)),(MAX(-35,(C131-D131)))*(IF(P131=0,0.1,(P131/(O131+P131))))*(T131/(S131+T131)))</f>
        <v>4.63235294117647</v>
      </c>
      <c r="V131" s="0" t="n">
        <f aca="false">IF(L131=1,(MIN(35,(D131-C131)))*(M131/(M131+N131))*(Q131/(Q131+R131)),(MAX(-35,(D131-C131)))*(IF(N131=0,0.1,(N131/(M131+N131))))*(R131/(R131+Q131)))</f>
        <v>-5.09581881533101</v>
      </c>
    </row>
    <row r="132" customFormat="false" ht="15" hidden="false" customHeight="false" outlineLevel="0" collapsed="false">
      <c r="A132" s="0" t="s">
        <v>18</v>
      </c>
      <c r="B132" s="0" t="s">
        <v>6</v>
      </c>
      <c r="C132" s="0" t="n">
        <v>15</v>
      </c>
      <c r="D132" s="0" t="n">
        <v>30</v>
      </c>
      <c r="E132" s="0" t="n">
        <v>42</v>
      </c>
      <c r="F132" s="0" t="n">
        <v>276</v>
      </c>
      <c r="G132" s="0" t="n">
        <v>188</v>
      </c>
      <c r="H132" s="0" t="n">
        <v>103</v>
      </c>
      <c r="I132" s="0" t="n">
        <v>0</v>
      </c>
      <c r="J132" s="0" t="n">
        <v>0</v>
      </c>
      <c r="K132" s="0" t="n">
        <v>0</v>
      </c>
      <c r="L132" s="0" t="n">
        <v>1</v>
      </c>
      <c r="M132" s="0" t="n">
        <f aca="false">VLOOKUP(A132,'Team Data'!$A$1:$P$133,2,FALSE())</f>
        <v>6</v>
      </c>
      <c r="N132" s="0" t="n">
        <f aca="false">VLOOKUP(A132,'Team Data'!$A$1:$P$133,3,FALSE())</f>
        <v>7</v>
      </c>
      <c r="O132" s="0" t="n">
        <f aca="false">VLOOKUP(B132,'Team Data'!$A$1:$P$133,2,FALSE())</f>
        <v>10</v>
      </c>
      <c r="P132" s="0" t="n">
        <f aca="false">VLOOKUP(B132,'Team Data'!$A$1:$P$133,3,FALSE())</f>
        <v>3</v>
      </c>
      <c r="Q132" s="0" t="n">
        <f aca="false">VLOOKUP(A132,'Team Data'!$A$1:$P$133,4,FALSE())</f>
        <v>97</v>
      </c>
      <c r="R132" s="0" t="n">
        <f aca="false">VLOOKUP(A132,'Team Data'!$A$1:$P$133,5,FALSE())</f>
        <v>179</v>
      </c>
      <c r="S132" s="0" t="n">
        <f aca="false">VLOOKUP(B132,'Team Data'!$A$1:$P$133,4,FALSE())</f>
        <v>67</v>
      </c>
      <c r="T132" s="0" t="n">
        <f aca="false">VLOOKUP(B132,'Team Data'!$A$1:$P$133,5,FALSE())</f>
        <v>203</v>
      </c>
      <c r="U132" s="0" t="n">
        <f aca="false">IF(K132=1,(MIN(35,(C132-D132)))*(O132/(O132+P132))*(S132/(S132+T132)),(MAX(-35,(C132-D132)))*(IF(P132=0,0.1,(P132/(O132+P132))))*(T132/(S132+T132)))</f>
        <v>-2.6025641025641</v>
      </c>
      <c r="V132" s="0" t="n">
        <f aca="false">IF(L132=1,(MIN(35,(D132-C132)))*(M132/(M132+N132))*(Q132/(Q132+R132)),(MAX(-35,(D132-C132)))*(IF(N132=0,0.1,(N132/(M132+N132))))*(R132/(R132+Q132)))</f>
        <v>2.43311036789298</v>
      </c>
    </row>
    <row r="133" customFormat="false" ht="15" hidden="false" customHeight="false" outlineLevel="0" collapsed="false">
      <c r="A133" s="0" t="s">
        <v>93</v>
      </c>
      <c r="B133" s="0" t="s">
        <v>100</v>
      </c>
      <c r="C133" s="0" t="n">
        <v>24</v>
      </c>
      <c r="D133" s="0" t="n">
        <v>38</v>
      </c>
      <c r="E133" s="0" t="n">
        <v>123</v>
      </c>
      <c r="F133" s="0" t="n">
        <v>361</v>
      </c>
      <c r="G133" s="0" t="n">
        <v>302</v>
      </c>
      <c r="H133" s="0" t="n">
        <v>189</v>
      </c>
      <c r="I133" s="0" t="n">
        <v>2</v>
      </c>
      <c r="J133" s="0" t="n">
        <v>3</v>
      </c>
      <c r="K133" s="0" t="n">
        <v>0</v>
      </c>
      <c r="L133" s="0" t="n">
        <v>1</v>
      </c>
      <c r="M133" s="0" t="n">
        <f aca="false">VLOOKUP(A133,'Team Data'!$A$1:$P$133,2,FALSE())</f>
        <v>5</v>
      </c>
      <c r="N133" s="0" t="n">
        <f aca="false">VLOOKUP(A133,'Team Data'!$A$1:$P$133,3,FALSE())</f>
        <v>8</v>
      </c>
      <c r="O133" s="0" t="n">
        <f aca="false">VLOOKUP(B133,'Team Data'!$A$1:$P$133,2,FALSE())</f>
        <v>7</v>
      </c>
      <c r="P133" s="0" t="n">
        <f aca="false">VLOOKUP(B133,'Team Data'!$A$1:$P$133,3,FALSE())</f>
        <v>6</v>
      </c>
      <c r="Q133" s="0" t="n">
        <f aca="false">VLOOKUP(A133,'Team Data'!$A$1:$P$133,4,FALSE())</f>
        <v>90</v>
      </c>
      <c r="R133" s="0" t="n">
        <f aca="false">VLOOKUP(A133,'Team Data'!$A$1:$P$133,5,FALSE())</f>
        <v>186</v>
      </c>
      <c r="S133" s="0" t="n">
        <f aca="false">VLOOKUP(B133,'Team Data'!$A$1:$P$133,4,FALSE())</f>
        <v>90</v>
      </c>
      <c r="T133" s="0" t="n">
        <f aca="false">VLOOKUP(B133,'Team Data'!$A$1:$P$133,5,FALSE())</f>
        <v>183</v>
      </c>
      <c r="U133" s="0" t="n">
        <f aca="false">IF(K133=1,(MIN(35,(C133-D133)))*(O133/(O133+P133))*(S133/(S133+T133)),(MAX(-35,(C133-D133)))*(IF(P133=0,0.1,(P133/(O133+P133))))*(T133/(S133+T133)))</f>
        <v>-4.33136094674556</v>
      </c>
      <c r="V133" s="0" t="n">
        <f aca="false">IF(L133=1,(MIN(35,(D133-C133)))*(M133/(M133+N133))*(Q133/(Q133+R133)),(MAX(-35,(D133-C133)))*(IF(N133=0,0.1,(N133/(M133+N133))))*(R133/(R133+Q133)))</f>
        <v>1.75585284280936</v>
      </c>
    </row>
    <row r="134" customFormat="false" ht="15" hidden="false" customHeight="false" outlineLevel="0" collapsed="false">
      <c r="A134" s="0" t="s">
        <v>56</v>
      </c>
      <c r="B134" s="0" t="s">
        <v>44</v>
      </c>
      <c r="C134" s="0" t="n">
        <v>16</v>
      </c>
      <c r="D134" s="0" t="n">
        <v>23</v>
      </c>
      <c r="E134" s="0" t="n">
        <v>133</v>
      </c>
      <c r="F134" s="0" t="n">
        <v>134</v>
      </c>
      <c r="G134" s="0" t="n">
        <v>194</v>
      </c>
      <c r="H134" s="0" t="n">
        <v>229</v>
      </c>
      <c r="I134" s="0" t="n">
        <v>2</v>
      </c>
      <c r="J134" s="0" t="n">
        <v>0</v>
      </c>
      <c r="K134" s="0" t="n">
        <v>0</v>
      </c>
      <c r="L134" s="0" t="n">
        <v>1</v>
      </c>
      <c r="M134" s="0" t="n">
        <f aca="false">VLOOKUP(A134,'Team Data'!$A$1:$P$133,2,FALSE())</f>
        <v>6</v>
      </c>
      <c r="N134" s="0" t="n">
        <f aca="false">VLOOKUP(A134,'Team Data'!$A$1:$P$133,3,FALSE())</f>
        <v>7</v>
      </c>
      <c r="O134" s="0" t="n">
        <f aca="false">VLOOKUP(B134,'Team Data'!$A$1:$P$133,2,FALSE())</f>
        <v>8</v>
      </c>
      <c r="P134" s="0" t="n">
        <f aca="false">VLOOKUP(B134,'Team Data'!$A$1:$P$133,3,FALSE())</f>
        <v>5</v>
      </c>
      <c r="Q134" s="0" t="n">
        <f aca="false">VLOOKUP(A134,'Team Data'!$A$1:$P$133,4,FALSE())</f>
        <v>95</v>
      </c>
      <c r="R134" s="0" t="n">
        <f aca="false">VLOOKUP(A134,'Team Data'!$A$1:$P$133,5,FALSE())</f>
        <v>179</v>
      </c>
      <c r="S134" s="0" t="n">
        <f aca="false">VLOOKUP(B134,'Team Data'!$A$1:$P$133,4,FALSE())</f>
        <v>83</v>
      </c>
      <c r="T134" s="0" t="n">
        <f aca="false">VLOOKUP(B134,'Team Data'!$A$1:$P$133,5,FALSE())</f>
        <v>84</v>
      </c>
      <c r="U134" s="0" t="n">
        <f aca="false">IF(K134=1,(MIN(35,(C134-D134)))*(O134/(O134+P134))*(S134/(S134+T134)),(MAX(-35,(C134-D134)))*(IF(P134=0,0.1,(P134/(O134+P134))))*(T134/(S134+T134)))</f>
        <v>-1.35421464762782</v>
      </c>
      <c r="V134" s="0" t="n">
        <f aca="false">IF(L134=1,(MIN(35,(D134-C134)))*(M134/(M134+N134))*(Q134/(Q134+R134)),(MAX(-35,(D134-C134)))*(IF(N134=0,0.1,(N134/(M134+N134))))*(R134/(R134+Q134)))</f>
        <v>1.12015721504773</v>
      </c>
    </row>
    <row r="135" customFormat="false" ht="15" hidden="false" customHeight="false" outlineLevel="0" collapsed="false">
      <c r="A135" s="0" t="s">
        <v>91</v>
      </c>
      <c r="B135" s="0" t="s">
        <v>116</v>
      </c>
      <c r="C135" s="0" t="n">
        <v>37</v>
      </c>
      <c r="D135" s="0" t="n">
        <v>35</v>
      </c>
      <c r="E135" s="0" t="n">
        <v>205</v>
      </c>
      <c r="F135" s="0" t="n">
        <v>142</v>
      </c>
      <c r="G135" s="0" t="n">
        <v>240</v>
      </c>
      <c r="H135" s="0" t="n">
        <v>309</v>
      </c>
      <c r="I135" s="0" t="n">
        <v>1</v>
      </c>
      <c r="J135" s="0" t="n">
        <v>5</v>
      </c>
      <c r="K135" s="0" t="n">
        <v>1</v>
      </c>
      <c r="L135" s="0" t="n">
        <v>0</v>
      </c>
      <c r="M135" s="0" t="n">
        <f aca="false">VLOOKUP(A135,'Team Data'!$A$1:$P$133,2,FALSE())</f>
        <v>9</v>
      </c>
      <c r="N135" s="0" t="n">
        <f aca="false">VLOOKUP(A135,'Team Data'!$A$1:$P$133,3,FALSE())</f>
        <v>4</v>
      </c>
      <c r="O135" s="0" t="n">
        <f aca="false">VLOOKUP(B135,'Team Data'!$A$1:$P$133,2,FALSE())</f>
        <v>9</v>
      </c>
      <c r="P135" s="0" t="n">
        <f aca="false">VLOOKUP(B135,'Team Data'!$A$1:$P$133,3,FALSE())</f>
        <v>4</v>
      </c>
      <c r="Q135" s="0" t="n">
        <f aca="false">VLOOKUP(A135,'Team Data'!$A$1:$P$133,4,FALSE())</f>
        <v>87</v>
      </c>
      <c r="R135" s="0" t="n">
        <f aca="false">VLOOKUP(A135,'Team Data'!$A$1:$P$133,5,FALSE())</f>
        <v>181</v>
      </c>
      <c r="S135" s="0" t="n">
        <f aca="false">VLOOKUP(B135,'Team Data'!$A$1:$P$133,4,FALSE())</f>
        <v>91</v>
      </c>
      <c r="T135" s="0" t="n">
        <f aca="false">VLOOKUP(B135,'Team Data'!$A$1:$P$133,5,FALSE())</f>
        <v>182</v>
      </c>
      <c r="U135" s="0" t="n">
        <f aca="false">IF(K135=1,(MIN(35,(C135-D135)))*(O135/(O135+P135))*(S135/(S135+T135)),(MAX(-35,(C135-D135)))*(IF(P135=0,0.1,(P135/(O135+P135))))*(T135/(S135+T135)))</f>
        <v>0.461538461538462</v>
      </c>
      <c r="V135" s="0" t="n">
        <f aca="false">IF(L135=1,(MIN(35,(D135-C135)))*(M135/(M135+N135))*(Q135/(Q135+R135)),(MAX(-35,(D135-C135)))*(IF(N135=0,0.1,(N135/(M135+N135))))*(R135/(R135+Q135)))</f>
        <v>-0.415614236509759</v>
      </c>
    </row>
    <row r="136" customFormat="false" ht="15" hidden="false" customHeight="false" outlineLevel="0" collapsed="false">
      <c r="A136" s="0" t="s">
        <v>82</v>
      </c>
      <c r="B136" s="0" t="s">
        <v>136</v>
      </c>
      <c r="C136" s="0" t="n">
        <v>30</v>
      </c>
      <c r="D136" s="0" t="n">
        <v>27</v>
      </c>
      <c r="E136" s="0" t="n">
        <v>201</v>
      </c>
      <c r="F136" s="0" t="n">
        <v>105</v>
      </c>
      <c r="G136" s="0" t="n">
        <v>184</v>
      </c>
      <c r="H136" s="0" t="n">
        <v>186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f aca="false">VLOOKUP(A136,'Team Data'!$A$1:$P$133,2,FALSE())</f>
        <v>10</v>
      </c>
      <c r="N136" s="0" t="n">
        <f aca="false">VLOOKUP(A136,'Team Data'!$A$1:$P$133,3,FALSE())</f>
        <v>4</v>
      </c>
      <c r="O136" s="0" t="n">
        <f aca="false">VLOOKUP(B136,'Team Data'!$A$1:$P$133,2,FALSE())</f>
        <v>7</v>
      </c>
      <c r="P136" s="0" t="n">
        <f aca="false">VLOOKUP(B136,'Team Data'!$A$1:$P$133,3,FALSE())</f>
        <v>6</v>
      </c>
      <c r="Q136" s="0" t="n">
        <f aca="false">VLOOKUP(A136,'Team Data'!$A$1:$P$133,4,FALSE())</f>
        <v>83</v>
      </c>
      <c r="R136" s="0" t="n">
        <f aca="false">VLOOKUP(A136,'Team Data'!$A$1:$P$133,5,FALSE())</f>
        <v>200</v>
      </c>
      <c r="S136" s="0" t="n">
        <f aca="false">VLOOKUP(B136,'Team Data'!$A$1:$P$133,4,FALSE())</f>
        <v>90</v>
      </c>
      <c r="T136" s="0" t="n">
        <f aca="false">VLOOKUP(B136,'Team Data'!$A$1:$P$133,5,FALSE())</f>
        <v>185</v>
      </c>
      <c r="U136" s="0" t="n">
        <f aca="false">IF(K136=1,(MIN(35,(C136-D136)))*(O136/(O136+P136))*(S136/(S136+T136)),(MAX(-35,(C136-D136)))*(IF(P136=0,0.1,(P136/(O136+P136))))*(T136/(S136+T136)))</f>
        <v>0.528671328671329</v>
      </c>
      <c r="V136" s="0" t="n">
        <f aca="false">IF(L136=1,(MIN(35,(D136-C136)))*(M136/(M136+N136))*(Q136/(Q136+R136)),(MAX(-35,(D136-C136)))*(IF(N136=0,0.1,(N136/(M136+N136))))*(R136/(R136+Q136)))</f>
        <v>-0.60575466935891</v>
      </c>
    </row>
    <row r="137" customFormat="false" ht="15" hidden="false" customHeight="false" outlineLevel="0" collapsed="false">
      <c r="A137" s="0" t="s">
        <v>88</v>
      </c>
      <c r="B137" s="0" t="s">
        <v>77</v>
      </c>
      <c r="C137" s="0" t="n">
        <v>28</v>
      </c>
      <c r="D137" s="0" t="n">
        <v>27</v>
      </c>
      <c r="E137" s="0" t="n">
        <v>209</v>
      </c>
      <c r="F137" s="0" t="n">
        <v>116</v>
      </c>
      <c r="G137" s="0" t="n">
        <v>205</v>
      </c>
      <c r="H137" s="0" t="n">
        <v>206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f aca="false">VLOOKUP(A137,'Team Data'!$A$1:$P$133,2,FALSE())</f>
        <v>10</v>
      </c>
      <c r="N137" s="0" t="n">
        <f aca="false">VLOOKUP(A137,'Team Data'!$A$1:$P$133,3,FALSE())</f>
        <v>3</v>
      </c>
      <c r="O137" s="0" t="n">
        <f aca="false">VLOOKUP(B137,'Team Data'!$A$1:$P$133,2,FALSE())</f>
        <v>9</v>
      </c>
      <c r="P137" s="0" t="n">
        <f aca="false">VLOOKUP(B137,'Team Data'!$A$1:$P$133,3,FALSE())</f>
        <v>5</v>
      </c>
      <c r="Q137" s="0" t="n">
        <f aca="false">VLOOKUP(A137,'Team Data'!$A$1:$P$133,4,FALSE())</f>
        <v>100</v>
      </c>
      <c r="R137" s="0" t="n">
        <f aca="false">VLOOKUP(A137,'Team Data'!$A$1:$P$133,5,FALSE())</f>
        <v>176</v>
      </c>
      <c r="S137" s="0" t="n">
        <f aca="false">VLOOKUP(B137,'Team Data'!$A$1:$P$133,4,FALSE())</f>
        <v>98</v>
      </c>
      <c r="T137" s="0" t="n">
        <f aca="false">VLOOKUP(B137,'Team Data'!$A$1:$P$133,5,FALSE())</f>
        <v>183</v>
      </c>
      <c r="U137" s="0" t="n">
        <f aca="false">IF(K137=1,(MIN(35,(C137-D137)))*(O137/(O137+P137))*(S137/(S137+T137)),(MAX(-35,(C137-D137)))*(IF(P137=0,0.1,(P137/(O137+P137))))*(T137/(S137+T137)))</f>
        <v>0.224199288256228</v>
      </c>
      <c r="V137" s="0" t="n">
        <f aca="false">IF(L137=1,(MIN(35,(D137-C137)))*(M137/(M137+N137))*(Q137/(Q137+R137)),(MAX(-35,(D137-C137)))*(IF(N137=0,0.1,(N137/(M137+N137))))*(R137/(R137+Q137)))</f>
        <v>-0.147157190635452</v>
      </c>
    </row>
    <row r="138" customFormat="false" ht="15" hidden="false" customHeight="false" outlineLevel="0" collapsed="false">
      <c r="A138" s="0" t="s">
        <v>8</v>
      </c>
      <c r="B138" s="0" t="s">
        <v>106</v>
      </c>
      <c r="C138" s="0" t="n">
        <v>20</v>
      </c>
      <c r="D138" s="0" t="n">
        <v>19</v>
      </c>
      <c r="E138" s="0" t="n">
        <v>161</v>
      </c>
      <c r="F138" s="0" t="n">
        <v>79</v>
      </c>
      <c r="G138" s="0" t="n">
        <v>213</v>
      </c>
      <c r="H138" s="0" t="n">
        <v>292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f aca="false">VLOOKUP(A138,'Team Data'!$A$1:$P$133,2,FALSE())</f>
        <v>11</v>
      </c>
      <c r="N138" s="0" t="n">
        <f aca="false">VLOOKUP(A138,'Team Data'!$A$1:$P$133,3,FALSE())</f>
        <v>2</v>
      </c>
      <c r="O138" s="0" t="n">
        <f aca="false">VLOOKUP(B138,'Team Data'!$A$1:$P$133,2,FALSE())</f>
        <v>8</v>
      </c>
      <c r="P138" s="0" t="n">
        <f aca="false">VLOOKUP(B138,'Team Data'!$A$1:$P$133,3,FALSE())</f>
        <v>5</v>
      </c>
      <c r="Q138" s="0" t="n">
        <f aca="false">VLOOKUP(A138,'Team Data'!$A$1:$P$133,4,FALSE())</f>
        <v>96</v>
      </c>
      <c r="R138" s="0" t="n">
        <f aca="false">VLOOKUP(A138,'Team Data'!$A$1:$P$133,5,FALSE())</f>
        <v>178</v>
      </c>
      <c r="S138" s="0" t="n">
        <f aca="false">VLOOKUP(B138,'Team Data'!$A$1:$P$133,4,FALSE())</f>
        <v>102</v>
      </c>
      <c r="T138" s="0" t="n">
        <f aca="false">VLOOKUP(B138,'Team Data'!$A$1:$P$133,5,FALSE())</f>
        <v>68</v>
      </c>
      <c r="U138" s="0" t="n">
        <f aca="false">IF(K138=1,(MIN(35,(C138-D138)))*(O138/(O138+P138))*(S138/(S138+T138)),(MAX(-35,(C138-D138)))*(IF(P138=0,0.1,(P138/(O138+P138))))*(T138/(S138+T138)))</f>
        <v>0.369230769230769</v>
      </c>
      <c r="V138" s="0" t="n">
        <f aca="false">IF(L138=1,(MIN(35,(D138-C138)))*(M138/(M138+N138))*(Q138/(Q138+R138)),(MAX(-35,(D138-C138)))*(IF(N138=0,0.1,(N138/(M138+N138))))*(R138/(R138+Q138)))</f>
        <v>-0.0999438517686693</v>
      </c>
    </row>
    <row r="139" customFormat="false" ht="15" hidden="false" customHeight="false" outlineLevel="0" collapsed="false">
      <c r="A139" s="0" t="s">
        <v>99</v>
      </c>
      <c r="B139" s="0" t="s">
        <v>12</v>
      </c>
      <c r="C139" s="0" t="n">
        <v>30</v>
      </c>
      <c r="D139" s="0" t="n">
        <v>44</v>
      </c>
      <c r="E139" s="0" t="n">
        <v>40</v>
      </c>
      <c r="F139" s="0" t="n">
        <v>295</v>
      </c>
      <c r="G139" s="0" t="n">
        <v>376</v>
      </c>
      <c r="H139" s="0" t="n">
        <v>162</v>
      </c>
      <c r="I139" s="0" t="n">
        <v>3</v>
      </c>
      <c r="J139" s="0" t="n">
        <v>0</v>
      </c>
      <c r="K139" s="0" t="n">
        <v>0</v>
      </c>
      <c r="L139" s="0" t="n">
        <v>1</v>
      </c>
      <c r="M139" s="0" t="n">
        <f aca="false">VLOOKUP(A139,'Team Data'!$A$1:$P$133,2,FALSE())</f>
        <v>8</v>
      </c>
      <c r="N139" s="0" t="n">
        <f aca="false">VLOOKUP(A139,'Team Data'!$A$1:$P$133,3,FALSE())</f>
        <v>5</v>
      </c>
      <c r="O139" s="0" t="n">
        <f aca="false">VLOOKUP(B139,'Team Data'!$A$1:$P$133,2,FALSE())</f>
        <v>7</v>
      </c>
      <c r="P139" s="0" t="n">
        <f aca="false">VLOOKUP(B139,'Team Data'!$A$1:$P$133,3,FALSE())</f>
        <v>6</v>
      </c>
      <c r="Q139" s="0" t="n">
        <f aca="false">VLOOKUP(A139,'Team Data'!$A$1:$P$133,4,FALSE())</f>
        <v>97</v>
      </c>
      <c r="R139" s="0" t="n">
        <f aca="false">VLOOKUP(A139,'Team Data'!$A$1:$P$133,5,FALSE())</f>
        <v>178</v>
      </c>
      <c r="S139" s="0" t="n">
        <f aca="false">VLOOKUP(B139,'Team Data'!$A$1:$P$133,4,FALSE())</f>
        <v>101</v>
      </c>
      <c r="T139" s="0" t="n">
        <f aca="false">VLOOKUP(B139,'Team Data'!$A$1:$P$133,5,FALSE())</f>
        <v>174</v>
      </c>
      <c r="U139" s="0" t="n">
        <f aca="false">IF(K139=1,(MIN(35,(C139-D139)))*(O139/(O139+P139))*(S139/(S139+T139)),(MAX(-35,(C139-D139)))*(IF(P139=0,0.1,(P139/(O139+P139))))*(T139/(S139+T139)))</f>
        <v>-4.08839160839161</v>
      </c>
      <c r="V139" s="0" t="n">
        <f aca="false">IF(L139=1,(MIN(35,(D139-C139)))*(M139/(M139+N139))*(Q139/(Q139+R139)),(MAX(-35,(D139-C139)))*(IF(N139=0,0.1,(N139/(M139+N139))))*(R139/(R139+Q139)))</f>
        <v>3.03888111888112</v>
      </c>
    </row>
    <row r="140" customFormat="false" ht="15" hidden="false" customHeight="false" outlineLevel="0" collapsed="false">
      <c r="A140" s="0" t="s">
        <v>97</v>
      </c>
      <c r="B140" s="0" t="s">
        <v>15</v>
      </c>
      <c r="C140" s="0" t="n">
        <v>16</v>
      </c>
      <c r="D140" s="0" t="n">
        <v>24</v>
      </c>
      <c r="E140" s="0" t="n">
        <v>54</v>
      </c>
      <c r="F140" s="0" t="n">
        <v>210</v>
      </c>
      <c r="G140" s="0" t="n">
        <v>275</v>
      </c>
      <c r="H140" s="0" t="n">
        <v>168</v>
      </c>
      <c r="I140" s="0" t="n">
        <v>0</v>
      </c>
      <c r="J140" s="0" t="n">
        <v>2</v>
      </c>
      <c r="K140" s="0" t="n">
        <v>0</v>
      </c>
      <c r="L140" s="0" t="n">
        <v>1</v>
      </c>
      <c r="M140" s="0" t="n">
        <f aca="false">VLOOKUP(A140,'Team Data'!$A$1:$P$133,2,FALSE())</f>
        <v>7</v>
      </c>
      <c r="N140" s="0" t="n">
        <f aca="false">VLOOKUP(A140,'Team Data'!$A$1:$P$133,3,FALSE())</f>
        <v>5</v>
      </c>
      <c r="O140" s="0" t="n">
        <f aca="false">VLOOKUP(B140,'Team Data'!$A$1:$P$133,2,FALSE())</f>
        <v>5</v>
      </c>
      <c r="P140" s="0" t="n">
        <f aca="false">VLOOKUP(B140,'Team Data'!$A$1:$P$133,3,FALSE())</f>
        <v>7</v>
      </c>
      <c r="Q140" s="0" t="n">
        <f aca="false">VLOOKUP(A140,'Team Data'!$A$1:$P$133,4,FALSE())</f>
        <v>70</v>
      </c>
      <c r="R140" s="0" t="n">
        <f aca="false">VLOOKUP(A140,'Team Data'!$A$1:$P$133,5,FALSE())</f>
        <v>189</v>
      </c>
      <c r="S140" s="0" t="n">
        <f aca="false">VLOOKUP(B140,'Team Data'!$A$1:$P$133,4,FALSE())</f>
        <v>106</v>
      </c>
      <c r="T140" s="0" t="n">
        <f aca="false">VLOOKUP(B140,'Team Data'!$A$1:$P$133,5,FALSE())</f>
        <v>159</v>
      </c>
      <c r="U140" s="0" t="n">
        <f aca="false">IF(K140=1,(MIN(35,(C140-D140)))*(O140/(O140+P140))*(S140/(S140+T140)),(MAX(-35,(C140-D140)))*(IF(P140=0,0.1,(P140/(O140+P140))))*(T140/(S140+T140)))</f>
        <v>-2.8</v>
      </c>
      <c r="V140" s="0" t="n">
        <f aca="false">IF(L140=1,(MIN(35,(D140-C140)))*(M140/(M140+N140))*(Q140/(Q140+R140)),(MAX(-35,(D140-C140)))*(IF(N140=0,0.1,(N140/(M140+N140))))*(R140/(R140+Q140)))</f>
        <v>1.26126126126126</v>
      </c>
    </row>
    <row r="141" customFormat="false" ht="15" hidden="false" customHeight="false" outlineLevel="0" collapsed="false">
      <c r="A141" s="0" t="s">
        <v>53</v>
      </c>
      <c r="B141" s="0" t="s">
        <v>35</v>
      </c>
      <c r="C141" s="0" t="n">
        <v>26</v>
      </c>
      <c r="D141" s="0" t="n">
        <v>16</v>
      </c>
      <c r="E141" s="0" t="n">
        <v>70</v>
      </c>
      <c r="F141" s="0" t="n">
        <v>136</v>
      </c>
      <c r="G141" s="0" t="n">
        <v>202</v>
      </c>
      <c r="H141" s="0" t="n">
        <v>143</v>
      </c>
      <c r="I141" s="0" t="n">
        <v>1</v>
      </c>
      <c r="J141" s="0" t="n">
        <v>2</v>
      </c>
      <c r="K141" s="0" t="n">
        <v>1</v>
      </c>
      <c r="L141" s="0" t="n">
        <v>0</v>
      </c>
      <c r="M141" s="0" t="n">
        <f aca="false">VLOOKUP(A141,'Team Data'!$A$1:$P$133,2,FALSE())</f>
        <v>7</v>
      </c>
      <c r="N141" s="0" t="n">
        <f aca="false">VLOOKUP(A141,'Team Data'!$A$1:$P$133,3,FALSE())</f>
        <v>6</v>
      </c>
      <c r="O141" s="0" t="n">
        <f aca="false">VLOOKUP(B141,'Team Data'!$A$1:$P$133,2,FALSE())</f>
        <v>6</v>
      </c>
      <c r="P141" s="0" t="n">
        <f aca="false">VLOOKUP(B141,'Team Data'!$A$1:$P$133,3,FALSE())</f>
        <v>7</v>
      </c>
      <c r="Q141" s="0" t="n">
        <f aca="false">VLOOKUP(A141,'Team Data'!$A$1:$P$133,4,FALSE())</f>
        <v>101</v>
      </c>
      <c r="R141" s="0" t="n">
        <f aca="false">VLOOKUP(A141,'Team Data'!$A$1:$P$133,5,FALSE())</f>
        <v>175</v>
      </c>
      <c r="S141" s="0" t="n">
        <f aca="false">VLOOKUP(B141,'Team Data'!$A$1:$P$133,4,FALSE())</f>
        <v>106</v>
      </c>
      <c r="T141" s="0" t="n">
        <f aca="false">VLOOKUP(B141,'Team Data'!$A$1:$P$133,5,FALSE())</f>
        <v>171</v>
      </c>
      <c r="U141" s="0" t="n">
        <f aca="false">IF(K141=1,(MIN(35,(C141-D141)))*(O141/(O141+P141))*(S141/(S141+T141)),(MAX(-35,(C141-D141)))*(IF(P141=0,0.1,(P141/(O141+P141))))*(T141/(S141+T141)))</f>
        <v>1.76617606220494</v>
      </c>
      <c r="V141" s="0" t="n">
        <f aca="false">IF(L141=1,(MIN(35,(D141-C141)))*(M141/(M141+N141))*(Q141/(Q141+R141)),(MAX(-35,(D141-C141)))*(IF(N141=0,0.1,(N141/(M141+N141))))*(R141/(R141+Q141)))</f>
        <v>-2.92642140468227</v>
      </c>
    </row>
    <row r="142" customFormat="false" ht="15" hidden="false" customHeight="false" outlineLevel="0" collapsed="false">
      <c r="A142" s="0" t="s">
        <v>198</v>
      </c>
      <c r="B142" s="0" t="s">
        <v>39</v>
      </c>
      <c r="C142" s="0" t="n">
        <v>0</v>
      </c>
      <c r="D142" s="0" t="n">
        <v>33</v>
      </c>
      <c r="E142" s="0" t="n">
        <v>19</v>
      </c>
      <c r="F142" s="0" t="n">
        <v>127</v>
      </c>
      <c r="G142" s="0" t="n">
        <v>109</v>
      </c>
      <c r="H142" s="0" t="n">
        <v>352</v>
      </c>
      <c r="I142" s="0" t="n">
        <v>1</v>
      </c>
      <c r="J142" s="0" t="n">
        <v>0</v>
      </c>
      <c r="K142" s="0" t="n">
        <v>0</v>
      </c>
      <c r="L142" s="0" t="n">
        <v>1</v>
      </c>
      <c r="M142" s="0" t="n">
        <f aca="false">VLOOKUP(A142,'Team Data'!$A$1:$P$133,2,FALSE())</f>
        <v>8</v>
      </c>
      <c r="N142" s="0" t="n">
        <f aca="false">VLOOKUP(A142,'Team Data'!$A$1:$P$133,3,FALSE())</f>
        <v>112</v>
      </c>
      <c r="O142" s="0" t="n">
        <f aca="false">VLOOKUP(B142,'Team Data'!$A$1:$P$133,2,FALSE())</f>
        <v>15</v>
      </c>
      <c r="P142" s="0" t="n">
        <f aca="false">VLOOKUP(B142,'Team Data'!$A$1:$P$133,3,FALSE())</f>
        <v>0</v>
      </c>
      <c r="Q142" s="0" t="n">
        <f aca="false">VLOOKUP(A142,'Team Data'!$A$1:$P$133,4,FALSE())</f>
        <v>805</v>
      </c>
      <c r="R142" s="0" t="n">
        <f aca="false">VLOOKUP(A142,'Team Data'!$A$1:$P$133,5,FALSE())</f>
        <v>725</v>
      </c>
      <c r="S142" s="0" t="n">
        <f aca="false">VLOOKUP(B142,'Team Data'!$A$1:$P$133,4,FALSE())</f>
        <v>119</v>
      </c>
      <c r="T142" s="0" t="n">
        <f aca="false">VLOOKUP(B142,'Team Data'!$A$1:$P$133,5,FALSE())</f>
        <v>182</v>
      </c>
      <c r="U142" s="0" t="n">
        <f aca="false">IF(K142=1,(MIN(35,(C142-D142)))*(O142/(O142+P142))*(S142/(S142+T142)),(MAX(-35,(C142-D142)))*(IF(P142=0,0.1,(P142/(O142+P142))))*(T142/(S142+T142)))</f>
        <v>-1.9953488372093</v>
      </c>
      <c r="V142" s="0" t="n">
        <f aca="false">IF(L142=1,(MIN(35,(D142-C142)))*(M142/(M142+N142))*(Q142/(Q142+R142)),(MAX(-35,(D142-C142)))*(IF(N142=0,0.1,(N142/(M142+N142))))*(R142/(R142+Q142)))</f>
        <v>1.15751633986928</v>
      </c>
    </row>
    <row r="143" customFormat="false" ht="15" hidden="false" customHeight="false" outlineLevel="0" collapsed="false">
      <c r="A143" s="0" t="s">
        <v>198</v>
      </c>
      <c r="B143" s="0" t="s">
        <v>54</v>
      </c>
      <c r="C143" s="0" t="n">
        <v>17</v>
      </c>
      <c r="D143" s="0" t="n">
        <v>65</v>
      </c>
      <c r="E143" s="0" t="n">
        <v>201</v>
      </c>
      <c r="F143" s="0" t="n">
        <v>230</v>
      </c>
      <c r="G143" s="0" t="n">
        <v>61</v>
      </c>
      <c r="H143" s="0" t="n">
        <v>320</v>
      </c>
      <c r="I143" s="0" t="n">
        <v>5</v>
      </c>
      <c r="J143" s="0" t="n">
        <v>2</v>
      </c>
      <c r="K143" s="0" t="n">
        <v>0</v>
      </c>
      <c r="L143" s="0" t="n">
        <v>1</v>
      </c>
      <c r="M143" s="0" t="n">
        <f aca="false">VLOOKUP(A143,'Team Data'!$A$1:$P$133,2,FALSE())</f>
        <v>8</v>
      </c>
      <c r="N143" s="0" t="n">
        <f aca="false">VLOOKUP(A143,'Team Data'!$A$1:$P$133,3,FALSE())</f>
        <v>112</v>
      </c>
      <c r="O143" s="0" t="n">
        <f aca="false">VLOOKUP(B143,'Team Data'!$A$1:$P$133,2,FALSE())</f>
        <v>10</v>
      </c>
      <c r="P143" s="0" t="n">
        <f aca="false">VLOOKUP(B143,'Team Data'!$A$1:$P$133,3,FALSE())</f>
        <v>4</v>
      </c>
      <c r="Q143" s="0" t="n">
        <f aca="false">VLOOKUP(A143,'Team Data'!$A$1:$P$133,4,FALSE())</f>
        <v>805</v>
      </c>
      <c r="R143" s="0" t="n">
        <f aca="false">VLOOKUP(A143,'Team Data'!$A$1:$P$133,5,FALSE())</f>
        <v>725</v>
      </c>
      <c r="S143" s="0" t="n">
        <f aca="false">VLOOKUP(B143,'Team Data'!$A$1:$P$133,4,FALSE())</f>
        <v>112</v>
      </c>
      <c r="T143" s="0" t="n">
        <f aca="false">VLOOKUP(B143,'Team Data'!$A$1:$P$133,5,FALSE())</f>
        <v>177</v>
      </c>
      <c r="U143" s="0" t="n">
        <f aca="false">IF(K143=1,(MIN(35,(C143-D143)))*(O143/(O143+P143))*(S143/(S143+T143)),(MAX(-35,(C143-D143)))*(IF(P143=0,0.1,(P143/(O143+P143))))*(T143/(S143+T143)))</f>
        <v>-6.12456747404844</v>
      </c>
      <c r="V143" s="0" t="n">
        <f aca="false">IF(L143=1,(MIN(35,(D143-C143)))*(M143/(M143+N143))*(Q143/(Q143+R143)),(MAX(-35,(D143-C143)))*(IF(N143=0,0.1,(N143/(M143+N143))))*(R143/(R143+Q143)))</f>
        <v>1.2276688453159</v>
      </c>
    </row>
    <row r="144" customFormat="false" ht="15" hidden="false" customHeight="false" outlineLevel="0" collapsed="false">
      <c r="A144" s="0" t="s">
        <v>198</v>
      </c>
      <c r="B144" s="0" t="s">
        <v>87</v>
      </c>
      <c r="C144" s="0" t="n">
        <v>3</v>
      </c>
      <c r="D144" s="0" t="n">
        <v>59</v>
      </c>
      <c r="E144" s="0" t="n">
        <v>102</v>
      </c>
      <c r="F144" s="0" t="n">
        <v>233</v>
      </c>
      <c r="G144" s="0" t="n">
        <v>131</v>
      </c>
      <c r="H144" s="0" t="n">
        <v>277</v>
      </c>
      <c r="I144" s="0" t="n">
        <v>4</v>
      </c>
      <c r="J144" s="0" t="n">
        <v>1</v>
      </c>
      <c r="K144" s="0" t="n">
        <v>0</v>
      </c>
      <c r="L144" s="0" t="n">
        <v>1</v>
      </c>
      <c r="M144" s="0" t="n">
        <f aca="false">VLOOKUP(A144,'Team Data'!$A$1:$P$133,2,FALSE())</f>
        <v>8</v>
      </c>
      <c r="N144" s="0" t="n">
        <f aca="false">VLOOKUP(A144,'Team Data'!$A$1:$P$133,3,FALSE())</f>
        <v>112</v>
      </c>
      <c r="O144" s="0" t="n">
        <f aca="false">VLOOKUP(B144,'Team Data'!$A$1:$P$133,2,FALSE())</f>
        <v>8</v>
      </c>
      <c r="P144" s="0" t="n">
        <f aca="false">VLOOKUP(B144,'Team Data'!$A$1:$P$133,3,FALSE())</f>
        <v>5</v>
      </c>
      <c r="Q144" s="0" t="n">
        <f aca="false">VLOOKUP(A144,'Team Data'!$A$1:$P$133,4,FALSE())</f>
        <v>805</v>
      </c>
      <c r="R144" s="0" t="n">
        <f aca="false">VLOOKUP(A144,'Team Data'!$A$1:$P$133,5,FALSE())</f>
        <v>725</v>
      </c>
      <c r="S144" s="0" t="n">
        <f aca="false">VLOOKUP(B144,'Team Data'!$A$1:$P$133,4,FALSE())</f>
        <v>97</v>
      </c>
      <c r="T144" s="0" t="n">
        <f aca="false">VLOOKUP(B144,'Team Data'!$A$1:$P$133,5,FALSE())</f>
        <v>176</v>
      </c>
      <c r="U144" s="0" t="n">
        <f aca="false">IF(K144=1,(MIN(35,(C144-D144)))*(O144/(O144+P144))*(S144/(S144+T144)),(MAX(-35,(C144-D144)))*(IF(P144=0,0.1,(P144/(O144+P144))))*(T144/(S144+T144)))</f>
        <v>-8.67850098619329</v>
      </c>
      <c r="V144" s="0" t="n">
        <f aca="false">IF(L144=1,(MIN(35,(D144-C144)))*(M144/(M144+N144))*(Q144/(Q144+R144)),(MAX(-35,(D144-C144)))*(IF(N144=0,0.1,(N144/(M144+N144))))*(R144/(R144+Q144)))</f>
        <v>1.2276688453159</v>
      </c>
    </row>
    <row r="145" customFormat="false" ht="15" hidden="false" customHeight="false" outlineLevel="0" collapsed="false">
      <c r="A145" s="0" t="s">
        <v>69</v>
      </c>
      <c r="B145" s="0" t="s">
        <v>10</v>
      </c>
      <c r="C145" s="0" t="n">
        <v>39</v>
      </c>
      <c r="D145" s="0" t="n">
        <v>17</v>
      </c>
      <c r="E145" s="0" t="n">
        <v>106</v>
      </c>
      <c r="F145" s="0" t="n">
        <v>40</v>
      </c>
      <c r="G145" s="0" t="n">
        <v>320</v>
      </c>
      <c r="H145" s="0" t="n">
        <v>276</v>
      </c>
      <c r="I145" s="0" t="n">
        <v>3</v>
      </c>
      <c r="J145" s="0" t="n">
        <v>3</v>
      </c>
      <c r="K145" s="0" t="n">
        <v>1</v>
      </c>
      <c r="L145" s="0" t="n">
        <v>0</v>
      </c>
      <c r="M145" s="0" t="n">
        <f aca="false">VLOOKUP(A145,'Team Data'!$A$1:$P$133,2,FALSE())</f>
        <v>9</v>
      </c>
      <c r="N145" s="0" t="n">
        <f aca="false">VLOOKUP(A145,'Team Data'!$A$1:$P$133,3,FALSE())</f>
        <v>4</v>
      </c>
      <c r="O145" s="0" t="n">
        <f aca="false">VLOOKUP(B145,'Team Data'!$A$1:$P$133,2,FALSE())</f>
        <v>5</v>
      </c>
      <c r="P145" s="0" t="n">
        <f aca="false">VLOOKUP(B145,'Team Data'!$A$1:$P$133,3,FALSE())</f>
        <v>7</v>
      </c>
      <c r="Q145" s="0" t="n">
        <f aca="false">VLOOKUP(A145,'Team Data'!$A$1:$P$133,4,FALSE())</f>
        <v>102</v>
      </c>
      <c r="R145" s="0" t="n">
        <f aca="false">VLOOKUP(A145,'Team Data'!$A$1:$P$133,5,FALSE())</f>
        <v>174</v>
      </c>
      <c r="S145" s="0" t="n">
        <f aca="false">VLOOKUP(B145,'Team Data'!$A$1:$P$133,4,FALSE())</f>
        <v>90</v>
      </c>
      <c r="T145" s="0" t="n">
        <f aca="false">VLOOKUP(B145,'Team Data'!$A$1:$P$133,5,FALSE())</f>
        <v>172</v>
      </c>
      <c r="U145" s="0" t="n">
        <f aca="false">IF(K145=1,(MIN(35,(C145-D145)))*(O145/(O145+P145))*(S145/(S145+T145)),(MAX(-35,(C145-D145)))*(IF(P145=0,0.1,(P145/(O145+P145))))*(T145/(S145+T145)))</f>
        <v>3.14885496183206</v>
      </c>
      <c r="V145" s="0" t="n">
        <f aca="false">IF(L145=1,(MIN(35,(D145-C145)))*(M145/(M145+N145))*(Q145/(Q145+R145)),(MAX(-35,(D145-C145)))*(IF(N145=0,0.1,(N145/(M145+N145))))*(R145/(R145+Q145)))</f>
        <v>-4.26755852842809</v>
      </c>
    </row>
    <row r="146" customFormat="false" ht="15" hidden="false" customHeight="false" outlineLevel="0" collapsed="false">
      <c r="A146" s="0" t="s">
        <v>70</v>
      </c>
      <c r="B146" s="0" t="s">
        <v>51</v>
      </c>
      <c r="C146" s="0" t="n">
        <v>12</v>
      </c>
      <c r="D146" s="0" t="n">
        <v>40</v>
      </c>
      <c r="E146" s="0" t="n">
        <v>94</v>
      </c>
      <c r="F146" s="0" t="n">
        <v>235</v>
      </c>
      <c r="G146" s="0" t="n">
        <v>128</v>
      </c>
      <c r="H146" s="0" t="n">
        <v>101</v>
      </c>
      <c r="I146" s="0" t="n">
        <v>4</v>
      </c>
      <c r="J146" s="0" t="n">
        <v>1</v>
      </c>
      <c r="K146" s="0" t="n">
        <v>0</v>
      </c>
      <c r="L146" s="0" t="n">
        <v>1</v>
      </c>
      <c r="M146" s="0" t="n">
        <f aca="false">VLOOKUP(A146,'Team Data'!$A$1:$P$133,2,FALSE())</f>
        <v>6</v>
      </c>
      <c r="N146" s="0" t="n">
        <f aca="false">VLOOKUP(A146,'Team Data'!$A$1:$P$133,3,FALSE())</f>
        <v>7</v>
      </c>
      <c r="O146" s="0" t="n">
        <f aca="false">VLOOKUP(B146,'Team Data'!$A$1:$P$133,2,FALSE())</f>
        <v>10</v>
      </c>
      <c r="P146" s="0" t="n">
        <f aca="false">VLOOKUP(B146,'Team Data'!$A$1:$P$133,3,FALSE())</f>
        <v>4</v>
      </c>
      <c r="Q146" s="0" t="n">
        <f aca="false">VLOOKUP(A146,'Team Data'!$A$1:$P$133,4,FALSE())</f>
        <v>100</v>
      </c>
      <c r="R146" s="0" t="n">
        <f aca="false">VLOOKUP(A146,'Team Data'!$A$1:$P$133,5,FALSE())</f>
        <v>176</v>
      </c>
      <c r="S146" s="0" t="n">
        <f aca="false">VLOOKUP(B146,'Team Data'!$A$1:$P$133,4,FALSE())</f>
        <v>113</v>
      </c>
      <c r="T146" s="0" t="n">
        <f aca="false">VLOOKUP(B146,'Team Data'!$A$1:$P$133,5,FALSE())</f>
        <v>179</v>
      </c>
      <c r="U146" s="0" t="n">
        <f aca="false">IF(K146=1,(MIN(35,(C146-D146)))*(O146/(O146+P146))*(S146/(S146+T146)),(MAX(-35,(C146-D146)))*(IF(P146=0,0.1,(P146/(O146+P146))))*(T146/(S146+T146)))</f>
        <v>-4.9041095890411</v>
      </c>
      <c r="V146" s="0" t="n">
        <f aca="false">IF(L146=1,(MIN(35,(D146-C146)))*(M146/(M146+N146))*(Q146/(Q146+R146)),(MAX(-35,(D146-C146)))*(IF(N146=0,0.1,(N146/(M146+N146))))*(R146/(R146+Q146)))</f>
        <v>4.68227424749164</v>
      </c>
    </row>
    <row r="147" customFormat="false" ht="15" hidden="false" customHeight="false" outlineLevel="0" collapsed="false">
      <c r="A147" s="0" t="s">
        <v>105</v>
      </c>
      <c r="B147" s="0" t="s">
        <v>91</v>
      </c>
      <c r="C147" s="0" t="n">
        <v>34</v>
      </c>
      <c r="D147" s="0" t="n">
        <v>27</v>
      </c>
      <c r="E147" s="0" t="n">
        <v>91</v>
      </c>
      <c r="F147" s="0" t="n">
        <v>141</v>
      </c>
      <c r="G147" s="0" t="n">
        <v>325</v>
      </c>
      <c r="H147" s="0" t="n">
        <v>274</v>
      </c>
      <c r="I147" s="0" t="n">
        <v>2</v>
      </c>
      <c r="J147" s="0" t="n">
        <v>2</v>
      </c>
      <c r="K147" s="0" t="n">
        <v>1</v>
      </c>
      <c r="L147" s="0" t="n">
        <v>0</v>
      </c>
      <c r="M147" s="0" t="n">
        <f aca="false">VLOOKUP(A147,'Team Data'!$A$1:$P$133,2,FALSE())</f>
        <v>11</v>
      </c>
      <c r="N147" s="0" t="n">
        <f aca="false">VLOOKUP(A147,'Team Data'!$A$1:$P$133,3,FALSE())</f>
        <v>2</v>
      </c>
      <c r="O147" s="0" t="n">
        <f aca="false">VLOOKUP(B147,'Team Data'!$A$1:$P$133,2,FALSE())</f>
        <v>9</v>
      </c>
      <c r="P147" s="0" t="n">
        <f aca="false">VLOOKUP(B147,'Team Data'!$A$1:$P$133,3,FALSE())</f>
        <v>4</v>
      </c>
      <c r="Q147" s="0" t="n">
        <f aca="false">VLOOKUP(A147,'Team Data'!$A$1:$P$133,4,FALSE())</f>
        <v>103</v>
      </c>
      <c r="R147" s="0" t="n">
        <f aca="false">VLOOKUP(A147,'Team Data'!$A$1:$P$133,5,FALSE())</f>
        <v>174</v>
      </c>
      <c r="S147" s="0" t="n">
        <f aca="false">VLOOKUP(B147,'Team Data'!$A$1:$P$133,4,FALSE())</f>
        <v>87</v>
      </c>
      <c r="T147" s="0" t="n">
        <f aca="false">VLOOKUP(B147,'Team Data'!$A$1:$P$133,5,FALSE())</f>
        <v>181</v>
      </c>
      <c r="U147" s="0" t="n">
        <f aca="false">IF(K147=1,(MIN(35,(C147-D147)))*(O147/(O147+P147))*(S147/(S147+T147)),(MAX(-35,(C147-D147)))*(IF(P147=0,0.1,(P147/(O147+P147))))*(T147/(S147+T147)))</f>
        <v>1.57319173363949</v>
      </c>
      <c r="V147" s="0" t="n">
        <f aca="false">IF(L147=1,(MIN(35,(D147-C147)))*(M147/(M147+N147))*(Q147/(Q147+R147)),(MAX(-35,(D147-C147)))*(IF(N147=0,0.1,(N147/(M147+N147))))*(R147/(R147+Q147)))</f>
        <v>-0.676478755901139</v>
      </c>
    </row>
    <row r="148" customFormat="false" ht="15" hidden="false" customHeight="false" outlineLevel="0" collapsed="false">
      <c r="A148" s="0" t="s">
        <v>9</v>
      </c>
      <c r="B148" s="0" t="s">
        <v>107</v>
      </c>
      <c r="C148" s="0" t="n">
        <v>17</v>
      </c>
      <c r="D148" s="0" t="n">
        <v>14</v>
      </c>
      <c r="E148" s="0" t="n">
        <v>181</v>
      </c>
      <c r="F148" s="0" t="n">
        <v>89</v>
      </c>
      <c r="G148" s="0" t="n">
        <v>134</v>
      </c>
      <c r="H148" s="0" t="n">
        <v>97</v>
      </c>
      <c r="I148" s="0" t="n">
        <v>0</v>
      </c>
      <c r="J148" s="0" t="n">
        <v>2</v>
      </c>
      <c r="K148" s="0" t="n">
        <v>1</v>
      </c>
      <c r="L148" s="0" t="n">
        <v>0</v>
      </c>
      <c r="M148" s="0" t="n">
        <f aca="false">VLOOKUP(A148,'Team Data'!$A$1:$P$133,2,FALSE())</f>
        <v>6</v>
      </c>
      <c r="N148" s="0" t="n">
        <f aca="false">VLOOKUP(A148,'Team Data'!$A$1:$P$133,3,FALSE())</f>
        <v>6</v>
      </c>
      <c r="O148" s="0" t="n">
        <f aca="false">VLOOKUP(B148,'Team Data'!$A$1:$P$133,2,FALSE())</f>
        <v>5</v>
      </c>
      <c r="P148" s="0" t="n">
        <f aca="false">VLOOKUP(B148,'Team Data'!$A$1:$P$133,3,FALSE())</f>
        <v>7</v>
      </c>
      <c r="Q148" s="0" t="n">
        <f aca="false">VLOOKUP(A148,'Team Data'!$A$1:$P$133,4,FALSE())</f>
        <v>85</v>
      </c>
      <c r="R148" s="0" t="n">
        <f aca="false">VLOOKUP(A148,'Team Data'!$A$1:$P$133,5,FALSE())</f>
        <v>281</v>
      </c>
      <c r="S148" s="0" t="n">
        <f aca="false">VLOOKUP(B148,'Team Data'!$A$1:$P$133,4,FALSE())</f>
        <v>84</v>
      </c>
      <c r="T148" s="0" t="n">
        <f aca="false">VLOOKUP(B148,'Team Data'!$A$1:$P$133,5,FALSE())</f>
        <v>176</v>
      </c>
      <c r="U148" s="0" t="n">
        <f aca="false">IF(K148=1,(MIN(35,(C148-D148)))*(O148/(O148+P148))*(S148/(S148+T148)),(MAX(-35,(C148-D148)))*(IF(P148=0,0.1,(P148/(O148+P148))))*(T148/(S148+T148)))</f>
        <v>0.403846153846154</v>
      </c>
      <c r="V148" s="0" t="n">
        <f aca="false">IF(L148=1,(MIN(35,(D148-C148)))*(M148/(M148+N148))*(Q148/(Q148+R148)),(MAX(-35,(D148-C148)))*(IF(N148=0,0.1,(N148/(M148+N148))))*(R148/(R148+Q148)))</f>
        <v>-1.1516393442623</v>
      </c>
    </row>
    <row r="149" customFormat="false" ht="15" hidden="false" customHeight="false" outlineLevel="0" collapsed="false">
      <c r="A149" s="0" t="s">
        <v>129</v>
      </c>
      <c r="B149" s="0" t="s">
        <v>126</v>
      </c>
      <c r="C149" s="0" t="n">
        <v>45</v>
      </c>
      <c r="D149" s="0" t="n">
        <v>25</v>
      </c>
      <c r="E149" s="0" t="n">
        <v>151</v>
      </c>
      <c r="F149" s="0" t="n">
        <v>113</v>
      </c>
      <c r="G149" s="0" t="n">
        <v>300</v>
      </c>
      <c r="H149" s="0" t="n">
        <v>181</v>
      </c>
      <c r="I149" s="0" t="n">
        <v>1</v>
      </c>
      <c r="J149" s="0" t="n">
        <v>3</v>
      </c>
      <c r="K149" s="0" t="n">
        <v>1</v>
      </c>
      <c r="L149" s="0" t="n">
        <v>0</v>
      </c>
      <c r="M149" s="0" t="n">
        <f aca="false">VLOOKUP(A149,'Team Data'!$A$1:$P$133,2,FALSE())</f>
        <v>8</v>
      </c>
      <c r="N149" s="0" t="n">
        <f aca="false">VLOOKUP(A149,'Team Data'!$A$1:$P$133,3,FALSE())</f>
        <v>5</v>
      </c>
      <c r="O149" s="0" t="n">
        <f aca="false">VLOOKUP(B149,'Team Data'!$A$1:$P$133,2,FALSE())</f>
        <v>5</v>
      </c>
      <c r="P149" s="0" t="n">
        <f aca="false">VLOOKUP(B149,'Team Data'!$A$1:$P$133,3,FALSE())</f>
        <v>7</v>
      </c>
      <c r="Q149" s="0" t="n">
        <f aca="false">VLOOKUP(A149,'Team Data'!$A$1:$P$133,4,FALSE())</f>
        <v>98</v>
      </c>
      <c r="R149" s="0" t="n">
        <f aca="false">VLOOKUP(A149,'Team Data'!$A$1:$P$133,5,FALSE())</f>
        <v>177</v>
      </c>
      <c r="S149" s="0" t="n">
        <f aca="false">VLOOKUP(B149,'Team Data'!$A$1:$P$133,4,FALSE())</f>
        <v>94</v>
      </c>
      <c r="T149" s="0" t="n">
        <f aca="false">VLOOKUP(B149,'Team Data'!$A$1:$P$133,5,FALSE())</f>
        <v>170</v>
      </c>
      <c r="U149" s="0" t="n">
        <f aca="false">IF(K149=1,(MIN(35,(C149-D149)))*(O149/(O149+P149))*(S149/(S149+T149)),(MAX(-35,(C149-D149)))*(IF(P149=0,0.1,(P149/(O149+P149))))*(T149/(S149+T149)))</f>
        <v>2.96717171717172</v>
      </c>
      <c r="V149" s="0" t="n">
        <f aca="false">IF(L149=1,(MIN(35,(D149-C149)))*(M149/(M149+N149))*(Q149/(Q149+R149)),(MAX(-35,(D149-C149)))*(IF(N149=0,0.1,(N149/(M149+N149))))*(R149/(R149+Q149)))</f>
        <v>-4.95104895104895</v>
      </c>
    </row>
    <row r="150" customFormat="false" ht="15" hidden="false" customHeight="false" outlineLevel="0" collapsed="false">
      <c r="A150" s="0" t="s">
        <v>11</v>
      </c>
      <c r="B150" s="0" t="s">
        <v>85</v>
      </c>
      <c r="C150" s="0" t="n">
        <v>17</v>
      </c>
      <c r="D150" s="0" t="n">
        <v>34</v>
      </c>
      <c r="E150" s="0" t="n">
        <v>131</v>
      </c>
      <c r="F150" s="0" t="n">
        <v>197</v>
      </c>
      <c r="G150" s="0" t="n">
        <v>223</v>
      </c>
      <c r="H150" s="0" t="n">
        <v>268</v>
      </c>
      <c r="I150" s="0" t="n">
        <v>1</v>
      </c>
      <c r="J150" s="0" t="n">
        <v>1</v>
      </c>
      <c r="K150" s="0" t="n">
        <v>0</v>
      </c>
      <c r="L150" s="0" t="n">
        <v>1</v>
      </c>
      <c r="M150" s="0" t="n">
        <f aca="false">VLOOKUP(A150,'Team Data'!$A$1:$P$133,2,FALSE())</f>
        <v>3</v>
      </c>
      <c r="N150" s="0" t="n">
        <f aca="false">VLOOKUP(A150,'Team Data'!$A$1:$P$133,3,FALSE())</f>
        <v>9</v>
      </c>
      <c r="O150" s="0" t="n">
        <f aca="false">VLOOKUP(B150,'Team Data'!$A$1:$P$133,2,FALSE())</f>
        <v>7</v>
      </c>
      <c r="P150" s="0" t="n">
        <f aca="false">VLOOKUP(B150,'Team Data'!$A$1:$P$133,3,FALSE())</f>
        <v>6</v>
      </c>
      <c r="Q150" s="0" t="n">
        <f aca="false">VLOOKUP(A150,'Team Data'!$A$1:$P$133,4,FALSE())</f>
        <v>91</v>
      </c>
      <c r="R150" s="0" t="n">
        <f aca="false">VLOOKUP(A150,'Team Data'!$A$1:$P$133,5,FALSE())</f>
        <v>171</v>
      </c>
      <c r="S150" s="0" t="n">
        <f aca="false">VLOOKUP(B150,'Team Data'!$A$1:$P$133,4,FALSE())</f>
        <v>88</v>
      </c>
      <c r="T150" s="0" t="n">
        <f aca="false">VLOOKUP(B150,'Team Data'!$A$1:$P$133,5,FALSE())</f>
        <v>187</v>
      </c>
      <c r="U150" s="0" t="n">
        <f aca="false">IF(K150=1,(MIN(35,(C150-D150)))*(O150/(O150+P150))*(S150/(S150+T150)),(MAX(-35,(C150-D150)))*(IF(P150=0,0.1,(P150/(O150+P150))))*(T150/(S150+T150)))</f>
        <v>-5.33538461538462</v>
      </c>
      <c r="V150" s="0" t="n">
        <f aca="false">IF(L150=1,(MIN(35,(D150-C150)))*(M150/(M150+N150))*(Q150/(Q150+R150)),(MAX(-35,(D150-C150)))*(IF(N150=0,0.1,(N150/(M150+N150))))*(R150/(R150+Q150)))</f>
        <v>1.47614503816794</v>
      </c>
    </row>
    <row r="151" customFormat="false" ht="15" hidden="false" customHeight="false" outlineLevel="0" collapsed="false">
      <c r="A151" s="0" t="s">
        <v>119</v>
      </c>
      <c r="B151" s="0" t="s">
        <v>23</v>
      </c>
      <c r="C151" s="0" t="n">
        <v>14</v>
      </c>
      <c r="D151" s="0" t="n">
        <v>20</v>
      </c>
      <c r="E151" s="0" t="n">
        <v>103</v>
      </c>
      <c r="F151" s="0" t="n">
        <v>92</v>
      </c>
      <c r="G151" s="0" t="n">
        <v>206</v>
      </c>
      <c r="H151" s="0" t="n">
        <v>278</v>
      </c>
      <c r="I151" s="0" t="n">
        <v>1</v>
      </c>
      <c r="J151" s="0" t="n">
        <v>1</v>
      </c>
      <c r="K151" s="0" t="n">
        <v>0</v>
      </c>
      <c r="L151" s="0" t="n">
        <v>1</v>
      </c>
      <c r="M151" s="0" t="n">
        <f aca="false">VLOOKUP(A151,'Team Data'!$A$1:$P$133,2,FALSE())</f>
        <v>5</v>
      </c>
      <c r="N151" s="0" t="n">
        <f aca="false">VLOOKUP(A151,'Team Data'!$A$1:$P$133,3,FALSE())</f>
        <v>7</v>
      </c>
      <c r="O151" s="0" t="n">
        <f aca="false">VLOOKUP(B151,'Team Data'!$A$1:$P$133,2,FALSE())</f>
        <v>4</v>
      </c>
      <c r="P151" s="0" t="n">
        <f aca="false">VLOOKUP(B151,'Team Data'!$A$1:$P$133,3,FALSE())</f>
        <v>8</v>
      </c>
      <c r="Q151" s="0" t="n">
        <f aca="false">VLOOKUP(A151,'Team Data'!$A$1:$P$133,4,FALSE())</f>
        <v>75</v>
      </c>
      <c r="R151" s="0" t="n">
        <f aca="false">VLOOKUP(A151,'Team Data'!$A$1:$P$133,5,FALSE())</f>
        <v>186</v>
      </c>
      <c r="S151" s="0" t="n">
        <f aca="false">VLOOKUP(B151,'Team Data'!$A$1:$P$133,4,FALSE())</f>
        <v>89</v>
      </c>
      <c r="T151" s="0" t="n">
        <f aca="false">VLOOKUP(B151,'Team Data'!$A$1:$P$133,5,FALSE())</f>
        <v>171</v>
      </c>
      <c r="U151" s="0" t="n">
        <f aca="false">IF(K151=1,(MIN(35,(C151-D151)))*(O151/(O151+P151))*(S151/(S151+T151)),(MAX(-35,(C151-D151)))*(IF(P151=0,0.1,(P151/(O151+P151))))*(T151/(S151+T151)))</f>
        <v>-2.63076923076923</v>
      </c>
      <c r="V151" s="0" t="n">
        <f aca="false">IF(L151=1,(MIN(35,(D151-C151)))*(M151/(M151+N151))*(Q151/(Q151+R151)),(MAX(-35,(D151-C151)))*(IF(N151=0,0.1,(N151/(M151+N151))))*(R151/(R151+Q151)))</f>
        <v>0.718390804597701</v>
      </c>
    </row>
    <row r="152" customFormat="false" ht="15" hidden="false" customHeight="false" outlineLevel="0" collapsed="false">
      <c r="A152" s="0" t="s">
        <v>29</v>
      </c>
      <c r="B152" s="0" t="s">
        <v>6</v>
      </c>
      <c r="C152" s="0" t="n">
        <v>10</v>
      </c>
      <c r="D152" s="0" t="n">
        <v>41</v>
      </c>
      <c r="E152" s="0" t="n">
        <v>111</v>
      </c>
      <c r="F152" s="0" t="n">
        <v>435</v>
      </c>
      <c r="G152" s="0" t="n">
        <v>51</v>
      </c>
      <c r="H152" s="0" t="n">
        <v>8</v>
      </c>
      <c r="I152" s="0" t="n">
        <v>3</v>
      </c>
      <c r="J152" s="0" t="n">
        <v>3</v>
      </c>
      <c r="K152" s="0" t="n">
        <v>0</v>
      </c>
      <c r="L152" s="0" t="n">
        <v>1</v>
      </c>
      <c r="M152" s="0" t="n">
        <f aca="false">VLOOKUP(A152,'Team Data'!$A$1:$P$133,2,FALSE())</f>
        <v>1</v>
      </c>
      <c r="N152" s="0" t="n">
        <f aca="false">VLOOKUP(A152,'Team Data'!$A$1:$P$133,3,FALSE())</f>
        <v>11</v>
      </c>
      <c r="O152" s="0" t="n">
        <f aca="false">VLOOKUP(B152,'Team Data'!$A$1:$P$133,2,FALSE())</f>
        <v>10</v>
      </c>
      <c r="P152" s="0" t="n">
        <f aca="false">VLOOKUP(B152,'Team Data'!$A$1:$P$133,3,FALSE())</f>
        <v>3</v>
      </c>
      <c r="Q152" s="0" t="n">
        <f aca="false">VLOOKUP(A152,'Team Data'!$A$1:$P$133,4,FALSE())</f>
        <v>105</v>
      </c>
      <c r="R152" s="0" t="n">
        <f aca="false">VLOOKUP(A152,'Team Data'!$A$1:$P$133,5,FALSE())</f>
        <v>52</v>
      </c>
      <c r="S152" s="0" t="n">
        <f aca="false">VLOOKUP(B152,'Team Data'!$A$1:$P$133,4,FALSE())</f>
        <v>67</v>
      </c>
      <c r="T152" s="0" t="n">
        <f aca="false">VLOOKUP(B152,'Team Data'!$A$1:$P$133,5,FALSE())</f>
        <v>203</v>
      </c>
      <c r="U152" s="0" t="n">
        <f aca="false">IF(K152=1,(MIN(35,(C152-D152)))*(O152/(O152+P152))*(S152/(S152+T152)),(MAX(-35,(C152-D152)))*(IF(P152=0,0.1,(P152/(O152+P152))))*(T152/(S152+T152)))</f>
        <v>-5.37863247863248</v>
      </c>
      <c r="V152" s="0" t="n">
        <f aca="false">IF(L152=1,(MIN(35,(D152-C152)))*(M152/(M152+N152))*(Q152/(Q152+R152)),(MAX(-35,(D152-C152)))*(IF(N152=0,0.1,(N152/(M152+N152))))*(R152/(R152+Q152)))</f>
        <v>1.72770700636943</v>
      </c>
    </row>
    <row r="153" customFormat="false" ht="15" hidden="false" customHeight="false" outlineLevel="0" collapsed="false">
      <c r="A153" s="0" t="s">
        <v>198</v>
      </c>
      <c r="B153" s="0" t="s">
        <v>88</v>
      </c>
      <c r="C153" s="0" t="n">
        <v>14</v>
      </c>
      <c r="D153" s="0" t="n">
        <v>70</v>
      </c>
      <c r="E153" s="0" t="n">
        <v>100</v>
      </c>
      <c r="F153" s="0" t="n">
        <v>263</v>
      </c>
      <c r="G153" s="0" t="n">
        <v>87</v>
      </c>
      <c r="H153" s="0" t="n">
        <v>341</v>
      </c>
      <c r="I153" s="0" t="n">
        <v>2</v>
      </c>
      <c r="J153" s="0" t="n">
        <v>0</v>
      </c>
      <c r="K153" s="0" t="n">
        <v>0</v>
      </c>
      <c r="L153" s="0" t="n">
        <v>1</v>
      </c>
      <c r="M153" s="0" t="n">
        <f aca="false">VLOOKUP(A153,'Team Data'!$A$1:$P$133,2,FALSE())</f>
        <v>8</v>
      </c>
      <c r="N153" s="0" t="n">
        <f aca="false">VLOOKUP(A153,'Team Data'!$A$1:$P$133,3,FALSE())</f>
        <v>112</v>
      </c>
      <c r="O153" s="0" t="n">
        <f aca="false">VLOOKUP(B153,'Team Data'!$A$1:$P$133,2,FALSE())</f>
        <v>10</v>
      </c>
      <c r="P153" s="0" t="n">
        <f aca="false">VLOOKUP(B153,'Team Data'!$A$1:$P$133,3,FALSE())</f>
        <v>3</v>
      </c>
      <c r="Q153" s="0" t="n">
        <f aca="false">VLOOKUP(A153,'Team Data'!$A$1:$P$133,4,FALSE())</f>
        <v>805</v>
      </c>
      <c r="R153" s="0" t="n">
        <f aca="false">VLOOKUP(A153,'Team Data'!$A$1:$P$133,5,FALSE())</f>
        <v>725</v>
      </c>
      <c r="S153" s="0" t="n">
        <f aca="false">VLOOKUP(B153,'Team Data'!$A$1:$P$133,4,FALSE())</f>
        <v>100</v>
      </c>
      <c r="T153" s="0" t="n">
        <f aca="false">VLOOKUP(B153,'Team Data'!$A$1:$P$133,5,FALSE())</f>
        <v>176</v>
      </c>
      <c r="U153" s="0" t="n">
        <f aca="false">IF(K153=1,(MIN(35,(C153-D153)))*(O153/(O153+P153))*(S153/(S153+T153)),(MAX(-35,(C153-D153)))*(IF(P153=0,0.1,(P153/(O153+P153))))*(T153/(S153+T153)))</f>
        <v>-5.1505016722408</v>
      </c>
      <c r="V153" s="0" t="n">
        <f aca="false">IF(L153=1,(MIN(35,(D153-C153)))*(M153/(M153+N153))*(Q153/(Q153+R153)),(MAX(-35,(D153-C153)))*(IF(N153=0,0.1,(N153/(M153+N153))))*(R153/(R153+Q153)))</f>
        <v>1.2276688453159</v>
      </c>
    </row>
    <row r="154" customFormat="false" ht="15" hidden="false" customHeight="false" outlineLevel="0" collapsed="false">
      <c r="A154" s="0" t="s">
        <v>89</v>
      </c>
      <c r="B154" s="0" t="s">
        <v>38</v>
      </c>
      <c r="C154" s="0" t="n">
        <v>35</v>
      </c>
      <c r="D154" s="0" t="n">
        <v>32</v>
      </c>
      <c r="E154" s="0" t="n">
        <v>178</v>
      </c>
      <c r="F154" s="0" t="n">
        <v>132</v>
      </c>
      <c r="G154" s="0" t="n">
        <v>219</v>
      </c>
      <c r="H154" s="0" t="n">
        <v>360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f aca="false">VLOOKUP(A154,'Team Data'!$A$1:$P$133,2,FALSE())</f>
        <v>10</v>
      </c>
      <c r="N154" s="0" t="n">
        <f aca="false">VLOOKUP(A154,'Team Data'!$A$1:$P$133,3,FALSE())</f>
        <v>3</v>
      </c>
      <c r="O154" s="0" t="n">
        <f aca="false">VLOOKUP(B154,'Team Data'!$A$1:$P$133,2,FALSE())</f>
        <v>10</v>
      </c>
      <c r="P154" s="0" t="n">
        <f aca="false">VLOOKUP(B154,'Team Data'!$A$1:$P$133,3,FALSE())</f>
        <v>4</v>
      </c>
      <c r="Q154" s="0" t="n">
        <f aca="false">VLOOKUP(A154,'Team Data'!$A$1:$P$133,4,FALSE())</f>
        <v>94</v>
      </c>
      <c r="R154" s="0" t="n">
        <f aca="false">VLOOKUP(A154,'Team Data'!$A$1:$P$133,5,FALSE())</f>
        <v>182</v>
      </c>
      <c r="S154" s="0" t="n">
        <f aca="false">VLOOKUP(B154,'Team Data'!$A$1:$P$133,4,FALSE())</f>
        <v>95</v>
      </c>
      <c r="T154" s="0" t="n">
        <f aca="false">VLOOKUP(B154,'Team Data'!$A$1:$P$133,5,FALSE())</f>
        <v>193</v>
      </c>
      <c r="U154" s="0" t="n">
        <f aca="false">IF(K154=1,(MIN(35,(C154-D154)))*(O154/(O154+P154))*(S154/(S154+T154)),(MAX(-35,(C154-D154)))*(IF(P154=0,0.1,(P154/(O154+P154))))*(T154/(S154+T154)))</f>
        <v>0.706845238095238</v>
      </c>
      <c r="V154" s="0" t="n">
        <f aca="false">IF(L154=1,(MIN(35,(D154-C154)))*(M154/(M154+N154))*(Q154/(Q154+R154)),(MAX(-35,(D154-C154)))*(IF(N154=0,0.1,(N154/(M154+N154))))*(R154/(R154+Q154)))</f>
        <v>-0.456521739130435</v>
      </c>
    </row>
    <row r="155" customFormat="false" ht="15" hidden="false" customHeight="false" outlineLevel="0" collapsed="false">
      <c r="A155" s="0" t="s">
        <v>120</v>
      </c>
      <c r="B155" s="0" t="s">
        <v>101</v>
      </c>
      <c r="C155" s="0" t="n">
        <v>41</v>
      </c>
      <c r="D155" s="0" t="n">
        <v>28</v>
      </c>
      <c r="E155" s="0" t="n">
        <v>164</v>
      </c>
      <c r="F155" s="0" t="n">
        <v>221</v>
      </c>
      <c r="G155" s="0" t="n">
        <v>341</v>
      </c>
      <c r="H155" s="0" t="n">
        <v>220</v>
      </c>
      <c r="I155" s="0" t="n">
        <v>0</v>
      </c>
      <c r="J155" s="0" t="n">
        <v>4</v>
      </c>
      <c r="K155" s="0" t="n">
        <v>1</v>
      </c>
      <c r="L155" s="0" t="n">
        <v>0</v>
      </c>
      <c r="M155" s="0" t="n">
        <f aca="false">VLOOKUP(A155,'Team Data'!$A$1:$P$133,2,FALSE())</f>
        <v>11</v>
      </c>
      <c r="N155" s="0" t="n">
        <f aca="false">VLOOKUP(A155,'Team Data'!$A$1:$P$133,3,FALSE())</f>
        <v>3</v>
      </c>
      <c r="O155" s="0" t="n">
        <f aca="false">VLOOKUP(B155,'Team Data'!$A$1:$P$133,2,FALSE())</f>
        <v>3</v>
      </c>
      <c r="P155" s="0" t="n">
        <f aca="false">VLOOKUP(B155,'Team Data'!$A$1:$P$133,3,FALSE())</f>
        <v>9</v>
      </c>
      <c r="Q155" s="0" t="n">
        <f aca="false">VLOOKUP(A155,'Team Data'!$A$1:$P$133,4,FALSE())</f>
        <v>98</v>
      </c>
      <c r="R155" s="0" t="n">
        <f aca="false">VLOOKUP(A155,'Team Data'!$A$1:$P$133,5,FALSE())</f>
        <v>83</v>
      </c>
      <c r="S155" s="0" t="n">
        <f aca="false">VLOOKUP(B155,'Team Data'!$A$1:$P$133,4,FALSE())</f>
        <v>100</v>
      </c>
      <c r="T155" s="0" t="n">
        <f aca="false">VLOOKUP(B155,'Team Data'!$A$1:$P$133,5,FALSE())</f>
        <v>163</v>
      </c>
      <c r="U155" s="0" t="n">
        <f aca="false">IF(K155=1,(MIN(35,(C155-D155)))*(O155/(O155+P155))*(S155/(S155+T155)),(MAX(-35,(C155-D155)))*(IF(P155=0,0.1,(P155/(O155+P155))))*(T155/(S155+T155)))</f>
        <v>1.23574144486692</v>
      </c>
      <c r="V155" s="0" t="n">
        <f aca="false">IF(L155=1,(MIN(35,(D155-C155)))*(M155/(M155+N155))*(Q155/(Q155+R155)),(MAX(-35,(D155-C155)))*(IF(N155=0,0.1,(N155/(M155+N155))))*(R155/(R155+Q155)))</f>
        <v>-1.27742699289661</v>
      </c>
    </row>
    <row r="156" customFormat="false" ht="15" hidden="false" customHeight="false" outlineLevel="0" collapsed="false">
      <c r="A156" s="0" t="s">
        <v>198</v>
      </c>
      <c r="B156" s="0" t="s">
        <v>116</v>
      </c>
      <c r="C156" s="0" t="n">
        <v>7</v>
      </c>
      <c r="D156" s="0" t="n">
        <v>45</v>
      </c>
      <c r="E156" s="0" t="n">
        <v>87</v>
      </c>
      <c r="F156" s="0" t="n">
        <v>220</v>
      </c>
      <c r="G156" s="0" t="n">
        <v>223</v>
      </c>
      <c r="H156" s="0" t="n">
        <v>265</v>
      </c>
      <c r="I156" s="0" t="n">
        <v>3</v>
      </c>
      <c r="J156" s="0" t="n">
        <v>1</v>
      </c>
      <c r="K156" s="0" t="n">
        <v>0</v>
      </c>
      <c r="L156" s="0" t="n">
        <v>1</v>
      </c>
      <c r="M156" s="0" t="n">
        <f aca="false">VLOOKUP(A156,'Team Data'!$A$1:$P$133,2,FALSE())</f>
        <v>8</v>
      </c>
      <c r="N156" s="0" t="n">
        <f aca="false">VLOOKUP(A156,'Team Data'!$A$1:$P$133,3,FALSE())</f>
        <v>112</v>
      </c>
      <c r="O156" s="0" t="n">
        <f aca="false">VLOOKUP(B156,'Team Data'!$A$1:$P$133,2,FALSE())</f>
        <v>9</v>
      </c>
      <c r="P156" s="0" t="n">
        <f aca="false">VLOOKUP(B156,'Team Data'!$A$1:$P$133,3,FALSE())</f>
        <v>4</v>
      </c>
      <c r="Q156" s="0" t="n">
        <f aca="false">VLOOKUP(A156,'Team Data'!$A$1:$P$133,4,FALSE())</f>
        <v>805</v>
      </c>
      <c r="R156" s="0" t="n">
        <f aca="false">VLOOKUP(A156,'Team Data'!$A$1:$P$133,5,FALSE())</f>
        <v>725</v>
      </c>
      <c r="S156" s="0" t="n">
        <f aca="false">VLOOKUP(B156,'Team Data'!$A$1:$P$133,4,FALSE())</f>
        <v>91</v>
      </c>
      <c r="T156" s="0" t="n">
        <f aca="false">VLOOKUP(B156,'Team Data'!$A$1:$P$133,5,FALSE())</f>
        <v>182</v>
      </c>
      <c r="U156" s="0" t="n">
        <f aca="false">IF(K156=1,(MIN(35,(C156-D156)))*(O156/(O156+P156))*(S156/(S156+T156)),(MAX(-35,(C156-D156)))*(IF(P156=0,0.1,(P156/(O156+P156))))*(T156/(S156+T156)))</f>
        <v>-7.17948717948718</v>
      </c>
      <c r="V156" s="0" t="n">
        <f aca="false">IF(L156=1,(MIN(35,(D156-C156)))*(M156/(M156+N156))*(Q156/(Q156+R156)),(MAX(-35,(D156-C156)))*(IF(N156=0,0.1,(N156/(M156+N156))))*(R156/(R156+Q156)))</f>
        <v>1.2276688453159</v>
      </c>
    </row>
    <row r="157" customFormat="false" ht="15" hidden="false" customHeight="false" outlineLevel="0" collapsed="false">
      <c r="A157" s="0" t="s">
        <v>198</v>
      </c>
      <c r="B157" s="0" t="s">
        <v>124</v>
      </c>
      <c r="C157" s="0" t="n">
        <v>7</v>
      </c>
      <c r="D157" s="0" t="n">
        <v>73</v>
      </c>
      <c r="E157" s="0" t="n">
        <v>43</v>
      </c>
      <c r="F157" s="0" t="n">
        <v>247</v>
      </c>
      <c r="G157" s="0" t="n">
        <v>42</v>
      </c>
      <c r="H157" s="0" t="n">
        <v>352</v>
      </c>
      <c r="I157" s="0" t="n">
        <v>2</v>
      </c>
      <c r="J157" s="0" t="n">
        <v>1</v>
      </c>
      <c r="K157" s="0" t="n">
        <v>0</v>
      </c>
      <c r="L157" s="0" t="n">
        <v>1</v>
      </c>
      <c r="M157" s="0" t="n">
        <f aca="false">VLOOKUP(A157,'Team Data'!$A$1:$P$133,2,FALSE())</f>
        <v>8</v>
      </c>
      <c r="N157" s="0" t="n">
        <f aca="false">VLOOKUP(A157,'Team Data'!$A$1:$P$133,3,FALSE())</f>
        <v>112</v>
      </c>
      <c r="O157" s="0" t="n">
        <f aca="false">VLOOKUP(B157,'Team Data'!$A$1:$P$133,2,FALSE())</f>
        <v>10</v>
      </c>
      <c r="P157" s="0" t="n">
        <f aca="false">VLOOKUP(B157,'Team Data'!$A$1:$P$133,3,FALSE())</f>
        <v>4</v>
      </c>
      <c r="Q157" s="0" t="n">
        <f aca="false">VLOOKUP(A157,'Team Data'!$A$1:$P$133,4,FALSE())</f>
        <v>805</v>
      </c>
      <c r="R157" s="0" t="n">
        <f aca="false">VLOOKUP(A157,'Team Data'!$A$1:$P$133,5,FALSE())</f>
        <v>725</v>
      </c>
      <c r="S157" s="0" t="n">
        <f aca="false">VLOOKUP(B157,'Team Data'!$A$1:$P$133,4,FALSE())</f>
        <v>102</v>
      </c>
      <c r="T157" s="0" t="n">
        <f aca="false">VLOOKUP(B157,'Team Data'!$A$1:$P$133,5,FALSE())</f>
        <v>185</v>
      </c>
      <c r="U157" s="0" t="n">
        <f aca="false">IF(K157=1,(MIN(35,(C157-D157)))*(O157/(O157+P157))*(S157/(S157+T157)),(MAX(-35,(C157-D157)))*(IF(P157=0,0.1,(P157/(O157+P157))))*(T157/(S157+T157)))</f>
        <v>-6.44599303135889</v>
      </c>
      <c r="V157" s="0" t="n">
        <f aca="false">IF(L157=1,(MIN(35,(D157-C157)))*(M157/(M157+N157))*(Q157/(Q157+R157)),(MAX(-35,(D157-C157)))*(IF(N157=0,0.1,(N157/(M157+N157))))*(R157/(R157+Q157)))</f>
        <v>1.2276688453159</v>
      </c>
    </row>
    <row r="158" customFormat="false" ht="15" hidden="false" customHeight="false" outlineLevel="0" collapsed="false">
      <c r="A158" s="0" t="s">
        <v>198</v>
      </c>
      <c r="B158" s="0" t="s">
        <v>130</v>
      </c>
      <c r="C158" s="0" t="n">
        <v>6</v>
      </c>
      <c r="D158" s="0" t="n">
        <v>52</v>
      </c>
      <c r="E158" s="0" t="n">
        <v>81</v>
      </c>
      <c r="F158" s="0" t="n">
        <v>241</v>
      </c>
      <c r="G158" s="0" t="n">
        <v>50</v>
      </c>
      <c r="H158" s="0" t="n">
        <v>376</v>
      </c>
      <c r="I158" s="0" t="n">
        <v>0</v>
      </c>
      <c r="J158" s="0" t="n">
        <v>1</v>
      </c>
      <c r="K158" s="0" t="n">
        <v>0</v>
      </c>
      <c r="L158" s="0" t="n">
        <v>1</v>
      </c>
      <c r="M158" s="0" t="n">
        <f aca="false">VLOOKUP(A158,'Team Data'!$A$1:$P$133,2,FALSE())</f>
        <v>8</v>
      </c>
      <c r="N158" s="0" t="n">
        <f aca="false">VLOOKUP(A158,'Team Data'!$A$1:$P$133,3,FALSE())</f>
        <v>112</v>
      </c>
      <c r="O158" s="0" t="n">
        <f aca="false">VLOOKUP(B158,'Team Data'!$A$1:$P$133,2,FALSE())</f>
        <v>11</v>
      </c>
      <c r="P158" s="0" t="n">
        <f aca="false">VLOOKUP(B158,'Team Data'!$A$1:$P$133,3,FALSE())</f>
        <v>2</v>
      </c>
      <c r="Q158" s="0" t="n">
        <f aca="false">VLOOKUP(A158,'Team Data'!$A$1:$P$133,4,FALSE())</f>
        <v>805</v>
      </c>
      <c r="R158" s="0" t="n">
        <f aca="false">VLOOKUP(A158,'Team Data'!$A$1:$P$133,5,FALSE())</f>
        <v>725</v>
      </c>
      <c r="S158" s="0" t="n">
        <f aca="false">VLOOKUP(B158,'Team Data'!$A$1:$P$133,4,FALSE())</f>
        <v>78</v>
      </c>
      <c r="T158" s="0" t="n">
        <f aca="false">VLOOKUP(B158,'Team Data'!$A$1:$P$133,5,FALSE())</f>
        <v>191</v>
      </c>
      <c r="U158" s="0" t="n">
        <f aca="false">IF(K158=1,(MIN(35,(C158-D158)))*(O158/(O158+P158))*(S158/(S158+T158)),(MAX(-35,(C158-D158)))*(IF(P158=0,0.1,(P158/(O158+P158))))*(T158/(S158+T158)))</f>
        <v>-3.82327709465256</v>
      </c>
      <c r="V158" s="0" t="n">
        <f aca="false">IF(L158=1,(MIN(35,(D158-C158)))*(M158/(M158+N158))*(Q158/(Q158+R158)),(MAX(-35,(D158-C158)))*(IF(N158=0,0.1,(N158/(M158+N158))))*(R158/(R158+Q158)))</f>
        <v>1.2276688453159</v>
      </c>
    </row>
    <row r="159" customFormat="false" ht="15" hidden="false" customHeight="false" outlineLevel="0" collapsed="false">
      <c r="A159" s="0" t="s">
        <v>131</v>
      </c>
      <c r="B159" s="0" t="s">
        <v>135</v>
      </c>
      <c r="C159" s="0" t="n">
        <v>17</v>
      </c>
      <c r="D159" s="0" t="n">
        <v>14</v>
      </c>
      <c r="E159" s="0" t="n">
        <v>53</v>
      </c>
      <c r="F159" s="0" t="n">
        <v>174</v>
      </c>
      <c r="G159" s="0" t="n">
        <v>200</v>
      </c>
      <c r="H159" s="0" t="n">
        <v>227</v>
      </c>
      <c r="I159" s="0" t="n">
        <v>3</v>
      </c>
      <c r="J159" s="0" t="n">
        <v>3</v>
      </c>
      <c r="K159" s="0" t="n">
        <v>1</v>
      </c>
      <c r="L159" s="0" t="n">
        <v>0</v>
      </c>
      <c r="M159" s="0" t="n">
        <f aca="false">VLOOKUP(A159,'Team Data'!$A$1:$P$133,2,FALSE())</f>
        <v>7</v>
      </c>
      <c r="N159" s="0" t="n">
        <f aca="false">VLOOKUP(A159,'Team Data'!$A$1:$P$133,3,FALSE())</f>
        <v>6</v>
      </c>
      <c r="O159" s="0" t="n">
        <f aca="false">VLOOKUP(B159,'Team Data'!$A$1:$P$133,2,FALSE())</f>
        <v>7</v>
      </c>
      <c r="P159" s="0" t="n">
        <f aca="false">VLOOKUP(B159,'Team Data'!$A$1:$P$133,3,FALSE())</f>
        <v>6</v>
      </c>
      <c r="Q159" s="0" t="n">
        <f aca="false">VLOOKUP(A159,'Team Data'!$A$1:$P$133,4,FALSE())</f>
        <v>95</v>
      </c>
      <c r="R159" s="0" t="n">
        <f aca="false">VLOOKUP(A159,'Team Data'!$A$1:$P$133,5,FALSE())</f>
        <v>179</v>
      </c>
      <c r="S159" s="0" t="n">
        <f aca="false">VLOOKUP(B159,'Team Data'!$A$1:$P$133,4,FALSE())</f>
        <v>91</v>
      </c>
      <c r="T159" s="0" t="n">
        <f aca="false">VLOOKUP(B159,'Team Data'!$A$1:$P$133,5,FALSE())</f>
        <v>183</v>
      </c>
      <c r="U159" s="0" t="n">
        <f aca="false">IF(K159=1,(MIN(35,(C159-D159)))*(O159/(O159+P159))*(S159/(S159+T159)),(MAX(-35,(C159-D159)))*(IF(P159=0,0.1,(P159/(O159+P159))))*(T159/(S159+T159)))</f>
        <v>0.536496350364964</v>
      </c>
      <c r="V159" s="0" t="n">
        <f aca="false">IF(L159=1,(MIN(35,(D159-C159)))*(M159/(M159+N159))*(Q159/(Q159+R159)),(MAX(-35,(D159-C159)))*(IF(N159=0,0.1,(N159/(M159+N159))))*(R159/(R159+Q159)))</f>
        <v>-0.904548006737788</v>
      </c>
    </row>
    <row r="160" customFormat="false" ht="15" hidden="false" customHeight="false" outlineLevel="0" collapsed="false">
      <c r="A160" s="0" t="s">
        <v>18</v>
      </c>
      <c r="B160" s="0" t="s">
        <v>16</v>
      </c>
      <c r="C160" s="0" t="n">
        <v>20</v>
      </c>
      <c r="D160" s="0" t="n">
        <v>26</v>
      </c>
      <c r="E160" s="0" t="n">
        <v>152</v>
      </c>
      <c r="F160" s="0" t="n">
        <v>83</v>
      </c>
      <c r="G160" s="0" t="n">
        <v>137</v>
      </c>
      <c r="H160" s="0" t="n">
        <v>283</v>
      </c>
      <c r="I160" s="0" t="n">
        <v>0</v>
      </c>
      <c r="J160" s="0" t="n">
        <v>0</v>
      </c>
      <c r="K160" s="0" t="n">
        <v>0</v>
      </c>
      <c r="L160" s="0" t="n">
        <v>1</v>
      </c>
      <c r="M160" s="0" t="n">
        <f aca="false">VLOOKUP(A160,'Team Data'!$A$1:$P$133,2,FALSE())</f>
        <v>6</v>
      </c>
      <c r="N160" s="0" t="n">
        <f aca="false">VLOOKUP(A160,'Team Data'!$A$1:$P$133,3,FALSE())</f>
        <v>7</v>
      </c>
      <c r="O160" s="0" t="n">
        <f aca="false">VLOOKUP(B160,'Team Data'!$A$1:$P$133,2,FALSE())</f>
        <v>8</v>
      </c>
      <c r="P160" s="0" t="n">
        <f aca="false">VLOOKUP(B160,'Team Data'!$A$1:$P$133,3,FALSE())</f>
        <v>5</v>
      </c>
      <c r="Q160" s="0" t="n">
        <f aca="false">VLOOKUP(A160,'Team Data'!$A$1:$P$133,4,FALSE())</f>
        <v>97</v>
      </c>
      <c r="R160" s="0" t="n">
        <f aca="false">VLOOKUP(A160,'Team Data'!$A$1:$P$133,5,FALSE())</f>
        <v>179</v>
      </c>
      <c r="S160" s="0" t="n">
        <f aca="false">VLOOKUP(B160,'Team Data'!$A$1:$P$133,4,FALSE())</f>
        <v>90</v>
      </c>
      <c r="T160" s="0" t="n">
        <f aca="false">VLOOKUP(B160,'Team Data'!$A$1:$P$133,5,FALSE())</f>
        <v>185</v>
      </c>
      <c r="U160" s="0" t="n">
        <f aca="false">IF(K160=1,(MIN(35,(C160-D160)))*(O160/(O160+P160))*(S160/(S160+T160)),(MAX(-35,(C160-D160)))*(IF(P160=0,0.1,(P160/(O160+P160))))*(T160/(S160+T160)))</f>
        <v>-1.55244755244755</v>
      </c>
      <c r="V160" s="0" t="n">
        <f aca="false">IF(L160=1,(MIN(35,(D160-C160)))*(M160/(M160+N160))*(Q160/(Q160+R160)),(MAX(-35,(D160-C160)))*(IF(N160=0,0.1,(N160/(M160+N160))))*(R160/(R160+Q160)))</f>
        <v>0.973244147157191</v>
      </c>
    </row>
    <row r="161" customFormat="false" ht="15" hidden="false" customHeight="false" outlineLevel="0" collapsed="false">
      <c r="A161" s="0" t="s">
        <v>44</v>
      </c>
      <c r="B161" s="0" t="s">
        <v>109</v>
      </c>
      <c r="C161" s="0" t="n">
        <v>30</v>
      </c>
      <c r="D161" s="0" t="n">
        <v>33</v>
      </c>
      <c r="E161" s="0" t="n">
        <v>88</v>
      </c>
      <c r="F161" s="0" t="n">
        <v>117</v>
      </c>
      <c r="G161" s="0" t="n">
        <v>266</v>
      </c>
      <c r="H161" s="0" t="n">
        <v>351</v>
      </c>
      <c r="I161" s="0" t="n">
        <v>2</v>
      </c>
      <c r="J161" s="0" t="n">
        <v>3</v>
      </c>
      <c r="K161" s="0" t="n">
        <v>0</v>
      </c>
      <c r="L161" s="0" t="n">
        <v>1</v>
      </c>
      <c r="M161" s="0" t="n">
        <f aca="false">VLOOKUP(A161,'Team Data'!$A$1:$P$133,2,FALSE())</f>
        <v>8</v>
      </c>
      <c r="N161" s="0" t="n">
        <f aca="false">VLOOKUP(A161,'Team Data'!$A$1:$P$133,3,FALSE())</f>
        <v>5</v>
      </c>
      <c r="O161" s="0" t="n">
        <f aca="false">VLOOKUP(B161,'Team Data'!$A$1:$P$133,2,FALSE())</f>
        <v>8</v>
      </c>
      <c r="P161" s="0" t="n">
        <f aca="false">VLOOKUP(B161,'Team Data'!$A$1:$P$133,3,FALSE())</f>
        <v>5</v>
      </c>
      <c r="Q161" s="0" t="n">
        <f aca="false">VLOOKUP(A161,'Team Data'!$A$1:$P$133,4,FALSE())</f>
        <v>83</v>
      </c>
      <c r="R161" s="0" t="n">
        <f aca="false">VLOOKUP(A161,'Team Data'!$A$1:$P$133,5,FALSE())</f>
        <v>84</v>
      </c>
      <c r="S161" s="0" t="n">
        <f aca="false">VLOOKUP(B161,'Team Data'!$A$1:$P$133,4,FALSE())</f>
        <v>97</v>
      </c>
      <c r="T161" s="0" t="n">
        <f aca="false">VLOOKUP(B161,'Team Data'!$A$1:$P$133,5,FALSE())</f>
        <v>180</v>
      </c>
      <c r="U161" s="0" t="n">
        <f aca="false">IF(K161=1,(MIN(35,(C161-D161)))*(O161/(O161+P161))*(S161/(S161+T161)),(MAX(-35,(C161-D161)))*(IF(P161=0,0.1,(P161/(O161+P161))))*(T161/(S161+T161)))</f>
        <v>-0.749791724520967</v>
      </c>
      <c r="V161" s="0" t="n">
        <f aca="false">IF(L161=1,(MIN(35,(D161-C161)))*(M161/(M161+N161))*(Q161/(Q161+R161)),(MAX(-35,(D161-C161)))*(IF(N161=0,0.1,(N161/(M161+N161))))*(R161/(R161+Q161)))</f>
        <v>0.917549516351912</v>
      </c>
    </row>
    <row r="162" customFormat="false" ht="15" hidden="false" customHeight="false" outlineLevel="0" collapsed="false">
      <c r="A162" s="0" t="s">
        <v>48</v>
      </c>
      <c r="B162" s="0" t="s">
        <v>47</v>
      </c>
      <c r="C162" s="0" t="n">
        <v>10</v>
      </c>
      <c r="D162" s="0" t="n">
        <v>7</v>
      </c>
      <c r="E162" s="0" t="n">
        <v>129</v>
      </c>
      <c r="F162" s="0" t="n">
        <v>58</v>
      </c>
      <c r="G162" s="0" t="n">
        <v>184</v>
      </c>
      <c r="H162" s="0" t="n">
        <v>92</v>
      </c>
      <c r="I162" s="0" t="n">
        <v>3</v>
      </c>
      <c r="J162" s="0" t="n">
        <v>3</v>
      </c>
      <c r="K162" s="0" t="n">
        <v>1</v>
      </c>
      <c r="L162" s="0" t="n">
        <v>0</v>
      </c>
      <c r="M162" s="0" t="n">
        <f aca="false">VLOOKUP(A162,'Team Data'!$A$1:$P$133,2,FALSE())</f>
        <v>4</v>
      </c>
      <c r="N162" s="0" t="n">
        <f aca="false">VLOOKUP(A162,'Team Data'!$A$1:$P$133,3,FALSE())</f>
        <v>8</v>
      </c>
      <c r="O162" s="0" t="n">
        <f aca="false">VLOOKUP(B162,'Team Data'!$A$1:$P$133,2,FALSE())</f>
        <v>8</v>
      </c>
      <c r="P162" s="0" t="n">
        <f aca="false">VLOOKUP(B162,'Team Data'!$A$1:$P$133,3,FALSE())</f>
        <v>5</v>
      </c>
      <c r="Q162" s="0" t="n">
        <f aca="false">VLOOKUP(A162,'Team Data'!$A$1:$P$133,4,FALSE())</f>
        <v>95</v>
      </c>
      <c r="R162" s="0" t="n">
        <f aca="false">VLOOKUP(A162,'Team Data'!$A$1:$P$133,5,FALSE())</f>
        <v>171</v>
      </c>
      <c r="S162" s="0" t="n">
        <f aca="false">VLOOKUP(B162,'Team Data'!$A$1:$P$133,4,FALSE())</f>
        <v>86</v>
      </c>
      <c r="T162" s="0" t="n">
        <f aca="false">VLOOKUP(B162,'Team Data'!$A$1:$P$133,5,FALSE())</f>
        <v>187</v>
      </c>
      <c r="U162" s="0" t="n">
        <f aca="false">IF(K162=1,(MIN(35,(C162-D162)))*(O162/(O162+P162))*(S162/(S162+T162)),(MAX(-35,(C162-D162)))*(IF(P162=0,0.1,(P162/(O162+P162))))*(T162/(S162+T162)))</f>
        <v>0.581572273879966</v>
      </c>
      <c r="V162" s="0" t="n">
        <f aca="false">IF(L162=1,(MIN(35,(D162-C162)))*(M162/(M162+N162))*(Q162/(Q162+R162)),(MAX(-35,(D162-C162)))*(IF(N162=0,0.1,(N162/(M162+N162))))*(R162/(R162+Q162)))</f>
        <v>-1.28571428571429</v>
      </c>
    </row>
    <row r="163" customFormat="false" ht="15" hidden="false" customHeight="false" outlineLevel="0" collapsed="false">
      <c r="A163" s="0" t="s">
        <v>50</v>
      </c>
      <c r="B163" s="0" t="s">
        <v>132</v>
      </c>
      <c r="C163" s="0" t="n">
        <v>55</v>
      </c>
      <c r="D163" s="0" t="n">
        <v>42</v>
      </c>
      <c r="E163" s="0" t="n">
        <v>200</v>
      </c>
      <c r="F163" s="0" t="n">
        <v>146</v>
      </c>
      <c r="G163" s="0" t="n">
        <v>219</v>
      </c>
      <c r="H163" s="0" t="n">
        <v>355</v>
      </c>
      <c r="I163" s="0" t="n">
        <v>0</v>
      </c>
      <c r="J163" s="0" t="n">
        <v>2</v>
      </c>
      <c r="K163" s="0" t="n">
        <v>1</v>
      </c>
      <c r="L163" s="0" t="n">
        <v>0</v>
      </c>
      <c r="M163" s="0" t="n">
        <f aca="false">VLOOKUP(A163,'Team Data'!$A$1:$P$133,2,FALSE())</f>
        <v>6</v>
      </c>
      <c r="N163" s="0" t="n">
        <f aca="false">VLOOKUP(A163,'Team Data'!$A$1:$P$133,3,FALSE())</f>
        <v>7</v>
      </c>
      <c r="O163" s="0" t="n">
        <f aca="false">VLOOKUP(B163,'Team Data'!$A$1:$P$133,2,FALSE())</f>
        <v>5</v>
      </c>
      <c r="P163" s="0" t="n">
        <f aca="false">VLOOKUP(B163,'Team Data'!$A$1:$P$133,3,FALSE())</f>
        <v>7</v>
      </c>
      <c r="Q163" s="0" t="n">
        <f aca="false">VLOOKUP(A163,'Team Data'!$A$1:$P$133,4,FALSE())</f>
        <v>99</v>
      </c>
      <c r="R163" s="0" t="n">
        <f aca="false">VLOOKUP(A163,'Team Data'!$A$1:$P$133,5,FALSE())</f>
        <v>178</v>
      </c>
      <c r="S163" s="0" t="n">
        <f aca="false">VLOOKUP(B163,'Team Data'!$A$1:$P$133,4,FALSE())</f>
        <v>88</v>
      </c>
      <c r="T163" s="0" t="n">
        <f aca="false">VLOOKUP(B163,'Team Data'!$A$1:$P$133,5,FALSE())</f>
        <v>175</v>
      </c>
      <c r="U163" s="0" t="n">
        <f aca="false">IF(K163=1,(MIN(35,(C163-D163)))*(O163/(O163+P163))*(S163/(S163+T163)),(MAX(-35,(C163-D163)))*(IF(P163=0,0.1,(P163/(O163+P163))))*(T163/(S163+T163)))</f>
        <v>1.81242078580482</v>
      </c>
      <c r="V163" s="0" t="n">
        <f aca="false">IF(L163=1,(MIN(35,(D163-C163)))*(M163/(M163+N163))*(Q163/(Q163+R163)),(MAX(-35,(D163-C163)))*(IF(N163=0,0.1,(N163/(M163+N163))))*(R163/(R163+Q163)))</f>
        <v>-4.49819494584838</v>
      </c>
    </row>
    <row r="164" customFormat="false" ht="15" hidden="false" customHeight="false" outlineLevel="0" collapsed="false">
      <c r="A164" s="0" t="s">
        <v>52</v>
      </c>
      <c r="B164" s="0" t="s">
        <v>84</v>
      </c>
      <c r="C164" s="0" t="n">
        <v>3</v>
      </c>
      <c r="D164" s="0" t="n">
        <v>33</v>
      </c>
      <c r="E164" s="0" t="n">
        <v>164</v>
      </c>
      <c r="F164" s="0" t="n">
        <v>134</v>
      </c>
      <c r="G164" s="0" t="n">
        <v>131</v>
      </c>
      <c r="H164" s="0" t="n">
        <v>296</v>
      </c>
      <c r="I164" s="0" t="n">
        <v>2</v>
      </c>
      <c r="J164" s="0" t="n">
        <v>0</v>
      </c>
      <c r="K164" s="0" t="n">
        <v>0</v>
      </c>
      <c r="L164" s="0" t="n">
        <v>1</v>
      </c>
      <c r="M164" s="0" t="n">
        <f aca="false">VLOOKUP(A164,'Team Data'!$A$1:$P$133,2,FALSE())</f>
        <v>5</v>
      </c>
      <c r="N164" s="0" t="n">
        <f aca="false">VLOOKUP(A164,'Team Data'!$A$1:$P$133,3,FALSE())</f>
        <v>7</v>
      </c>
      <c r="O164" s="0" t="n">
        <f aca="false">VLOOKUP(B164,'Team Data'!$A$1:$P$133,2,FALSE())</f>
        <v>6</v>
      </c>
      <c r="P164" s="0" t="n">
        <f aca="false">VLOOKUP(B164,'Team Data'!$A$1:$P$133,3,FALSE())</f>
        <v>7</v>
      </c>
      <c r="Q164" s="0" t="n">
        <f aca="false">VLOOKUP(A164,'Team Data'!$A$1:$P$133,4,FALSE())</f>
        <v>94</v>
      </c>
      <c r="R164" s="0" t="n">
        <f aca="false">VLOOKUP(A164,'Team Data'!$A$1:$P$133,5,FALSE())</f>
        <v>171</v>
      </c>
      <c r="S164" s="0" t="n">
        <f aca="false">VLOOKUP(B164,'Team Data'!$A$1:$P$133,4,FALSE())</f>
        <v>91</v>
      </c>
      <c r="T164" s="0" t="n">
        <f aca="false">VLOOKUP(B164,'Team Data'!$A$1:$P$133,5,FALSE())</f>
        <v>76</v>
      </c>
      <c r="U164" s="0" t="n">
        <f aca="false">IF(K164=1,(MIN(35,(C164-D164)))*(O164/(O164+P164))*(S164/(S164+T164)),(MAX(-35,(C164-D164)))*(IF(P164=0,0.1,(P164/(O164+P164))))*(T164/(S164+T164)))</f>
        <v>-7.35145094426532</v>
      </c>
      <c r="V164" s="0" t="n">
        <f aca="false">IF(L164=1,(MIN(35,(D164-C164)))*(M164/(M164+N164))*(Q164/(Q164+R164)),(MAX(-35,(D164-C164)))*(IF(N164=0,0.1,(N164/(M164+N164))))*(R164/(R164+Q164)))</f>
        <v>4.43396226415094</v>
      </c>
    </row>
    <row r="165" customFormat="false" ht="15" hidden="false" customHeight="false" outlineLevel="0" collapsed="false">
      <c r="A165" s="0" t="s">
        <v>198</v>
      </c>
      <c r="B165" s="0" t="s">
        <v>103</v>
      </c>
      <c r="C165" s="0" t="n">
        <v>17</v>
      </c>
      <c r="D165" s="0" t="n">
        <v>59</v>
      </c>
      <c r="E165" s="0" t="n">
        <v>85</v>
      </c>
      <c r="F165" s="0" t="n">
        <v>180</v>
      </c>
      <c r="G165" s="0" t="n">
        <v>210</v>
      </c>
      <c r="H165" s="0" t="n">
        <v>450</v>
      </c>
      <c r="I165" s="0" t="n">
        <v>2</v>
      </c>
      <c r="J165" s="0" t="n">
        <v>1</v>
      </c>
      <c r="K165" s="0" t="n">
        <v>0</v>
      </c>
      <c r="L165" s="0" t="n">
        <v>1</v>
      </c>
      <c r="M165" s="0" t="n">
        <f aca="false">VLOOKUP(A165,'Team Data'!$A$1:$P$133,2,FALSE())</f>
        <v>8</v>
      </c>
      <c r="N165" s="0" t="n">
        <f aca="false">VLOOKUP(A165,'Team Data'!$A$1:$P$133,3,FALSE())</f>
        <v>112</v>
      </c>
      <c r="O165" s="0" t="n">
        <f aca="false">VLOOKUP(B165,'Team Data'!$A$1:$P$133,2,FALSE())</f>
        <v>13</v>
      </c>
      <c r="P165" s="0" t="n">
        <f aca="false">VLOOKUP(B165,'Team Data'!$A$1:$P$133,3,FALSE())</f>
        <v>2</v>
      </c>
      <c r="Q165" s="0" t="n">
        <f aca="false">VLOOKUP(A165,'Team Data'!$A$1:$P$133,4,FALSE())</f>
        <v>805</v>
      </c>
      <c r="R165" s="0" t="n">
        <f aca="false">VLOOKUP(A165,'Team Data'!$A$1:$P$133,5,FALSE())</f>
        <v>725</v>
      </c>
      <c r="S165" s="0" t="n">
        <f aca="false">VLOOKUP(B165,'Team Data'!$A$1:$P$133,4,FALSE())</f>
        <v>114</v>
      </c>
      <c r="T165" s="0" t="n">
        <f aca="false">VLOOKUP(B165,'Team Data'!$A$1:$P$133,5,FALSE())</f>
        <v>190</v>
      </c>
      <c r="U165" s="0" t="n">
        <f aca="false">IF(K165=1,(MIN(35,(C165-D165)))*(O165/(O165+P165))*(S165/(S165+T165)),(MAX(-35,(C165-D165)))*(IF(P165=0,0.1,(P165/(O165+P165))))*(T165/(S165+T165)))</f>
        <v>-2.91666666666667</v>
      </c>
      <c r="V165" s="0" t="n">
        <f aca="false">IF(L165=1,(MIN(35,(D165-C165)))*(M165/(M165+N165))*(Q165/(Q165+R165)),(MAX(-35,(D165-C165)))*(IF(N165=0,0.1,(N165/(M165+N165))))*(R165/(R165+Q165)))</f>
        <v>1.2276688453159</v>
      </c>
    </row>
    <row r="166" customFormat="false" ht="15" hidden="false" customHeight="false" outlineLevel="0" collapsed="false">
      <c r="A166" s="0" t="s">
        <v>60</v>
      </c>
      <c r="B166" s="0" t="s">
        <v>81</v>
      </c>
      <c r="C166" s="0" t="n">
        <v>26</v>
      </c>
      <c r="D166" s="0" t="n">
        <v>21</v>
      </c>
      <c r="E166" s="0" t="n">
        <v>219</v>
      </c>
      <c r="F166" s="0" t="n">
        <v>130</v>
      </c>
      <c r="G166" s="0" t="n">
        <v>145</v>
      </c>
      <c r="H166" s="0" t="n">
        <v>221</v>
      </c>
      <c r="I166" s="0" t="n">
        <v>0</v>
      </c>
      <c r="J166" s="0" t="n">
        <v>3</v>
      </c>
      <c r="K166" s="0" t="n">
        <v>1</v>
      </c>
      <c r="L166" s="0" t="n">
        <v>0</v>
      </c>
      <c r="M166" s="0" t="n">
        <f aca="false">VLOOKUP(A166,'Team Data'!$A$1:$P$133,2,FALSE())</f>
        <v>9</v>
      </c>
      <c r="N166" s="0" t="n">
        <f aca="false">VLOOKUP(A166,'Team Data'!$A$1:$P$133,3,FALSE())</f>
        <v>4</v>
      </c>
      <c r="O166" s="0" t="n">
        <f aca="false">VLOOKUP(B166,'Team Data'!$A$1:$P$133,2,FALSE())</f>
        <v>9</v>
      </c>
      <c r="P166" s="0" t="n">
        <f aca="false">VLOOKUP(B166,'Team Data'!$A$1:$P$133,3,FALSE())</f>
        <v>4</v>
      </c>
      <c r="Q166" s="0" t="n">
        <f aca="false">VLOOKUP(A166,'Team Data'!$A$1:$P$133,4,FALSE())</f>
        <v>91</v>
      </c>
      <c r="R166" s="0" t="n">
        <f aca="false">VLOOKUP(A166,'Team Data'!$A$1:$P$133,5,FALSE())</f>
        <v>288</v>
      </c>
      <c r="S166" s="0" t="n">
        <f aca="false">VLOOKUP(B166,'Team Data'!$A$1:$P$133,4,FALSE())</f>
        <v>93</v>
      </c>
      <c r="T166" s="0" t="n">
        <f aca="false">VLOOKUP(B166,'Team Data'!$A$1:$P$133,5,FALSE())</f>
        <v>74</v>
      </c>
      <c r="U166" s="0" t="n">
        <f aca="false">IF(K166=1,(MIN(35,(C166-D166)))*(O166/(O166+P166))*(S166/(S166+T166)),(MAX(-35,(C166-D166)))*(IF(P166=0,0.1,(P166/(O166+P166))))*(T166/(S166+T166)))</f>
        <v>1.92768309534777</v>
      </c>
      <c r="V166" s="0" t="n">
        <f aca="false">IF(L166=1,(MIN(35,(D166-C166)))*(M166/(M166+N166))*(Q166/(Q166+R166)),(MAX(-35,(D166-C166)))*(IF(N166=0,0.1,(N166/(M166+N166))))*(R166/(R166+Q166)))</f>
        <v>-1.16906839861985</v>
      </c>
    </row>
    <row r="167" customFormat="false" ht="15" hidden="false" customHeight="false" outlineLevel="0" collapsed="false">
      <c r="A167" s="0" t="s">
        <v>102</v>
      </c>
      <c r="B167" s="0" t="s">
        <v>117</v>
      </c>
      <c r="C167" s="0" t="n">
        <v>48</v>
      </c>
      <c r="D167" s="0" t="n">
        <v>14</v>
      </c>
      <c r="E167" s="0" t="n">
        <v>156</v>
      </c>
      <c r="F167" s="0" t="n">
        <v>97</v>
      </c>
      <c r="G167" s="0" t="n">
        <v>309</v>
      </c>
      <c r="H167" s="0" t="n">
        <v>105</v>
      </c>
      <c r="I167" s="0" t="n">
        <v>0</v>
      </c>
      <c r="J167" s="0" t="n">
        <v>2</v>
      </c>
      <c r="K167" s="0" t="n">
        <v>1</v>
      </c>
      <c r="L167" s="0" t="n">
        <v>0</v>
      </c>
      <c r="M167" s="0" t="n">
        <f aca="false">VLOOKUP(A167,'Team Data'!$A$1:$P$133,2,FALSE())</f>
        <v>7</v>
      </c>
      <c r="N167" s="0" t="n">
        <f aca="false">VLOOKUP(A167,'Team Data'!$A$1:$P$133,3,FALSE())</f>
        <v>6</v>
      </c>
      <c r="O167" s="0" t="n">
        <f aca="false">VLOOKUP(B167,'Team Data'!$A$1:$P$133,2,FALSE())</f>
        <v>6</v>
      </c>
      <c r="P167" s="0" t="n">
        <f aca="false">VLOOKUP(B167,'Team Data'!$A$1:$P$133,3,FALSE())</f>
        <v>7</v>
      </c>
      <c r="Q167" s="0" t="n">
        <f aca="false">VLOOKUP(A167,'Team Data'!$A$1:$P$133,4,FALSE())</f>
        <v>100</v>
      </c>
      <c r="R167" s="0" t="n">
        <f aca="false">VLOOKUP(A167,'Team Data'!$A$1:$P$133,5,FALSE())</f>
        <v>174</v>
      </c>
      <c r="S167" s="0" t="n">
        <f aca="false">VLOOKUP(B167,'Team Data'!$A$1:$P$133,4,FALSE())</f>
        <v>88</v>
      </c>
      <c r="T167" s="0" t="n">
        <f aca="false">VLOOKUP(B167,'Team Data'!$A$1:$P$133,5,FALSE())</f>
        <v>185</v>
      </c>
      <c r="U167" s="0" t="n">
        <f aca="false">IF(K167=1,(MIN(35,(C167-D167)))*(O167/(O167+P167))*(S167/(S167+T167)),(MAX(-35,(C167-D167)))*(IF(P167=0,0.1,(P167/(O167+P167))))*(T167/(S167+T167)))</f>
        <v>5.05832628909552</v>
      </c>
      <c r="V167" s="0" t="n">
        <f aca="false">IF(L167=1,(MIN(35,(D167-C167)))*(M167/(M167+N167))*(Q167/(Q167+R167)),(MAX(-35,(D167-C167)))*(IF(N167=0,0.1,(N167/(M167+N167))))*(R167/(R167+Q167)))</f>
        <v>-9.96518809657496</v>
      </c>
    </row>
    <row r="168" customFormat="false" ht="15" hidden="false" customHeight="false" outlineLevel="0" collapsed="false">
      <c r="A168" s="0" t="s">
        <v>127</v>
      </c>
      <c r="B168" s="0" t="s">
        <v>45</v>
      </c>
      <c r="C168" s="0" t="n">
        <v>3</v>
      </c>
      <c r="D168" s="0" t="n">
        <v>24</v>
      </c>
      <c r="E168" s="0" t="n">
        <v>42</v>
      </c>
      <c r="F168" s="0" t="n">
        <v>198</v>
      </c>
      <c r="G168" s="0" t="n">
        <v>180</v>
      </c>
      <c r="H168" s="0" t="n">
        <v>196</v>
      </c>
      <c r="I168" s="0" t="n">
        <v>3</v>
      </c>
      <c r="J168" s="0" t="n">
        <v>4</v>
      </c>
      <c r="K168" s="0" t="n">
        <v>0</v>
      </c>
      <c r="L168" s="0" t="n">
        <v>1</v>
      </c>
      <c r="M168" s="0" t="n">
        <f aca="false">VLOOKUP(A168,'Team Data'!$A$1:$P$133,2,FALSE())</f>
        <v>3</v>
      </c>
      <c r="N168" s="0" t="n">
        <f aca="false">VLOOKUP(A168,'Team Data'!$A$1:$P$133,3,FALSE())</f>
        <v>7</v>
      </c>
      <c r="O168" s="0" t="n">
        <f aca="false">VLOOKUP(B168,'Team Data'!$A$1:$P$133,2,FALSE())</f>
        <v>8</v>
      </c>
      <c r="P168" s="0" t="n">
        <f aca="false">VLOOKUP(B168,'Team Data'!$A$1:$P$133,3,FALSE())</f>
        <v>5</v>
      </c>
      <c r="Q168" s="0" t="n">
        <f aca="false">VLOOKUP(A168,'Team Data'!$A$1:$P$133,4,FALSE())</f>
        <v>71</v>
      </c>
      <c r="R168" s="0" t="n">
        <f aca="false">VLOOKUP(A168,'Team Data'!$A$1:$P$133,5,FALSE())</f>
        <v>164</v>
      </c>
      <c r="S168" s="0" t="n">
        <f aca="false">VLOOKUP(B168,'Team Data'!$A$1:$P$133,4,FALSE())</f>
        <v>86</v>
      </c>
      <c r="T168" s="0" t="n">
        <f aca="false">VLOOKUP(B168,'Team Data'!$A$1:$P$133,5,FALSE())</f>
        <v>185</v>
      </c>
      <c r="U168" s="0" t="n">
        <f aca="false">IF(K168=1,(MIN(35,(C168-D168)))*(O168/(O168+P168))*(S168/(S168+T168)),(MAX(-35,(C168-D168)))*(IF(P168=0,0.1,(P168/(O168+P168))))*(T168/(S168+T168)))</f>
        <v>-5.5137666761283</v>
      </c>
      <c r="V168" s="0" t="n">
        <f aca="false">IF(L168=1,(MIN(35,(D168-C168)))*(M168/(M168+N168))*(Q168/(Q168+R168)),(MAX(-35,(D168-C168)))*(IF(N168=0,0.1,(N168/(M168+N168))))*(R168/(R168+Q168)))</f>
        <v>1.90340425531915</v>
      </c>
    </row>
    <row r="169" customFormat="false" ht="15" hidden="false" customHeight="false" outlineLevel="0" collapsed="false">
      <c r="A169" s="0" t="s">
        <v>198</v>
      </c>
      <c r="B169" s="0" t="s">
        <v>68</v>
      </c>
      <c r="C169" s="0" t="n">
        <v>10</v>
      </c>
      <c r="D169" s="0" t="n">
        <v>62</v>
      </c>
      <c r="E169" s="0" t="n">
        <v>35</v>
      </c>
      <c r="F169" s="0" t="n">
        <v>307</v>
      </c>
      <c r="G169" s="0" t="n">
        <v>159</v>
      </c>
      <c r="H169" s="0" t="n">
        <v>372</v>
      </c>
      <c r="I169" s="0" t="n">
        <v>1</v>
      </c>
      <c r="J169" s="0" t="n">
        <v>1</v>
      </c>
      <c r="K169" s="0" t="n">
        <v>0</v>
      </c>
      <c r="L169" s="0" t="n">
        <v>1</v>
      </c>
      <c r="M169" s="0" t="n">
        <f aca="false">VLOOKUP(A169,'Team Data'!$A$1:$P$133,2,FALSE())</f>
        <v>8</v>
      </c>
      <c r="N169" s="0" t="n">
        <f aca="false">VLOOKUP(A169,'Team Data'!$A$1:$P$133,3,FALSE())</f>
        <v>112</v>
      </c>
      <c r="O169" s="0" t="n">
        <f aca="false">VLOOKUP(B169,'Team Data'!$A$1:$P$133,2,FALSE())</f>
        <v>9</v>
      </c>
      <c r="P169" s="0" t="n">
        <f aca="false">VLOOKUP(B169,'Team Data'!$A$1:$P$133,3,FALSE())</f>
        <v>4</v>
      </c>
      <c r="Q169" s="0" t="n">
        <f aca="false">VLOOKUP(A169,'Team Data'!$A$1:$P$133,4,FALSE())</f>
        <v>805</v>
      </c>
      <c r="R169" s="0" t="n">
        <f aca="false">VLOOKUP(A169,'Team Data'!$A$1:$P$133,5,FALSE())</f>
        <v>725</v>
      </c>
      <c r="S169" s="0" t="n">
        <f aca="false">VLOOKUP(B169,'Team Data'!$A$1:$P$133,4,FALSE())</f>
        <v>79</v>
      </c>
      <c r="T169" s="0" t="n">
        <f aca="false">VLOOKUP(B169,'Team Data'!$A$1:$P$133,5,FALSE())</f>
        <v>193</v>
      </c>
      <c r="U169" s="0" t="n">
        <f aca="false">IF(K169=1,(MIN(35,(C169-D169)))*(O169/(O169+P169))*(S169/(S169+T169)),(MAX(-35,(C169-D169)))*(IF(P169=0,0.1,(P169/(O169+P169))))*(T169/(S169+T169)))</f>
        <v>-7.64140271493213</v>
      </c>
      <c r="V169" s="0" t="n">
        <f aca="false">IF(L169=1,(MIN(35,(D169-C169)))*(M169/(M169+N169))*(Q169/(Q169+R169)),(MAX(-35,(D169-C169)))*(IF(N169=0,0.1,(N169/(M169+N169))))*(R169/(R169+Q169)))</f>
        <v>1.2276688453159</v>
      </c>
    </row>
    <row r="170" customFormat="false" ht="15" hidden="false" customHeight="false" outlineLevel="0" collapsed="false">
      <c r="A170" s="0" t="s">
        <v>40</v>
      </c>
      <c r="B170" s="0" t="s">
        <v>73</v>
      </c>
      <c r="C170" s="0" t="n">
        <v>45</v>
      </c>
      <c r="D170" s="0" t="n">
        <v>42</v>
      </c>
      <c r="E170" s="0" t="n">
        <v>233</v>
      </c>
      <c r="F170" s="0" t="n">
        <v>257</v>
      </c>
      <c r="G170" s="0" t="n">
        <v>409</v>
      </c>
      <c r="H170" s="0" t="n">
        <v>318</v>
      </c>
      <c r="I170" s="0" t="n">
        <v>2</v>
      </c>
      <c r="J170" s="0" t="n">
        <v>0</v>
      </c>
      <c r="K170" s="0" t="n">
        <v>1</v>
      </c>
      <c r="L170" s="0" t="n">
        <v>0</v>
      </c>
      <c r="M170" s="0" t="n">
        <f aca="false">VLOOKUP(A170,'Team Data'!$A$1:$P$133,2,FALSE())</f>
        <v>6</v>
      </c>
      <c r="N170" s="0" t="n">
        <f aca="false">VLOOKUP(A170,'Team Data'!$A$1:$P$133,3,FALSE())</f>
        <v>7</v>
      </c>
      <c r="O170" s="0" t="n">
        <f aca="false">VLOOKUP(B170,'Team Data'!$A$1:$P$133,2,FALSE())</f>
        <v>4</v>
      </c>
      <c r="P170" s="0" t="n">
        <f aca="false">VLOOKUP(B170,'Team Data'!$A$1:$P$133,3,FALSE())</f>
        <v>8</v>
      </c>
      <c r="Q170" s="0" t="n">
        <f aca="false">VLOOKUP(A170,'Team Data'!$A$1:$P$133,4,FALSE())</f>
        <v>86</v>
      </c>
      <c r="R170" s="0" t="n">
        <f aca="false">VLOOKUP(A170,'Team Data'!$A$1:$P$133,5,FALSE())</f>
        <v>183</v>
      </c>
      <c r="S170" s="0" t="n">
        <f aca="false">VLOOKUP(B170,'Team Data'!$A$1:$P$133,4,FALSE())</f>
        <v>82</v>
      </c>
      <c r="T170" s="0" t="n">
        <f aca="false">VLOOKUP(B170,'Team Data'!$A$1:$P$133,5,FALSE())</f>
        <v>180</v>
      </c>
      <c r="U170" s="0" t="n">
        <f aca="false">IF(K170=1,(MIN(35,(C170-D170)))*(O170/(O170+P170))*(S170/(S170+T170)),(MAX(-35,(C170-D170)))*(IF(P170=0,0.1,(P170/(O170+P170))))*(T170/(S170+T170)))</f>
        <v>0.312977099236641</v>
      </c>
      <c r="V170" s="0" t="n">
        <f aca="false">IF(L170=1,(MIN(35,(D170-C170)))*(M170/(M170+N170))*(Q170/(Q170+R170)),(MAX(-35,(D170-C170)))*(IF(N170=0,0.1,(N170/(M170+N170))))*(R170/(R170+Q170)))</f>
        <v>-1.09894195024307</v>
      </c>
    </row>
    <row r="171" customFormat="false" ht="15" hidden="false" customHeight="false" outlineLevel="0" collapsed="false">
      <c r="A171" s="0" t="s">
        <v>31</v>
      </c>
      <c r="B171" s="0" t="s">
        <v>80</v>
      </c>
      <c r="C171" s="0" t="n">
        <v>31</v>
      </c>
      <c r="D171" s="0" t="n">
        <v>23</v>
      </c>
      <c r="E171" s="0" t="n">
        <v>221</v>
      </c>
      <c r="F171" s="0" t="n">
        <v>76</v>
      </c>
      <c r="G171" s="0" t="n">
        <v>240</v>
      </c>
      <c r="H171" s="0" t="n">
        <v>435</v>
      </c>
      <c r="I171" s="0" t="n">
        <v>1</v>
      </c>
      <c r="J171" s="0" t="n">
        <v>3</v>
      </c>
      <c r="K171" s="0" t="n">
        <v>1</v>
      </c>
      <c r="L171" s="0" t="n">
        <v>0</v>
      </c>
      <c r="M171" s="0" t="n">
        <f aca="false">VLOOKUP(A171,'Team Data'!$A$1:$P$133,2,FALSE())</f>
        <v>9</v>
      </c>
      <c r="N171" s="0" t="n">
        <f aca="false">VLOOKUP(A171,'Team Data'!$A$1:$P$133,3,FALSE())</f>
        <v>4</v>
      </c>
      <c r="O171" s="0" t="n">
        <f aca="false">VLOOKUP(B171,'Team Data'!$A$1:$P$133,2,FALSE())</f>
        <v>1</v>
      </c>
      <c r="P171" s="0" t="n">
        <f aca="false">VLOOKUP(B171,'Team Data'!$A$1:$P$133,3,FALSE())</f>
        <v>11</v>
      </c>
      <c r="Q171" s="0" t="n">
        <f aca="false">VLOOKUP(A171,'Team Data'!$A$1:$P$133,4,FALSE())</f>
        <v>72</v>
      </c>
      <c r="R171" s="0" t="n">
        <f aca="false">VLOOKUP(A171,'Team Data'!$A$1:$P$133,5,FALSE())</f>
        <v>196</v>
      </c>
      <c r="S171" s="0" t="n">
        <f aca="false">VLOOKUP(B171,'Team Data'!$A$1:$P$133,4,FALSE())</f>
        <v>97</v>
      </c>
      <c r="T171" s="0" t="n">
        <f aca="false">VLOOKUP(B171,'Team Data'!$A$1:$P$133,5,FALSE())</f>
        <v>166</v>
      </c>
      <c r="U171" s="0" t="n">
        <f aca="false">IF(K171=1,(MIN(35,(C171-D171)))*(O171/(O171+P171))*(S171/(S171+T171)),(MAX(-35,(C171-D171)))*(IF(P171=0,0.1,(P171/(O171+P171))))*(T171/(S171+T171)))</f>
        <v>0.245880861850444</v>
      </c>
      <c r="V171" s="0" t="n">
        <f aca="false">IF(L171=1,(MIN(35,(D171-C171)))*(M171/(M171+N171))*(Q171/(Q171+R171)),(MAX(-35,(D171-C171)))*(IF(N171=0,0.1,(N171/(M171+N171))))*(R171/(R171+Q171)))</f>
        <v>-1.80022962112514</v>
      </c>
    </row>
    <row r="172" customFormat="false" ht="15" hidden="false" customHeight="false" outlineLevel="0" collapsed="false">
      <c r="A172" s="0" t="s">
        <v>198</v>
      </c>
      <c r="B172" s="0" t="s">
        <v>92</v>
      </c>
      <c r="C172" s="0" t="n">
        <v>0</v>
      </c>
      <c r="D172" s="0" t="n">
        <v>56</v>
      </c>
      <c r="E172" s="0" t="n">
        <v>51</v>
      </c>
      <c r="F172" s="0" t="n">
        <v>232</v>
      </c>
      <c r="G172" s="0" t="n">
        <v>94</v>
      </c>
      <c r="H172" s="0" t="n">
        <v>289</v>
      </c>
      <c r="I172" s="0" t="n">
        <v>3</v>
      </c>
      <c r="J172" s="0" t="n">
        <v>1</v>
      </c>
      <c r="K172" s="0" t="n">
        <v>0</v>
      </c>
      <c r="L172" s="0" t="n">
        <v>1</v>
      </c>
      <c r="M172" s="0" t="n">
        <f aca="false">VLOOKUP(A172,'Team Data'!$A$1:$P$133,2,FALSE())</f>
        <v>8</v>
      </c>
      <c r="N172" s="0" t="n">
        <f aca="false">VLOOKUP(A172,'Team Data'!$A$1:$P$133,3,FALSE())</f>
        <v>112</v>
      </c>
      <c r="O172" s="0" t="n">
        <f aca="false">VLOOKUP(B172,'Team Data'!$A$1:$P$133,2,FALSE())</f>
        <v>8</v>
      </c>
      <c r="P172" s="0" t="n">
        <f aca="false">VLOOKUP(B172,'Team Data'!$A$1:$P$133,3,FALSE())</f>
        <v>6</v>
      </c>
      <c r="Q172" s="0" t="n">
        <f aca="false">VLOOKUP(A172,'Team Data'!$A$1:$P$133,4,FALSE())</f>
        <v>805</v>
      </c>
      <c r="R172" s="0" t="n">
        <f aca="false">VLOOKUP(A172,'Team Data'!$A$1:$P$133,5,FALSE())</f>
        <v>725</v>
      </c>
      <c r="S172" s="0" t="n">
        <f aca="false">VLOOKUP(B172,'Team Data'!$A$1:$P$133,4,FALSE())</f>
        <v>103</v>
      </c>
      <c r="T172" s="0" t="n">
        <f aca="false">VLOOKUP(B172,'Team Data'!$A$1:$P$133,5,FALSE())</f>
        <v>184</v>
      </c>
      <c r="U172" s="0" t="n">
        <f aca="false">IF(K172=1,(MIN(35,(C172-D172)))*(O172/(O172+P172))*(S172/(S172+T172)),(MAX(-35,(C172-D172)))*(IF(P172=0,0.1,(P172/(O172+P172))))*(T172/(S172+T172)))</f>
        <v>-9.61672473867596</v>
      </c>
      <c r="V172" s="0" t="n">
        <f aca="false">IF(L172=1,(MIN(35,(D172-C172)))*(M172/(M172+N172))*(Q172/(Q172+R172)),(MAX(-35,(D172-C172)))*(IF(N172=0,0.1,(N172/(M172+N172))))*(R172/(R172+Q172)))</f>
        <v>1.2276688453159</v>
      </c>
    </row>
    <row r="173" customFormat="false" ht="15" hidden="false" customHeight="false" outlineLevel="0" collapsed="false">
      <c r="A173" s="0" t="s">
        <v>198</v>
      </c>
      <c r="B173" s="0" t="s">
        <v>46</v>
      </c>
      <c r="C173" s="0" t="n">
        <v>22</v>
      </c>
      <c r="D173" s="0" t="n">
        <v>35</v>
      </c>
      <c r="E173" s="0" t="n">
        <v>126</v>
      </c>
      <c r="F173" s="0" t="n">
        <v>239</v>
      </c>
      <c r="G173" s="0" t="n">
        <v>204</v>
      </c>
      <c r="H173" s="0" t="n">
        <v>197</v>
      </c>
      <c r="I173" s="0" t="n">
        <v>0</v>
      </c>
      <c r="J173" s="0" t="n">
        <v>2</v>
      </c>
      <c r="K173" s="0" t="n">
        <v>0</v>
      </c>
      <c r="L173" s="0" t="n">
        <v>1</v>
      </c>
      <c r="M173" s="0" t="n">
        <f aca="false">VLOOKUP(A173,'Team Data'!$A$1:$P$133,2,FALSE())</f>
        <v>8</v>
      </c>
      <c r="N173" s="0" t="n">
        <f aca="false">VLOOKUP(A173,'Team Data'!$A$1:$P$133,3,FALSE())</f>
        <v>112</v>
      </c>
      <c r="O173" s="0" t="n">
        <f aca="false">VLOOKUP(B173,'Team Data'!$A$1:$P$133,2,FALSE())</f>
        <v>4</v>
      </c>
      <c r="P173" s="0" t="n">
        <f aca="false">VLOOKUP(B173,'Team Data'!$A$1:$P$133,3,FALSE())</f>
        <v>8</v>
      </c>
      <c r="Q173" s="0" t="n">
        <f aca="false">VLOOKUP(A173,'Team Data'!$A$1:$P$133,4,FALSE())</f>
        <v>805</v>
      </c>
      <c r="R173" s="0" t="n">
        <f aca="false">VLOOKUP(A173,'Team Data'!$A$1:$P$133,5,FALSE())</f>
        <v>725</v>
      </c>
      <c r="S173" s="0" t="n">
        <f aca="false">VLOOKUP(B173,'Team Data'!$A$1:$P$133,4,FALSE())</f>
        <v>98</v>
      </c>
      <c r="T173" s="0" t="n">
        <f aca="false">VLOOKUP(B173,'Team Data'!$A$1:$P$133,5,FALSE())</f>
        <v>165</v>
      </c>
      <c r="U173" s="0" t="n">
        <f aca="false">IF(K173=1,(MIN(35,(C173-D173)))*(O173/(O173+P173))*(S173/(S173+T173)),(MAX(-35,(C173-D173)))*(IF(P173=0,0.1,(P173/(O173+P173))))*(T173/(S173+T173)))</f>
        <v>-5.43726235741445</v>
      </c>
      <c r="V173" s="0" t="n">
        <f aca="false">IF(L173=1,(MIN(35,(D173-C173)))*(M173/(M173+N173))*(Q173/(Q173+R173)),(MAX(-35,(D173-C173)))*(IF(N173=0,0.1,(N173/(M173+N173))))*(R173/(R173+Q173)))</f>
        <v>0.45599128540305</v>
      </c>
    </row>
    <row r="174" customFormat="false" ht="15" hidden="false" customHeight="false" outlineLevel="0" collapsed="false">
      <c r="A174" s="0" t="s">
        <v>43</v>
      </c>
      <c r="B174" s="0" t="s">
        <v>65</v>
      </c>
      <c r="C174" s="0" t="n">
        <v>10</v>
      </c>
      <c r="D174" s="0" t="n">
        <v>56</v>
      </c>
      <c r="E174" s="0" t="n">
        <v>140</v>
      </c>
      <c r="F174" s="0" t="n">
        <v>268</v>
      </c>
      <c r="G174" s="0" t="n">
        <v>113</v>
      </c>
      <c r="H174" s="0" t="n">
        <v>320</v>
      </c>
      <c r="I174" s="0" t="n">
        <v>0</v>
      </c>
      <c r="J174" s="0" t="n">
        <v>1</v>
      </c>
      <c r="K174" s="0" t="n">
        <v>0</v>
      </c>
      <c r="L174" s="0" t="n">
        <v>1</v>
      </c>
      <c r="M174" s="0" t="n">
        <f aca="false">VLOOKUP(A174,'Team Data'!$A$1:$P$133,2,FALSE())</f>
        <v>3</v>
      </c>
      <c r="N174" s="0" t="n">
        <f aca="false">VLOOKUP(A174,'Team Data'!$A$1:$P$133,3,FALSE())</f>
        <v>10</v>
      </c>
      <c r="O174" s="0" t="n">
        <f aca="false">VLOOKUP(B174,'Team Data'!$A$1:$P$133,2,FALSE())</f>
        <v>13</v>
      </c>
      <c r="P174" s="0" t="n">
        <f aca="false">VLOOKUP(B174,'Team Data'!$A$1:$P$133,3,FALSE())</f>
        <v>1</v>
      </c>
      <c r="Q174" s="0" t="n">
        <f aca="false">VLOOKUP(A174,'Team Data'!$A$1:$P$133,4,FALSE())</f>
        <v>89</v>
      </c>
      <c r="R174" s="0" t="n">
        <f aca="false">VLOOKUP(A174,'Team Data'!$A$1:$P$133,5,FALSE())</f>
        <v>185</v>
      </c>
      <c r="S174" s="0" t="n">
        <f aca="false">VLOOKUP(B174,'Team Data'!$A$1:$P$133,4,FALSE())</f>
        <v>96</v>
      </c>
      <c r="T174" s="0" t="n">
        <f aca="false">VLOOKUP(B174,'Team Data'!$A$1:$P$133,5,FALSE())</f>
        <v>84</v>
      </c>
      <c r="U174" s="0" t="n">
        <f aca="false">IF(K174=1,(MIN(35,(C174-D174)))*(O174/(O174+P174))*(S174/(S174+T174)),(MAX(-35,(C174-D174)))*(IF(P174=0,0.1,(P174/(O174+P174))))*(T174/(S174+T174)))</f>
        <v>-1.16666666666667</v>
      </c>
      <c r="V174" s="0" t="n">
        <f aca="false">IF(L174=1,(MIN(35,(D174-C174)))*(M174/(M174+N174))*(Q174/(Q174+R174)),(MAX(-35,(D174-C174)))*(IF(N174=0,0.1,(N174/(M174+N174))))*(R174/(R174+Q174)))</f>
        <v>2.62352610892757</v>
      </c>
    </row>
    <row r="175" customFormat="false" ht="15" hidden="false" customHeight="false" outlineLevel="0" collapsed="false">
      <c r="A175" s="0" t="s">
        <v>7</v>
      </c>
      <c r="B175" s="0" t="s">
        <v>66</v>
      </c>
      <c r="C175" s="0" t="n">
        <v>0</v>
      </c>
      <c r="D175" s="0" t="n">
        <v>52</v>
      </c>
      <c r="E175" s="0" t="n">
        <v>26</v>
      </c>
      <c r="F175" s="0" t="n">
        <v>260</v>
      </c>
      <c r="G175" s="0" t="n">
        <v>203</v>
      </c>
      <c r="H175" s="0" t="n">
        <v>236</v>
      </c>
      <c r="I175" s="0" t="n">
        <v>4</v>
      </c>
      <c r="J175" s="0" t="n">
        <v>2</v>
      </c>
      <c r="K175" s="0" t="n">
        <v>0</v>
      </c>
      <c r="L175" s="0" t="n">
        <v>1</v>
      </c>
      <c r="M175" s="0" t="n">
        <f aca="false">VLOOKUP(A175,'Team Data'!$A$1:$P$133,2,FALSE())</f>
        <v>2</v>
      </c>
      <c r="N175" s="0" t="n">
        <f aca="false">VLOOKUP(A175,'Team Data'!$A$1:$P$133,3,FALSE())</f>
        <v>10</v>
      </c>
      <c r="O175" s="0" t="n">
        <f aca="false">VLOOKUP(B175,'Team Data'!$A$1:$P$133,2,FALSE())</f>
        <v>5</v>
      </c>
      <c r="P175" s="0" t="n">
        <f aca="false">VLOOKUP(B175,'Team Data'!$A$1:$P$133,3,FALSE())</f>
        <v>7</v>
      </c>
      <c r="Q175" s="0" t="n">
        <f aca="false">VLOOKUP(A175,'Team Data'!$A$1:$P$133,4,FALSE())</f>
        <v>82</v>
      </c>
      <c r="R175" s="0" t="n">
        <f aca="false">VLOOKUP(A175,'Team Data'!$A$1:$P$133,5,FALSE())</f>
        <v>178</v>
      </c>
      <c r="S175" s="0" t="n">
        <f aca="false">VLOOKUP(B175,'Team Data'!$A$1:$P$133,4,FALSE())</f>
        <v>93</v>
      </c>
      <c r="T175" s="0" t="n">
        <f aca="false">VLOOKUP(B175,'Team Data'!$A$1:$P$133,5,FALSE())</f>
        <v>60</v>
      </c>
      <c r="U175" s="0" t="n">
        <f aca="false">IF(K175=1,(MIN(35,(C175-D175)))*(O175/(O175+P175))*(S175/(S175+T175)),(MAX(-35,(C175-D175)))*(IF(P175=0,0.1,(P175/(O175+P175))))*(T175/(S175+T175)))</f>
        <v>-8.00653594771242</v>
      </c>
      <c r="V175" s="0" t="n">
        <f aca="false">IF(L175=1,(MIN(35,(D175-C175)))*(M175/(M175+N175))*(Q175/(Q175+R175)),(MAX(-35,(D175-C175)))*(IF(N175=0,0.1,(N175/(M175+N175))))*(R175/(R175+Q175)))</f>
        <v>1.83974358974359</v>
      </c>
    </row>
    <row r="176" customFormat="false" ht="15" hidden="false" customHeight="false" outlineLevel="0" collapsed="false">
      <c r="A176" s="0" t="s">
        <v>13</v>
      </c>
      <c r="B176" s="0" t="s">
        <v>83</v>
      </c>
      <c r="C176" s="0" t="n">
        <v>12</v>
      </c>
      <c r="D176" s="0" t="n">
        <v>45</v>
      </c>
      <c r="E176" s="0" t="n">
        <v>53</v>
      </c>
      <c r="F176" s="0" t="n">
        <v>168</v>
      </c>
      <c r="G176" s="0" t="n">
        <v>223</v>
      </c>
      <c r="H176" s="0" t="n">
        <v>370</v>
      </c>
      <c r="I176" s="0" t="n">
        <v>0</v>
      </c>
      <c r="J176" s="0" t="n">
        <v>1</v>
      </c>
      <c r="K176" s="0" t="n">
        <v>0</v>
      </c>
      <c r="L176" s="0" t="n">
        <v>1</v>
      </c>
      <c r="M176" s="0" t="n">
        <f aca="false">VLOOKUP(A176,'Team Data'!$A$1:$P$133,2,FALSE())</f>
        <v>3</v>
      </c>
      <c r="N176" s="0" t="n">
        <f aca="false">VLOOKUP(A176,'Team Data'!$A$1:$P$133,3,FALSE())</f>
        <v>9</v>
      </c>
      <c r="O176" s="0" t="n">
        <f aca="false">VLOOKUP(B176,'Team Data'!$A$1:$P$133,2,FALSE())</f>
        <v>11</v>
      </c>
      <c r="P176" s="0" t="n">
        <f aca="false">VLOOKUP(B176,'Team Data'!$A$1:$P$133,3,FALSE())</f>
        <v>2</v>
      </c>
      <c r="Q176" s="0" t="n">
        <f aca="false">VLOOKUP(A176,'Team Data'!$A$1:$P$133,4,FALSE())</f>
        <v>81</v>
      </c>
      <c r="R176" s="0" t="n">
        <f aca="false">VLOOKUP(A176,'Team Data'!$A$1:$P$133,5,FALSE())</f>
        <v>177</v>
      </c>
      <c r="S176" s="0" t="n">
        <f aca="false">VLOOKUP(B176,'Team Data'!$A$1:$P$133,4,FALSE())</f>
        <v>97</v>
      </c>
      <c r="T176" s="0" t="n">
        <f aca="false">VLOOKUP(B176,'Team Data'!$A$1:$P$133,5,FALSE())</f>
        <v>71</v>
      </c>
      <c r="U176" s="0" t="n">
        <f aca="false">IF(K176=1,(MIN(35,(C176-D176)))*(O176/(O176+P176))*(S176/(S176+T176)),(MAX(-35,(C176-D176)))*(IF(P176=0,0.1,(P176/(O176+P176))))*(T176/(S176+T176)))</f>
        <v>-2.1456043956044</v>
      </c>
      <c r="V176" s="0" t="n">
        <f aca="false">IF(L176=1,(MIN(35,(D176-C176)))*(M176/(M176+N176))*(Q176/(Q176+R176)),(MAX(-35,(D176-C176)))*(IF(N176=0,0.1,(N176/(M176+N176))))*(R176/(R176+Q176)))</f>
        <v>2.59011627906977</v>
      </c>
    </row>
    <row r="177" customFormat="false" ht="15" hidden="false" customHeight="false" outlineLevel="0" collapsed="false">
      <c r="A177" s="0" t="s">
        <v>82</v>
      </c>
      <c r="B177" s="0" t="s">
        <v>90</v>
      </c>
      <c r="C177" s="0" t="n">
        <v>10</v>
      </c>
      <c r="D177" s="0" t="n">
        <v>46</v>
      </c>
      <c r="E177" s="0" t="n">
        <v>100</v>
      </c>
      <c r="F177" s="0" t="n">
        <v>234</v>
      </c>
      <c r="G177" s="0" t="n">
        <v>164</v>
      </c>
      <c r="H177" s="0" t="n">
        <v>338</v>
      </c>
      <c r="I177" s="0" t="n">
        <v>0</v>
      </c>
      <c r="J177" s="0" t="n">
        <v>0</v>
      </c>
      <c r="K177" s="0" t="n">
        <v>0</v>
      </c>
      <c r="L177" s="0" t="n">
        <v>1</v>
      </c>
      <c r="M177" s="0" t="n">
        <f aca="false">VLOOKUP(A177,'Team Data'!$A$1:$P$133,2,FALSE())</f>
        <v>10</v>
      </c>
      <c r="N177" s="0" t="n">
        <f aca="false">VLOOKUP(A177,'Team Data'!$A$1:$P$133,3,FALSE())</f>
        <v>4</v>
      </c>
      <c r="O177" s="0" t="n">
        <f aca="false">VLOOKUP(B177,'Team Data'!$A$1:$P$133,2,FALSE())</f>
        <v>11</v>
      </c>
      <c r="P177" s="0" t="n">
        <f aca="false">VLOOKUP(B177,'Team Data'!$A$1:$P$133,3,FALSE())</f>
        <v>2</v>
      </c>
      <c r="Q177" s="0" t="n">
        <f aca="false">VLOOKUP(A177,'Team Data'!$A$1:$P$133,4,FALSE())</f>
        <v>83</v>
      </c>
      <c r="R177" s="0" t="n">
        <f aca="false">VLOOKUP(A177,'Team Data'!$A$1:$P$133,5,FALSE())</f>
        <v>200</v>
      </c>
      <c r="S177" s="0" t="n">
        <f aca="false">VLOOKUP(B177,'Team Data'!$A$1:$P$133,4,FALSE())</f>
        <v>92</v>
      </c>
      <c r="T177" s="0" t="n">
        <f aca="false">VLOOKUP(B177,'Team Data'!$A$1:$P$133,5,FALSE())</f>
        <v>75</v>
      </c>
      <c r="U177" s="0" t="n">
        <f aca="false">IF(K177=1,(MIN(35,(C177-D177)))*(O177/(O177+P177))*(S177/(S177+T177)),(MAX(-35,(C177-D177)))*(IF(P177=0,0.1,(P177/(O177+P177))))*(T177/(S177+T177)))</f>
        <v>-2.41824044219254</v>
      </c>
      <c r="V177" s="0" t="n">
        <f aca="false">IF(L177=1,(MIN(35,(D177-C177)))*(M177/(M177+N177))*(Q177/(Q177+R177)),(MAX(-35,(D177-C177)))*(IF(N177=0,0.1,(N177/(M177+N177))))*(R177/(R177+Q177)))</f>
        <v>7.3321554770318</v>
      </c>
    </row>
    <row r="178" customFormat="false" ht="15" hidden="false" customHeight="false" outlineLevel="0" collapsed="false">
      <c r="A178" s="0" t="s">
        <v>198</v>
      </c>
      <c r="B178" s="0" t="s">
        <v>94</v>
      </c>
      <c r="C178" s="0" t="n">
        <v>7</v>
      </c>
      <c r="D178" s="0" t="n">
        <v>66</v>
      </c>
      <c r="E178" s="0" t="n">
        <v>19</v>
      </c>
      <c r="F178" s="0" t="n">
        <v>313</v>
      </c>
      <c r="G178" s="0" t="n">
        <v>126</v>
      </c>
      <c r="H178" s="0" t="n">
        <v>262</v>
      </c>
      <c r="I178" s="0" t="n">
        <v>2</v>
      </c>
      <c r="J178" s="0" t="n">
        <v>1</v>
      </c>
      <c r="K178" s="0" t="n">
        <v>0</v>
      </c>
      <c r="L178" s="0" t="n">
        <v>1</v>
      </c>
      <c r="M178" s="0" t="n">
        <f aca="false">VLOOKUP(A178,'Team Data'!$A$1:$P$133,2,FALSE())</f>
        <v>8</v>
      </c>
      <c r="N178" s="0" t="n">
        <f aca="false">VLOOKUP(A178,'Team Data'!$A$1:$P$133,3,FALSE())</f>
        <v>112</v>
      </c>
      <c r="O178" s="0" t="n">
        <f aca="false">VLOOKUP(B178,'Team Data'!$A$1:$P$133,2,FALSE())</f>
        <v>4</v>
      </c>
      <c r="P178" s="0" t="n">
        <f aca="false">VLOOKUP(B178,'Team Data'!$A$1:$P$133,3,FALSE())</f>
        <v>8</v>
      </c>
      <c r="Q178" s="0" t="n">
        <f aca="false">VLOOKUP(A178,'Team Data'!$A$1:$P$133,4,FALSE())</f>
        <v>805</v>
      </c>
      <c r="R178" s="0" t="n">
        <f aca="false">VLOOKUP(A178,'Team Data'!$A$1:$P$133,5,FALSE())</f>
        <v>725</v>
      </c>
      <c r="S178" s="0" t="n">
        <f aca="false">VLOOKUP(B178,'Team Data'!$A$1:$P$133,4,FALSE())</f>
        <v>87</v>
      </c>
      <c r="T178" s="0" t="n">
        <f aca="false">VLOOKUP(B178,'Team Data'!$A$1:$P$133,5,FALSE())</f>
        <v>172</v>
      </c>
      <c r="U178" s="0" t="n">
        <f aca="false">IF(K178=1,(MIN(35,(C178-D178)))*(O178/(O178+P178))*(S178/(S178+T178)),(MAX(-35,(C178-D178)))*(IF(P178=0,0.1,(P178/(O178+P178))))*(T178/(S178+T178)))</f>
        <v>-15.4954954954955</v>
      </c>
      <c r="V178" s="0" t="n">
        <f aca="false">IF(L178=1,(MIN(35,(D178-C178)))*(M178/(M178+N178))*(Q178/(Q178+R178)),(MAX(-35,(D178-C178)))*(IF(N178=0,0.1,(N178/(M178+N178))))*(R178/(R178+Q178)))</f>
        <v>1.2276688453159</v>
      </c>
    </row>
    <row r="179" customFormat="false" ht="15" hidden="false" customHeight="false" outlineLevel="0" collapsed="false">
      <c r="A179" s="0" t="s">
        <v>198</v>
      </c>
      <c r="B179" s="0" t="s">
        <v>27</v>
      </c>
      <c r="C179" s="0" t="n">
        <v>12</v>
      </c>
      <c r="D179" s="0" t="n">
        <v>35</v>
      </c>
      <c r="E179" s="0" t="n">
        <v>128</v>
      </c>
      <c r="F179" s="0" t="n">
        <v>147</v>
      </c>
      <c r="G179" s="0" t="n">
        <v>256</v>
      </c>
      <c r="H179" s="0" t="n">
        <v>229</v>
      </c>
      <c r="I179" s="0" t="n">
        <v>2</v>
      </c>
      <c r="J179" s="0" t="n">
        <v>2</v>
      </c>
      <c r="K179" s="0" t="n">
        <v>0</v>
      </c>
      <c r="L179" s="0" t="n">
        <v>1</v>
      </c>
      <c r="M179" s="0" t="n">
        <f aca="false">VLOOKUP(A179,'Team Data'!$A$1:$P$133,2,FALSE())</f>
        <v>8</v>
      </c>
      <c r="N179" s="0" t="n">
        <f aca="false">VLOOKUP(A179,'Team Data'!$A$1:$P$133,3,FALSE())</f>
        <v>112</v>
      </c>
      <c r="O179" s="0" t="n">
        <f aca="false">VLOOKUP(B179,'Team Data'!$A$1:$P$133,2,FALSE())</f>
        <v>11</v>
      </c>
      <c r="P179" s="0" t="n">
        <f aca="false">VLOOKUP(B179,'Team Data'!$A$1:$P$133,3,FALSE())</f>
        <v>3</v>
      </c>
      <c r="Q179" s="0" t="n">
        <f aca="false">VLOOKUP(A179,'Team Data'!$A$1:$P$133,4,FALSE())</f>
        <v>805</v>
      </c>
      <c r="R179" s="0" t="n">
        <f aca="false">VLOOKUP(A179,'Team Data'!$A$1:$P$133,5,FALSE())</f>
        <v>725</v>
      </c>
      <c r="S179" s="0" t="n">
        <f aca="false">VLOOKUP(B179,'Team Data'!$A$1:$P$133,4,FALSE())</f>
        <v>102</v>
      </c>
      <c r="T179" s="0" t="n">
        <f aca="false">VLOOKUP(B179,'Team Data'!$A$1:$P$133,5,FALSE())</f>
        <v>184</v>
      </c>
      <c r="U179" s="0" t="n">
        <f aca="false">IF(K179=1,(MIN(35,(C179-D179)))*(O179/(O179+P179))*(S179/(S179+T179)),(MAX(-35,(C179-D179)))*(IF(P179=0,0.1,(P179/(O179+P179))))*(T179/(S179+T179)))</f>
        <v>-3.17082917082917</v>
      </c>
      <c r="V179" s="0" t="n">
        <f aca="false">IF(L179=1,(MIN(35,(D179-C179)))*(M179/(M179+N179))*(Q179/(Q179+R179)),(MAX(-35,(D179-C179)))*(IF(N179=0,0.1,(N179/(M179+N179))))*(R179/(R179+Q179)))</f>
        <v>0.806753812636166</v>
      </c>
    </row>
    <row r="180" customFormat="false" ht="15" hidden="false" customHeight="false" outlineLevel="0" collapsed="false">
      <c r="A180" s="0" t="s">
        <v>77</v>
      </c>
      <c r="B180" s="0" t="s">
        <v>41</v>
      </c>
      <c r="C180" s="0" t="n">
        <v>35</v>
      </c>
      <c r="D180" s="0" t="n">
        <v>28</v>
      </c>
      <c r="E180" s="0" t="n">
        <v>183</v>
      </c>
      <c r="F180" s="0" t="n">
        <v>235</v>
      </c>
      <c r="G180" s="0" t="n">
        <v>284</v>
      </c>
      <c r="H180" s="0" t="n">
        <v>186</v>
      </c>
      <c r="I180" s="0" t="n">
        <v>3</v>
      </c>
      <c r="J180" s="0" t="n">
        <v>0</v>
      </c>
      <c r="K180" s="0" t="n">
        <v>1</v>
      </c>
      <c r="L180" s="0" t="n">
        <v>0</v>
      </c>
      <c r="M180" s="0" t="n">
        <f aca="false">VLOOKUP(A180,'Team Data'!$A$1:$P$133,2,FALSE())</f>
        <v>9</v>
      </c>
      <c r="N180" s="0" t="n">
        <f aca="false">VLOOKUP(A180,'Team Data'!$A$1:$P$133,3,FALSE())</f>
        <v>5</v>
      </c>
      <c r="O180" s="0" t="n">
        <f aca="false">VLOOKUP(B180,'Team Data'!$A$1:$P$133,2,FALSE())</f>
        <v>4</v>
      </c>
      <c r="P180" s="0" t="n">
        <f aca="false">VLOOKUP(B180,'Team Data'!$A$1:$P$133,3,FALSE())</f>
        <v>8</v>
      </c>
      <c r="Q180" s="0" t="n">
        <f aca="false">VLOOKUP(A180,'Team Data'!$A$1:$P$133,4,FALSE())</f>
        <v>98</v>
      </c>
      <c r="R180" s="0" t="n">
        <f aca="false">VLOOKUP(A180,'Team Data'!$A$1:$P$133,5,FALSE())</f>
        <v>183</v>
      </c>
      <c r="S180" s="0" t="n">
        <f aca="false">VLOOKUP(B180,'Team Data'!$A$1:$P$133,4,FALSE())</f>
        <v>78</v>
      </c>
      <c r="T180" s="0" t="n">
        <f aca="false">VLOOKUP(B180,'Team Data'!$A$1:$P$133,5,FALSE())</f>
        <v>72</v>
      </c>
      <c r="U180" s="0" t="n">
        <f aca="false">IF(K180=1,(MIN(35,(C180-D180)))*(O180/(O180+P180))*(S180/(S180+T180)),(MAX(-35,(C180-D180)))*(IF(P180=0,0.1,(P180/(O180+P180))))*(T180/(S180+T180)))</f>
        <v>1.21333333333333</v>
      </c>
      <c r="V180" s="0" t="n">
        <f aca="false">IF(L180=1,(MIN(35,(D180-C180)))*(M180/(M180+N180))*(Q180/(Q180+R180)),(MAX(-35,(D180-C180)))*(IF(N180=0,0.1,(N180/(M180+N180))))*(R180/(R180+Q180)))</f>
        <v>-1.62811387900356</v>
      </c>
    </row>
    <row r="181" customFormat="false" ht="15" hidden="false" customHeight="false" outlineLevel="0" collapsed="false">
      <c r="A181" s="0" t="s">
        <v>198</v>
      </c>
      <c r="B181" s="0" t="s">
        <v>42</v>
      </c>
      <c r="C181" s="0" t="n">
        <v>17</v>
      </c>
      <c r="D181" s="0" t="n">
        <v>35</v>
      </c>
      <c r="E181" s="0" t="n">
        <v>119</v>
      </c>
      <c r="F181" s="0" t="n">
        <v>243</v>
      </c>
      <c r="G181" s="0" t="n">
        <v>271</v>
      </c>
      <c r="H181" s="0" t="n">
        <v>100</v>
      </c>
      <c r="I181" s="0" t="n">
        <v>4</v>
      </c>
      <c r="J181" s="0" t="n">
        <v>1</v>
      </c>
      <c r="K181" s="0" t="n">
        <v>0</v>
      </c>
      <c r="L181" s="0" t="n">
        <v>1</v>
      </c>
      <c r="M181" s="0" t="n">
        <f aca="false">VLOOKUP(A181,'Team Data'!$A$1:$P$133,2,FALSE())</f>
        <v>8</v>
      </c>
      <c r="N181" s="0" t="n">
        <f aca="false">VLOOKUP(A181,'Team Data'!$A$1:$P$133,3,FALSE())</f>
        <v>112</v>
      </c>
      <c r="O181" s="0" t="n">
        <f aca="false">VLOOKUP(B181,'Team Data'!$A$1:$P$133,2,FALSE())</f>
        <v>5</v>
      </c>
      <c r="P181" s="0" t="n">
        <f aca="false">VLOOKUP(B181,'Team Data'!$A$1:$P$133,3,FALSE())</f>
        <v>7</v>
      </c>
      <c r="Q181" s="0" t="n">
        <f aca="false">VLOOKUP(A181,'Team Data'!$A$1:$P$133,4,FALSE())</f>
        <v>805</v>
      </c>
      <c r="R181" s="0" t="n">
        <f aca="false">VLOOKUP(A181,'Team Data'!$A$1:$P$133,5,FALSE())</f>
        <v>725</v>
      </c>
      <c r="S181" s="0" t="n">
        <f aca="false">VLOOKUP(B181,'Team Data'!$A$1:$P$133,4,FALSE())</f>
        <v>99</v>
      </c>
      <c r="T181" s="0" t="n">
        <f aca="false">VLOOKUP(B181,'Team Data'!$A$1:$P$133,5,FALSE())</f>
        <v>163</v>
      </c>
      <c r="U181" s="0" t="n">
        <f aca="false">IF(K181=1,(MIN(35,(C181-D181)))*(O181/(O181+P181))*(S181/(S181+T181)),(MAX(-35,(C181-D181)))*(IF(P181=0,0.1,(P181/(O181+P181))))*(T181/(S181+T181)))</f>
        <v>-6.5324427480916</v>
      </c>
      <c r="V181" s="0" t="n">
        <f aca="false">IF(L181=1,(MIN(35,(D181-C181)))*(M181/(M181+N181))*(Q181/(Q181+R181)),(MAX(-35,(D181-C181)))*(IF(N181=0,0.1,(N181/(M181+N181))))*(R181/(R181+Q181)))</f>
        <v>0.631372549019608</v>
      </c>
    </row>
    <row r="182" customFormat="false" ht="15" hidden="false" customHeight="false" outlineLevel="0" collapsed="false">
      <c r="A182" s="0" t="s">
        <v>100</v>
      </c>
      <c r="B182" s="0" t="s">
        <v>63</v>
      </c>
      <c r="C182" s="0" t="n">
        <v>7</v>
      </c>
      <c r="D182" s="0" t="n">
        <v>30</v>
      </c>
      <c r="E182" s="0" t="n">
        <v>33</v>
      </c>
      <c r="F182" s="0" t="n">
        <v>174</v>
      </c>
      <c r="G182" s="0" t="n">
        <v>207</v>
      </c>
      <c r="H182" s="0" t="n">
        <v>278</v>
      </c>
      <c r="I182" s="0" t="n">
        <v>3</v>
      </c>
      <c r="J182" s="0" t="n">
        <v>1</v>
      </c>
      <c r="K182" s="0" t="n">
        <v>0</v>
      </c>
      <c r="L182" s="0" t="n">
        <v>1</v>
      </c>
      <c r="M182" s="0" t="n">
        <f aca="false">VLOOKUP(A182,'Team Data'!$A$1:$P$133,2,FALSE())</f>
        <v>7</v>
      </c>
      <c r="N182" s="0" t="n">
        <f aca="false">VLOOKUP(A182,'Team Data'!$A$1:$P$133,3,FALSE())</f>
        <v>6</v>
      </c>
      <c r="O182" s="0" t="n">
        <f aca="false">VLOOKUP(B182,'Team Data'!$A$1:$P$133,2,FALSE())</f>
        <v>5</v>
      </c>
      <c r="P182" s="0" t="n">
        <f aca="false">VLOOKUP(B182,'Team Data'!$A$1:$P$133,3,FALSE())</f>
        <v>7</v>
      </c>
      <c r="Q182" s="0" t="n">
        <f aca="false">VLOOKUP(A182,'Team Data'!$A$1:$P$133,4,FALSE())</f>
        <v>90</v>
      </c>
      <c r="R182" s="0" t="n">
        <f aca="false">VLOOKUP(A182,'Team Data'!$A$1:$P$133,5,FALSE())</f>
        <v>183</v>
      </c>
      <c r="S182" s="0" t="n">
        <f aca="false">VLOOKUP(B182,'Team Data'!$A$1:$P$133,4,FALSE())</f>
        <v>87</v>
      </c>
      <c r="T182" s="0" t="n">
        <f aca="false">VLOOKUP(B182,'Team Data'!$A$1:$P$133,5,FALSE())</f>
        <v>171</v>
      </c>
      <c r="U182" s="0" t="n">
        <f aca="false">IF(K182=1,(MIN(35,(C182-D182)))*(O182/(O182+P182))*(S182/(S182+T182)),(MAX(-35,(C182-D182)))*(IF(P182=0,0.1,(P182/(O182+P182))))*(T182/(S182+T182)))</f>
        <v>-8.89244186046512</v>
      </c>
      <c r="V182" s="0" t="n">
        <f aca="false">IF(L182=1,(MIN(35,(D182-C182)))*(M182/(M182+N182))*(Q182/(Q182+R182)),(MAX(-35,(D182-C182)))*(IF(N182=0,0.1,(N182/(M182+N182))))*(R182/(R182+Q182)))</f>
        <v>4.08284023668639</v>
      </c>
    </row>
    <row r="183" customFormat="false" ht="15" hidden="false" customHeight="false" outlineLevel="0" collapsed="false">
      <c r="A183" s="0" t="s">
        <v>198</v>
      </c>
      <c r="B183" s="0" t="s">
        <v>71</v>
      </c>
      <c r="C183" s="0" t="n">
        <v>3</v>
      </c>
      <c r="D183" s="0" t="n">
        <v>55</v>
      </c>
      <c r="E183" s="0" t="n">
        <v>36</v>
      </c>
      <c r="F183" s="0" t="n">
        <v>217</v>
      </c>
      <c r="G183" s="0" t="n">
        <v>114</v>
      </c>
      <c r="H183" s="0" t="n">
        <v>321</v>
      </c>
      <c r="I183" s="0" t="n">
        <v>3</v>
      </c>
      <c r="J183" s="0" t="n">
        <v>1</v>
      </c>
      <c r="K183" s="0" t="n">
        <v>0</v>
      </c>
      <c r="L183" s="0" t="n">
        <v>1</v>
      </c>
      <c r="M183" s="0" t="n">
        <f aca="false">VLOOKUP(A183,'Team Data'!$A$1:$P$133,2,FALSE())</f>
        <v>8</v>
      </c>
      <c r="N183" s="0" t="n">
        <f aca="false">VLOOKUP(A183,'Team Data'!$A$1:$P$133,3,FALSE())</f>
        <v>112</v>
      </c>
      <c r="O183" s="0" t="n">
        <f aca="false">VLOOKUP(B183,'Team Data'!$A$1:$P$133,2,FALSE())</f>
        <v>8</v>
      </c>
      <c r="P183" s="0" t="n">
        <f aca="false">VLOOKUP(B183,'Team Data'!$A$1:$P$133,3,FALSE())</f>
        <v>5</v>
      </c>
      <c r="Q183" s="0" t="n">
        <f aca="false">VLOOKUP(A183,'Team Data'!$A$1:$P$133,4,FALSE())</f>
        <v>805</v>
      </c>
      <c r="R183" s="0" t="n">
        <f aca="false">VLOOKUP(A183,'Team Data'!$A$1:$P$133,5,FALSE())</f>
        <v>725</v>
      </c>
      <c r="S183" s="0" t="n">
        <f aca="false">VLOOKUP(B183,'Team Data'!$A$1:$P$133,4,FALSE())</f>
        <v>97</v>
      </c>
      <c r="T183" s="0" t="n">
        <f aca="false">VLOOKUP(B183,'Team Data'!$A$1:$P$133,5,FALSE())</f>
        <v>178</v>
      </c>
      <c r="U183" s="0" t="n">
        <f aca="false">IF(K183=1,(MIN(35,(C183-D183)))*(O183/(O183+P183))*(S183/(S183+T183)),(MAX(-35,(C183-D183)))*(IF(P183=0,0.1,(P183/(O183+P183))))*(T183/(S183+T183)))</f>
        <v>-8.71328671328671</v>
      </c>
      <c r="V183" s="0" t="n">
        <f aca="false">IF(L183=1,(MIN(35,(D183-C183)))*(M183/(M183+N183))*(Q183/(Q183+R183)),(MAX(-35,(D183-C183)))*(IF(N183=0,0.1,(N183/(M183+N183))))*(R183/(R183+Q183)))</f>
        <v>1.2276688453159</v>
      </c>
    </row>
    <row r="184" customFormat="false" ht="15" hidden="false" customHeight="false" outlineLevel="0" collapsed="false">
      <c r="A184" s="0" t="s">
        <v>20</v>
      </c>
      <c r="B184" s="0" t="s">
        <v>128</v>
      </c>
      <c r="C184" s="0" t="n">
        <v>10</v>
      </c>
      <c r="D184" s="0" t="n">
        <v>27</v>
      </c>
      <c r="E184" s="0" t="n">
        <v>4</v>
      </c>
      <c r="F184" s="0" t="n">
        <v>144</v>
      </c>
      <c r="G184" s="0" t="n">
        <v>151</v>
      </c>
      <c r="H184" s="0" t="n">
        <v>140</v>
      </c>
      <c r="I184" s="0" t="n">
        <v>1</v>
      </c>
      <c r="J184" s="0" t="n">
        <v>0</v>
      </c>
      <c r="K184" s="0" t="n">
        <v>0</v>
      </c>
      <c r="L184" s="0" t="n">
        <v>1</v>
      </c>
      <c r="M184" s="0" t="n">
        <f aca="false">VLOOKUP(A184,'Team Data'!$A$1:$P$133,2,FALSE())</f>
        <v>3</v>
      </c>
      <c r="N184" s="0" t="n">
        <f aca="false">VLOOKUP(A184,'Team Data'!$A$1:$P$133,3,FALSE())</f>
        <v>9</v>
      </c>
      <c r="O184" s="0" t="n">
        <f aca="false">VLOOKUP(B184,'Team Data'!$A$1:$P$133,2,FALSE())</f>
        <v>3</v>
      </c>
      <c r="P184" s="0" t="n">
        <f aca="false">VLOOKUP(B184,'Team Data'!$A$1:$P$133,3,FALSE())</f>
        <v>8</v>
      </c>
      <c r="Q184" s="0" t="n">
        <f aca="false">VLOOKUP(A184,'Team Data'!$A$1:$P$133,4,FALSE())</f>
        <v>91</v>
      </c>
      <c r="R184" s="0" t="n">
        <f aca="false">VLOOKUP(A184,'Team Data'!$A$1:$P$133,5,FALSE())</f>
        <v>170</v>
      </c>
      <c r="S184" s="0" t="n">
        <f aca="false">VLOOKUP(B184,'Team Data'!$A$1:$P$133,4,FALSE())</f>
        <v>72</v>
      </c>
      <c r="T184" s="0" t="n">
        <f aca="false">VLOOKUP(B184,'Team Data'!$A$1:$P$133,5,FALSE())</f>
        <v>174</v>
      </c>
      <c r="U184" s="0" t="n">
        <f aca="false">IF(K184=1,(MIN(35,(C184-D184)))*(O184/(O184+P184))*(S184/(S184+T184)),(MAX(-35,(C184-D184)))*(IF(P184=0,0.1,(P184/(O184+P184))))*(T184/(S184+T184)))</f>
        <v>-8.7450110864745</v>
      </c>
      <c r="V184" s="0" t="n">
        <f aca="false">IF(L184=1,(MIN(35,(D184-C184)))*(M184/(M184+N184))*(Q184/(Q184+R184)),(MAX(-35,(D184-C184)))*(IF(N184=0,0.1,(N184/(M184+N184))))*(R184/(R184+Q184)))</f>
        <v>1.48180076628352</v>
      </c>
    </row>
    <row r="185" customFormat="false" ht="15" hidden="false" customHeight="false" outlineLevel="0" collapsed="false">
      <c r="A185" s="0" t="s">
        <v>198</v>
      </c>
      <c r="B185" s="0" t="s">
        <v>96</v>
      </c>
      <c r="C185" s="0" t="n">
        <v>7</v>
      </c>
      <c r="D185" s="0" t="n">
        <v>38</v>
      </c>
      <c r="E185" s="0" t="n">
        <v>80</v>
      </c>
      <c r="F185" s="0" t="n">
        <v>380</v>
      </c>
      <c r="G185" s="0" t="n">
        <v>258</v>
      </c>
      <c r="H185" s="0" t="n">
        <v>108</v>
      </c>
      <c r="I185" s="0" t="n">
        <v>0</v>
      </c>
      <c r="J185" s="0" t="n">
        <v>2</v>
      </c>
      <c r="K185" s="0" t="n">
        <v>0</v>
      </c>
      <c r="L185" s="0" t="n">
        <v>1</v>
      </c>
      <c r="M185" s="0" t="n">
        <f aca="false">VLOOKUP(A185,'Team Data'!$A$1:$P$133,2,FALSE())</f>
        <v>8</v>
      </c>
      <c r="N185" s="0" t="n">
        <f aca="false">VLOOKUP(A185,'Team Data'!$A$1:$P$133,3,FALSE())</f>
        <v>112</v>
      </c>
      <c r="O185" s="0" t="n">
        <f aca="false">VLOOKUP(B185,'Team Data'!$A$1:$P$133,2,FALSE())</f>
        <v>7</v>
      </c>
      <c r="P185" s="0" t="n">
        <f aca="false">VLOOKUP(B185,'Team Data'!$A$1:$P$133,3,FALSE())</f>
        <v>6</v>
      </c>
      <c r="Q185" s="0" t="n">
        <f aca="false">VLOOKUP(A185,'Team Data'!$A$1:$P$133,4,FALSE())</f>
        <v>805</v>
      </c>
      <c r="R185" s="0" t="n">
        <f aca="false">VLOOKUP(A185,'Team Data'!$A$1:$P$133,5,FALSE())</f>
        <v>725</v>
      </c>
      <c r="S185" s="0" t="n">
        <f aca="false">VLOOKUP(B185,'Team Data'!$A$1:$P$133,4,FALSE())</f>
        <v>89</v>
      </c>
      <c r="T185" s="0" t="n">
        <f aca="false">VLOOKUP(B185,'Team Data'!$A$1:$P$133,5,FALSE())</f>
        <v>186</v>
      </c>
      <c r="U185" s="0" t="n">
        <f aca="false">IF(K185=1,(MIN(35,(C185-D185)))*(O185/(O185+P185))*(S185/(S185+T185)),(MAX(-35,(C185-D185)))*(IF(P185=0,0.1,(P185/(O185+P185))))*(T185/(S185+T185)))</f>
        <v>-9.6772027972028</v>
      </c>
      <c r="V185" s="0" t="n">
        <f aca="false">IF(L185=1,(MIN(35,(D185-C185)))*(M185/(M185+N185))*(Q185/(Q185+R185)),(MAX(-35,(D185-C185)))*(IF(N185=0,0.1,(N185/(M185+N185))))*(R185/(R185+Q185)))</f>
        <v>1.08736383442266</v>
      </c>
    </row>
    <row r="186" customFormat="false" ht="15" hidden="false" customHeight="false" outlineLevel="0" collapsed="false">
      <c r="A186" s="0" t="s">
        <v>118</v>
      </c>
      <c r="B186" s="0" t="s">
        <v>110</v>
      </c>
      <c r="C186" s="0" t="n">
        <v>10</v>
      </c>
      <c r="D186" s="0" t="n">
        <v>55</v>
      </c>
      <c r="E186" s="0" t="n">
        <v>205</v>
      </c>
      <c r="F186" s="0" t="n">
        <v>234</v>
      </c>
      <c r="G186" s="0" t="n">
        <v>48</v>
      </c>
      <c r="H186" s="0" t="n">
        <v>177</v>
      </c>
      <c r="I186" s="0" t="n">
        <v>1</v>
      </c>
      <c r="J186" s="0" t="n">
        <v>0</v>
      </c>
      <c r="K186" s="0" t="n">
        <v>0</v>
      </c>
      <c r="L186" s="0" t="n">
        <v>1</v>
      </c>
      <c r="M186" s="0" t="n">
        <f aca="false">VLOOKUP(A186,'Team Data'!$A$1:$P$133,2,FALSE())</f>
        <v>1</v>
      </c>
      <c r="N186" s="0" t="n">
        <f aca="false">VLOOKUP(A186,'Team Data'!$A$1:$P$133,3,FALSE())</f>
        <v>11</v>
      </c>
      <c r="O186" s="0" t="n">
        <f aca="false">VLOOKUP(B186,'Team Data'!$A$1:$P$133,2,FALSE())</f>
        <v>9</v>
      </c>
      <c r="P186" s="0" t="n">
        <f aca="false">VLOOKUP(B186,'Team Data'!$A$1:$P$133,3,FALSE())</f>
        <v>5</v>
      </c>
      <c r="Q186" s="0" t="n">
        <f aca="false">VLOOKUP(A186,'Team Data'!$A$1:$P$133,4,FALSE())</f>
        <v>83</v>
      </c>
      <c r="R186" s="0" t="n">
        <f aca="false">VLOOKUP(A186,'Team Data'!$A$1:$P$133,5,FALSE())</f>
        <v>178</v>
      </c>
      <c r="S186" s="0" t="n">
        <f aca="false">VLOOKUP(B186,'Team Data'!$A$1:$P$133,4,FALSE())</f>
        <v>89</v>
      </c>
      <c r="T186" s="0" t="n">
        <f aca="false">VLOOKUP(B186,'Team Data'!$A$1:$P$133,5,FALSE())</f>
        <v>195</v>
      </c>
      <c r="U186" s="0" t="n">
        <f aca="false">IF(K186=1,(MIN(35,(C186-D186)))*(O186/(O186+P186))*(S186/(S186+T186)),(MAX(-35,(C186-D186)))*(IF(P186=0,0.1,(P186/(O186+P186))))*(T186/(S186+T186)))</f>
        <v>-8.58274647887324</v>
      </c>
      <c r="V186" s="0" t="n">
        <f aca="false">IF(L186=1,(MIN(35,(D186-C186)))*(M186/(M186+N186))*(Q186/(Q186+R186)),(MAX(-35,(D186-C186)))*(IF(N186=0,0.1,(N186/(M186+N186))))*(R186/(R186+Q186)))</f>
        <v>0.927522349936143</v>
      </c>
    </row>
    <row r="187" customFormat="false" ht="15" hidden="false" customHeight="false" outlineLevel="0" collapsed="false">
      <c r="A187" s="0" t="s">
        <v>86</v>
      </c>
      <c r="B187" s="0" t="s">
        <v>32</v>
      </c>
      <c r="C187" s="0" t="n">
        <v>21</v>
      </c>
      <c r="D187" s="0" t="n">
        <v>39</v>
      </c>
      <c r="E187" s="0" t="n">
        <v>15</v>
      </c>
      <c r="F187" s="0" t="n">
        <v>261</v>
      </c>
      <c r="G187" s="0" t="n">
        <v>275</v>
      </c>
      <c r="H187" s="0" t="n">
        <v>270</v>
      </c>
      <c r="I187" s="0" t="n">
        <v>2</v>
      </c>
      <c r="J187" s="0" t="n">
        <v>0</v>
      </c>
      <c r="K187" s="0" t="n">
        <v>0</v>
      </c>
      <c r="L187" s="0" t="n">
        <v>1</v>
      </c>
      <c r="M187" s="0" t="n">
        <f aca="false">VLOOKUP(A187,'Team Data'!$A$1:$P$133,2,FALSE())</f>
        <v>3</v>
      </c>
      <c r="N187" s="0" t="n">
        <f aca="false">VLOOKUP(A187,'Team Data'!$A$1:$P$133,3,FALSE())</f>
        <v>9</v>
      </c>
      <c r="O187" s="0" t="n">
        <f aca="false">VLOOKUP(B187,'Team Data'!$A$1:$P$133,2,FALSE())</f>
        <v>8</v>
      </c>
      <c r="P187" s="0" t="n">
        <f aca="false">VLOOKUP(B187,'Team Data'!$A$1:$P$133,3,FALSE())</f>
        <v>5</v>
      </c>
      <c r="Q187" s="0" t="n">
        <f aca="false">VLOOKUP(A187,'Team Data'!$A$1:$P$133,4,FALSE())</f>
        <v>77</v>
      </c>
      <c r="R187" s="0" t="n">
        <f aca="false">VLOOKUP(A187,'Team Data'!$A$1:$P$133,5,FALSE())</f>
        <v>69</v>
      </c>
      <c r="S187" s="0" t="n">
        <f aca="false">VLOOKUP(B187,'Team Data'!$A$1:$P$133,4,FALSE())</f>
        <v>89</v>
      </c>
      <c r="T187" s="0" t="n">
        <f aca="false">VLOOKUP(B187,'Team Data'!$A$1:$P$133,5,FALSE())</f>
        <v>185</v>
      </c>
      <c r="U187" s="0" t="n">
        <f aca="false">IF(K187=1,(MIN(35,(C187-D187)))*(O187/(O187+P187))*(S187/(S187+T187)),(MAX(-35,(C187-D187)))*(IF(P187=0,0.1,(P187/(O187+P187))))*(T187/(S187+T187)))</f>
        <v>-4.67434025828186</v>
      </c>
      <c r="V187" s="0" t="n">
        <f aca="false">IF(L187=1,(MIN(35,(D187-C187)))*(M187/(M187+N187))*(Q187/(Q187+R187)),(MAX(-35,(D187-C187)))*(IF(N187=0,0.1,(N187/(M187+N187))))*(R187/(R187+Q187)))</f>
        <v>2.37328767123288</v>
      </c>
    </row>
    <row r="188" customFormat="false" ht="15" hidden="false" customHeight="false" outlineLevel="0" collapsed="false">
      <c r="A188" s="0" t="s">
        <v>198</v>
      </c>
      <c r="B188" s="0" t="s">
        <v>136</v>
      </c>
      <c r="C188" s="0" t="n">
        <v>10</v>
      </c>
      <c r="D188" s="0" t="n">
        <v>33</v>
      </c>
      <c r="E188" s="0" t="n">
        <v>15</v>
      </c>
      <c r="F188" s="0" t="n">
        <v>149</v>
      </c>
      <c r="G188" s="0" t="n">
        <v>132</v>
      </c>
      <c r="H188" s="0" t="n">
        <v>144</v>
      </c>
      <c r="I188" s="0" t="n">
        <v>3</v>
      </c>
      <c r="J188" s="0" t="n">
        <v>0</v>
      </c>
      <c r="K188" s="0" t="n">
        <v>0</v>
      </c>
      <c r="L188" s="0" t="n">
        <v>1</v>
      </c>
      <c r="M188" s="0" t="n">
        <f aca="false">VLOOKUP(A188,'Team Data'!$A$1:$P$133,2,FALSE())</f>
        <v>8</v>
      </c>
      <c r="N188" s="0" t="n">
        <f aca="false">VLOOKUP(A188,'Team Data'!$A$1:$P$133,3,FALSE())</f>
        <v>112</v>
      </c>
      <c r="O188" s="0" t="n">
        <f aca="false">VLOOKUP(B188,'Team Data'!$A$1:$P$133,2,FALSE())</f>
        <v>7</v>
      </c>
      <c r="P188" s="0" t="n">
        <f aca="false">VLOOKUP(B188,'Team Data'!$A$1:$P$133,3,FALSE())</f>
        <v>6</v>
      </c>
      <c r="Q188" s="0" t="n">
        <f aca="false">VLOOKUP(A188,'Team Data'!$A$1:$P$133,4,FALSE())</f>
        <v>805</v>
      </c>
      <c r="R188" s="0" t="n">
        <f aca="false">VLOOKUP(A188,'Team Data'!$A$1:$P$133,5,FALSE())</f>
        <v>725</v>
      </c>
      <c r="S188" s="0" t="n">
        <f aca="false">VLOOKUP(B188,'Team Data'!$A$1:$P$133,4,FALSE())</f>
        <v>90</v>
      </c>
      <c r="T188" s="0" t="n">
        <f aca="false">VLOOKUP(B188,'Team Data'!$A$1:$P$133,5,FALSE())</f>
        <v>185</v>
      </c>
      <c r="U188" s="0" t="n">
        <f aca="false">IF(K188=1,(MIN(35,(C188-D188)))*(O188/(O188+P188))*(S188/(S188+T188)),(MAX(-35,(C188-D188)))*(IF(P188=0,0.1,(P188/(O188+P188))))*(T188/(S188+T188)))</f>
        <v>-7.14125874125874</v>
      </c>
      <c r="V188" s="0" t="n">
        <f aca="false">IF(L188=1,(MIN(35,(D188-C188)))*(M188/(M188+N188))*(Q188/(Q188+R188)),(MAX(-35,(D188-C188)))*(IF(N188=0,0.1,(N188/(M188+N188))))*(R188/(R188+Q188)))</f>
        <v>0.806753812636166</v>
      </c>
    </row>
    <row r="189" customFormat="false" ht="15" hidden="false" customHeight="false" outlineLevel="0" collapsed="false">
      <c r="A189" s="0" t="s">
        <v>19</v>
      </c>
      <c r="B189" s="0" t="s">
        <v>75</v>
      </c>
      <c r="C189" s="0" t="n">
        <v>31</v>
      </c>
      <c r="D189" s="0" t="n">
        <v>14</v>
      </c>
      <c r="E189" s="0" t="n">
        <v>148</v>
      </c>
      <c r="F189" s="0" t="n">
        <v>25</v>
      </c>
      <c r="G189" s="0" t="n">
        <v>170</v>
      </c>
      <c r="H189" s="0" t="n">
        <v>98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f aca="false">VLOOKUP(A189,'Team Data'!$A$1:$P$133,2,FALSE())</f>
        <v>10</v>
      </c>
      <c r="N189" s="0" t="n">
        <f aca="false">VLOOKUP(A189,'Team Data'!$A$1:$P$133,3,FALSE())</f>
        <v>4</v>
      </c>
      <c r="O189" s="0" t="n">
        <f aca="false">VLOOKUP(B189,'Team Data'!$A$1:$P$133,2,FALSE())</f>
        <v>2</v>
      </c>
      <c r="P189" s="0" t="n">
        <f aca="false">VLOOKUP(B189,'Team Data'!$A$1:$P$133,3,FALSE())</f>
        <v>10</v>
      </c>
      <c r="Q189" s="0" t="n">
        <f aca="false">VLOOKUP(A189,'Team Data'!$A$1:$P$133,4,FALSE())</f>
        <v>95</v>
      </c>
      <c r="R189" s="0" t="n">
        <f aca="false">VLOOKUP(A189,'Team Data'!$A$1:$P$133,5,FALSE())</f>
        <v>193</v>
      </c>
      <c r="S189" s="0" t="n">
        <f aca="false">VLOOKUP(B189,'Team Data'!$A$1:$P$133,4,FALSE())</f>
        <v>88</v>
      </c>
      <c r="T189" s="0" t="n">
        <f aca="false">VLOOKUP(B189,'Team Data'!$A$1:$P$133,5,FALSE())</f>
        <v>175</v>
      </c>
      <c r="U189" s="0" t="n">
        <f aca="false">IF(K189=1,(MIN(35,(C189-D189)))*(O189/(O189+P189))*(S189/(S189+T189)),(MAX(-35,(C189-D189)))*(IF(P189=0,0.1,(P189/(O189+P189))))*(T189/(S189+T189)))</f>
        <v>0.948035487959442</v>
      </c>
      <c r="V189" s="0" t="n">
        <f aca="false">IF(L189=1,(MIN(35,(D189-C189)))*(M189/(M189+N189))*(Q189/(Q189+R189)),(MAX(-35,(D189-C189)))*(IF(N189=0,0.1,(N189/(M189+N189))))*(R189/(R189+Q189)))</f>
        <v>-3.25496031746032</v>
      </c>
    </row>
    <row r="190" customFormat="false" ht="15" hidden="false" customHeight="false" outlineLevel="0" collapsed="false">
      <c r="A190" s="0" t="s">
        <v>198</v>
      </c>
      <c r="B190" s="0" t="s">
        <v>125</v>
      </c>
      <c r="C190" s="0" t="n">
        <v>35</v>
      </c>
      <c r="D190" s="0" t="n">
        <v>7</v>
      </c>
      <c r="E190" s="0" t="n">
        <v>199</v>
      </c>
      <c r="F190" s="0" t="n">
        <v>126</v>
      </c>
      <c r="G190" s="0" t="n">
        <v>202</v>
      </c>
      <c r="H190" s="0" t="n">
        <v>157</v>
      </c>
      <c r="I190" s="0" t="n">
        <v>3</v>
      </c>
      <c r="J190" s="0" t="n">
        <v>4</v>
      </c>
      <c r="K190" s="0" t="n">
        <v>1</v>
      </c>
      <c r="L190" s="0" t="n">
        <v>0</v>
      </c>
      <c r="M190" s="0" t="n">
        <f aca="false">VLOOKUP(A190,'Team Data'!$A$1:$P$133,2,FALSE())</f>
        <v>8</v>
      </c>
      <c r="N190" s="0" t="n">
        <f aca="false">VLOOKUP(A190,'Team Data'!$A$1:$P$133,3,FALSE())</f>
        <v>112</v>
      </c>
      <c r="O190" s="0" t="n">
        <f aca="false">VLOOKUP(B190,'Team Data'!$A$1:$P$133,2,FALSE())</f>
        <v>6</v>
      </c>
      <c r="P190" s="0" t="n">
        <f aca="false">VLOOKUP(B190,'Team Data'!$A$1:$P$133,3,FALSE())</f>
        <v>7</v>
      </c>
      <c r="Q190" s="0" t="n">
        <f aca="false">VLOOKUP(A190,'Team Data'!$A$1:$P$133,4,FALSE())</f>
        <v>805</v>
      </c>
      <c r="R190" s="0" t="n">
        <f aca="false">VLOOKUP(A190,'Team Data'!$A$1:$P$133,5,FALSE())</f>
        <v>725</v>
      </c>
      <c r="S190" s="0" t="n">
        <f aca="false">VLOOKUP(B190,'Team Data'!$A$1:$P$133,4,FALSE())</f>
        <v>87</v>
      </c>
      <c r="T190" s="0" t="n">
        <f aca="false">VLOOKUP(B190,'Team Data'!$A$1:$P$133,5,FALSE())</f>
        <v>186</v>
      </c>
      <c r="U190" s="0" t="n">
        <f aca="false">IF(K190=1,(MIN(35,(C190-D190)))*(O190/(O190+P190))*(S190/(S190+T190)),(MAX(-35,(C190-D190)))*(IF(P190=0,0.1,(P190/(O190+P190))))*(T190/(S190+T190)))</f>
        <v>4.11834319526627</v>
      </c>
      <c r="V190" s="0" t="n">
        <f aca="false">IF(L190=1,(MIN(35,(D190-C190)))*(M190/(M190+N190))*(Q190/(Q190+R190)),(MAX(-35,(D190-C190)))*(IF(N190=0,0.1,(N190/(M190+N190))))*(R190/(R190+Q190)))</f>
        <v>-12.3834422657952</v>
      </c>
    </row>
    <row r="191" customFormat="false" ht="15" hidden="false" customHeight="false" outlineLevel="0" collapsed="false">
      <c r="A191" s="0" t="s">
        <v>198</v>
      </c>
      <c r="B191" s="0" t="s">
        <v>74</v>
      </c>
      <c r="C191" s="0" t="n">
        <v>55</v>
      </c>
      <c r="D191" s="0" t="n">
        <v>41</v>
      </c>
      <c r="E191" s="0" t="n">
        <v>210</v>
      </c>
      <c r="F191" s="0" t="n">
        <v>176</v>
      </c>
      <c r="G191" s="0" t="n">
        <v>406</v>
      </c>
      <c r="H191" s="0" t="n">
        <v>302</v>
      </c>
      <c r="I191" s="0" t="n">
        <v>2</v>
      </c>
      <c r="J191" s="0" t="n">
        <v>2</v>
      </c>
      <c r="K191" s="0" t="n">
        <v>1</v>
      </c>
      <c r="L191" s="0" t="n">
        <v>0</v>
      </c>
      <c r="M191" s="0" t="n">
        <f aca="false">VLOOKUP(A191,'Team Data'!$A$1:$P$133,2,FALSE())</f>
        <v>8</v>
      </c>
      <c r="N191" s="0" t="n">
        <f aca="false">VLOOKUP(A191,'Team Data'!$A$1:$P$133,3,FALSE())</f>
        <v>112</v>
      </c>
      <c r="O191" s="0" t="n">
        <f aca="false">VLOOKUP(B191,'Team Data'!$A$1:$P$133,2,FALSE())</f>
        <v>2</v>
      </c>
      <c r="P191" s="0" t="n">
        <f aca="false">VLOOKUP(B191,'Team Data'!$A$1:$P$133,3,FALSE())</f>
        <v>10</v>
      </c>
      <c r="Q191" s="0" t="n">
        <f aca="false">VLOOKUP(A191,'Team Data'!$A$1:$P$133,4,FALSE())</f>
        <v>805</v>
      </c>
      <c r="R191" s="0" t="n">
        <f aca="false">VLOOKUP(A191,'Team Data'!$A$1:$P$133,5,FALSE())</f>
        <v>725</v>
      </c>
      <c r="S191" s="0" t="n">
        <f aca="false">VLOOKUP(B191,'Team Data'!$A$1:$P$133,4,FALSE())</f>
        <v>82</v>
      </c>
      <c r="T191" s="0" t="n">
        <f aca="false">VLOOKUP(B191,'Team Data'!$A$1:$P$133,5,FALSE())</f>
        <v>179</v>
      </c>
      <c r="U191" s="0" t="n">
        <f aca="false">IF(K191=1,(MIN(35,(C191-D191)))*(O191/(O191+P191))*(S191/(S191+T191)),(MAX(-35,(C191-D191)))*(IF(P191=0,0.1,(P191/(O191+P191))))*(T191/(S191+T191)))</f>
        <v>0.733077905491699</v>
      </c>
      <c r="V191" s="0" t="n">
        <f aca="false">IF(L191=1,(MIN(35,(D191-C191)))*(M191/(M191+N191))*(Q191/(Q191+R191)),(MAX(-35,(D191-C191)))*(IF(N191=0,0.1,(N191/(M191+N191))))*(R191/(R191+Q191)))</f>
        <v>-6.1917211328976</v>
      </c>
    </row>
    <row r="192" customFormat="false" ht="15" hidden="false" customHeight="false" outlineLevel="0" collapsed="false">
      <c r="A192" s="0" t="s">
        <v>59</v>
      </c>
      <c r="B192" s="0" t="s">
        <v>115</v>
      </c>
      <c r="C192" s="0" t="n">
        <v>20</v>
      </c>
      <c r="D192" s="0" t="n">
        <v>14</v>
      </c>
      <c r="E192" s="0" t="n">
        <v>226</v>
      </c>
      <c r="F192" s="0" t="n">
        <v>208</v>
      </c>
      <c r="G192" s="0" t="n">
        <v>201</v>
      </c>
      <c r="H192" s="0" t="n">
        <v>131</v>
      </c>
      <c r="I192" s="0" t="n">
        <v>1</v>
      </c>
      <c r="J192" s="0" t="n">
        <v>1</v>
      </c>
      <c r="K192" s="0" t="n">
        <v>1</v>
      </c>
      <c r="L192" s="0" t="n">
        <v>0</v>
      </c>
      <c r="M192" s="0" t="n">
        <f aca="false">VLOOKUP(A192,'Team Data'!$A$1:$P$133,2,FALSE())</f>
        <v>8</v>
      </c>
      <c r="N192" s="0" t="n">
        <f aca="false">VLOOKUP(A192,'Team Data'!$A$1:$P$133,3,FALSE())</f>
        <v>5</v>
      </c>
      <c r="O192" s="0" t="n">
        <f aca="false">VLOOKUP(B192,'Team Data'!$A$1:$P$133,2,FALSE())</f>
        <v>9</v>
      </c>
      <c r="P192" s="0" t="n">
        <f aca="false">VLOOKUP(B192,'Team Data'!$A$1:$P$133,3,FALSE())</f>
        <v>5</v>
      </c>
      <c r="Q192" s="0" t="n">
        <f aca="false">VLOOKUP(A192,'Team Data'!$A$1:$P$133,4,FALSE())</f>
        <v>93</v>
      </c>
      <c r="R192" s="0" t="n">
        <f aca="false">VLOOKUP(A192,'Team Data'!$A$1:$P$133,5,FALSE())</f>
        <v>71</v>
      </c>
      <c r="S192" s="0" t="n">
        <f aca="false">VLOOKUP(B192,'Team Data'!$A$1:$P$133,4,FALSE())</f>
        <v>98</v>
      </c>
      <c r="T192" s="0" t="n">
        <f aca="false">VLOOKUP(B192,'Team Data'!$A$1:$P$133,5,FALSE())</f>
        <v>188</v>
      </c>
      <c r="U192" s="0" t="n">
        <f aca="false">IF(K192=1,(MIN(35,(C192-D192)))*(O192/(O192+P192))*(S192/(S192+T192)),(MAX(-35,(C192-D192)))*(IF(P192=0,0.1,(P192/(O192+P192))))*(T192/(S192+T192)))</f>
        <v>1.32167832167832</v>
      </c>
      <c r="V192" s="0" t="n">
        <f aca="false">IF(L192=1,(MIN(35,(D192-C192)))*(M192/(M192+N192))*(Q192/(Q192+R192)),(MAX(-35,(D192-C192)))*(IF(N192=0,0.1,(N192/(M192+N192))))*(R192/(R192+Q192)))</f>
        <v>-0.99906191369606</v>
      </c>
    </row>
    <row r="193" customFormat="false" ht="15" hidden="false" customHeight="false" outlineLevel="0" collapsed="false">
      <c r="A193" s="0" t="s">
        <v>198</v>
      </c>
      <c r="B193" s="0" t="s">
        <v>104</v>
      </c>
      <c r="C193" s="0" t="n">
        <v>14</v>
      </c>
      <c r="D193" s="0" t="n">
        <v>30</v>
      </c>
      <c r="E193" s="0" t="n">
        <v>27</v>
      </c>
      <c r="F193" s="0" t="n">
        <v>146</v>
      </c>
      <c r="G193" s="0" t="n">
        <v>83</v>
      </c>
      <c r="H193" s="0" t="n">
        <v>215</v>
      </c>
      <c r="I193" s="0" t="n">
        <v>0</v>
      </c>
      <c r="J193" s="0" t="n">
        <v>3</v>
      </c>
      <c r="K193" s="0" t="n">
        <v>0</v>
      </c>
      <c r="L193" s="0" t="n">
        <v>1</v>
      </c>
      <c r="M193" s="0" t="n">
        <f aca="false">VLOOKUP(A193,'Team Data'!$A$1:$P$133,2,FALSE())</f>
        <v>8</v>
      </c>
      <c r="N193" s="0" t="n">
        <f aca="false">VLOOKUP(A193,'Team Data'!$A$1:$P$133,3,FALSE())</f>
        <v>112</v>
      </c>
      <c r="O193" s="0" t="n">
        <f aca="false">VLOOKUP(B193,'Team Data'!$A$1:$P$133,2,FALSE())</f>
        <v>3</v>
      </c>
      <c r="P193" s="0" t="n">
        <f aca="false">VLOOKUP(B193,'Team Data'!$A$1:$P$133,3,FALSE())</f>
        <v>9</v>
      </c>
      <c r="Q193" s="0" t="n">
        <f aca="false">VLOOKUP(A193,'Team Data'!$A$1:$P$133,4,FALSE())</f>
        <v>805</v>
      </c>
      <c r="R193" s="0" t="n">
        <f aca="false">VLOOKUP(A193,'Team Data'!$A$1:$P$133,5,FALSE())</f>
        <v>725</v>
      </c>
      <c r="S193" s="0" t="n">
        <f aca="false">VLOOKUP(B193,'Team Data'!$A$1:$P$133,4,FALSE())</f>
        <v>73</v>
      </c>
      <c r="T193" s="0" t="n">
        <f aca="false">VLOOKUP(B193,'Team Data'!$A$1:$P$133,5,FALSE())</f>
        <v>186</v>
      </c>
      <c r="U193" s="0" t="n">
        <f aca="false">IF(K193=1,(MIN(35,(C193-D193)))*(O193/(O193+P193))*(S193/(S193+T193)),(MAX(-35,(C193-D193)))*(IF(P193=0,0.1,(P193/(O193+P193))))*(T193/(S193+T193)))</f>
        <v>-8.61776061776062</v>
      </c>
      <c r="V193" s="0" t="n">
        <f aca="false">IF(L193=1,(MIN(35,(D193-C193)))*(M193/(M193+N193))*(Q193/(Q193+R193)),(MAX(-35,(D193-C193)))*(IF(N193=0,0.1,(N193/(M193+N193))))*(R193/(R193+Q193)))</f>
        <v>0.561220043572985</v>
      </c>
    </row>
    <row r="194" customFormat="false" ht="15" hidden="false" customHeight="false" outlineLevel="0" collapsed="false">
      <c r="A194" s="0" t="s">
        <v>198</v>
      </c>
      <c r="B194" s="0" t="s">
        <v>112</v>
      </c>
      <c r="C194" s="0" t="n">
        <v>0</v>
      </c>
      <c r="D194" s="0" t="n">
        <v>52</v>
      </c>
      <c r="E194" s="0" t="n">
        <v>60</v>
      </c>
      <c r="F194" s="0" t="n">
        <v>159</v>
      </c>
      <c r="G194" s="0" t="n">
        <v>49</v>
      </c>
      <c r="H194" s="0" t="n">
        <v>399</v>
      </c>
      <c r="I194" s="0" t="n">
        <v>1</v>
      </c>
      <c r="J194" s="0" t="n">
        <v>2</v>
      </c>
      <c r="K194" s="0" t="n">
        <v>0</v>
      </c>
      <c r="L194" s="0" t="n">
        <v>1</v>
      </c>
      <c r="M194" s="0" t="n">
        <f aca="false">VLOOKUP(A194,'Team Data'!$A$1:$P$133,2,FALSE())</f>
        <v>8</v>
      </c>
      <c r="N194" s="0" t="n">
        <f aca="false">VLOOKUP(A194,'Team Data'!$A$1:$P$133,3,FALSE())</f>
        <v>112</v>
      </c>
      <c r="O194" s="0" t="n">
        <f aca="false">VLOOKUP(B194,'Team Data'!$A$1:$P$133,2,FALSE())</f>
        <v>12</v>
      </c>
      <c r="P194" s="0" t="n">
        <f aca="false">VLOOKUP(B194,'Team Data'!$A$1:$P$133,3,FALSE())</f>
        <v>2</v>
      </c>
      <c r="Q194" s="0" t="n">
        <f aca="false">VLOOKUP(A194,'Team Data'!$A$1:$P$133,4,FALSE())</f>
        <v>805</v>
      </c>
      <c r="R194" s="0" t="n">
        <f aca="false">VLOOKUP(A194,'Team Data'!$A$1:$P$133,5,FALSE())</f>
        <v>725</v>
      </c>
      <c r="S194" s="0" t="n">
        <f aca="false">VLOOKUP(B194,'Team Data'!$A$1:$P$133,4,FALSE())</f>
        <v>100</v>
      </c>
      <c r="T194" s="0" t="n">
        <f aca="false">VLOOKUP(B194,'Team Data'!$A$1:$P$133,5,FALSE())</f>
        <v>190</v>
      </c>
      <c r="U194" s="0" t="n">
        <f aca="false">IF(K194=1,(MIN(35,(C194-D194)))*(O194/(O194+P194))*(S194/(S194+T194)),(MAX(-35,(C194-D194)))*(IF(P194=0,0.1,(P194/(O194+P194))))*(T194/(S194+T194)))</f>
        <v>-3.27586206896552</v>
      </c>
      <c r="V194" s="0" t="n">
        <f aca="false">IF(L194=1,(MIN(35,(D194-C194)))*(M194/(M194+N194))*(Q194/(Q194+R194)),(MAX(-35,(D194-C194)))*(IF(N194=0,0.1,(N194/(M194+N194))))*(R194/(R194+Q194)))</f>
        <v>1.2276688453159</v>
      </c>
    </row>
    <row r="195" customFormat="false" ht="15" hidden="false" customHeight="false" outlineLevel="0" collapsed="false">
      <c r="A195" s="0" t="s">
        <v>198</v>
      </c>
      <c r="B195" s="0" t="s">
        <v>95</v>
      </c>
      <c r="C195" s="0" t="n">
        <v>16</v>
      </c>
      <c r="D195" s="0" t="n">
        <v>45</v>
      </c>
      <c r="E195" s="0" t="n">
        <v>104</v>
      </c>
      <c r="F195" s="0" t="n">
        <v>208</v>
      </c>
      <c r="G195" s="0" t="n">
        <v>148</v>
      </c>
      <c r="H195" s="0" t="n">
        <v>245</v>
      </c>
      <c r="I195" s="0" t="n">
        <v>2</v>
      </c>
      <c r="J195" s="0" t="n">
        <v>3</v>
      </c>
      <c r="K195" s="0" t="n">
        <v>0</v>
      </c>
      <c r="L195" s="0" t="n">
        <v>1</v>
      </c>
      <c r="M195" s="0" t="n">
        <f aca="false">VLOOKUP(A195,'Team Data'!$A$1:$P$133,2,FALSE())</f>
        <v>8</v>
      </c>
      <c r="N195" s="0" t="n">
        <f aca="false">VLOOKUP(A195,'Team Data'!$A$1:$P$133,3,FALSE())</f>
        <v>112</v>
      </c>
      <c r="O195" s="0" t="n">
        <f aca="false">VLOOKUP(B195,'Team Data'!$A$1:$P$133,2,FALSE())</f>
        <v>7</v>
      </c>
      <c r="P195" s="0" t="n">
        <f aca="false">VLOOKUP(B195,'Team Data'!$A$1:$P$133,3,FALSE())</f>
        <v>6</v>
      </c>
      <c r="Q195" s="0" t="n">
        <f aca="false">VLOOKUP(A195,'Team Data'!$A$1:$P$133,4,FALSE())</f>
        <v>805</v>
      </c>
      <c r="R195" s="0" t="n">
        <f aca="false">VLOOKUP(A195,'Team Data'!$A$1:$P$133,5,FALSE())</f>
        <v>725</v>
      </c>
      <c r="S195" s="0" t="n">
        <f aca="false">VLOOKUP(B195,'Team Data'!$A$1:$P$133,4,FALSE())</f>
        <v>99</v>
      </c>
      <c r="T195" s="0" t="n">
        <f aca="false">VLOOKUP(B195,'Team Data'!$A$1:$P$133,5,FALSE())</f>
        <v>179</v>
      </c>
      <c r="U195" s="0" t="n">
        <f aca="false">IF(K195=1,(MIN(35,(C195-D195)))*(O195/(O195+P195))*(S195/(S195+T195)),(MAX(-35,(C195-D195)))*(IF(P195=0,0.1,(P195/(O195+P195))))*(T195/(S195+T195)))</f>
        <v>-8.61815163254012</v>
      </c>
      <c r="V195" s="0" t="n">
        <f aca="false">IF(L195=1,(MIN(35,(D195-C195)))*(M195/(M195+N195))*(Q195/(Q195+R195)),(MAX(-35,(D195-C195)))*(IF(N195=0,0.1,(N195/(M195+N195))))*(R195/(R195+Q195)))</f>
        <v>1.01721132897604</v>
      </c>
    </row>
    <row r="196" customFormat="false" ht="15" hidden="false" customHeight="false" outlineLevel="0" collapsed="false">
      <c r="A196" s="0" t="s">
        <v>62</v>
      </c>
      <c r="B196" s="0" t="s">
        <v>72</v>
      </c>
      <c r="C196" s="0" t="n">
        <v>37</v>
      </c>
      <c r="D196" s="0" t="n">
        <v>13</v>
      </c>
      <c r="E196" s="0" t="n">
        <v>91</v>
      </c>
      <c r="F196" s="0" t="n">
        <v>215</v>
      </c>
      <c r="G196" s="0" t="n">
        <v>415</v>
      </c>
      <c r="H196" s="0" t="n">
        <v>99</v>
      </c>
      <c r="I196" s="0" t="n">
        <v>0</v>
      </c>
      <c r="J196" s="0" t="n">
        <v>3</v>
      </c>
      <c r="K196" s="0" t="n">
        <v>1</v>
      </c>
      <c r="L196" s="0" t="n">
        <v>0</v>
      </c>
      <c r="M196" s="0" t="n">
        <f aca="false">VLOOKUP(A196,'Team Data'!$A$1:$P$133,2,FALSE())</f>
        <v>7</v>
      </c>
      <c r="N196" s="0" t="n">
        <f aca="false">VLOOKUP(A196,'Team Data'!$A$1:$P$133,3,FALSE())</f>
        <v>6</v>
      </c>
      <c r="O196" s="0" t="n">
        <f aca="false">VLOOKUP(B196,'Team Data'!$A$1:$P$133,2,FALSE())</f>
        <v>4</v>
      </c>
      <c r="P196" s="0" t="n">
        <f aca="false">VLOOKUP(B196,'Team Data'!$A$1:$P$133,3,FALSE())</f>
        <v>8</v>
      </c>
      <c r="Q196" s="0" t="n">
        <f aca="false">VLOOKUP(A196,'Team Data'!$A$1:$P$133,4,FALSE())</f>
        <v>89</v>
      </c>
      <c r="R196" s="0" t="n">
        <f aca="false">VLOOKUP(A196,'Team Data'!$A$1:$P$133,5,FALSE())</f>
        <v>186</v>
      </c>
      <c r="S196" s="0" t="n">
        <f aca="false">VLOOKUP(B196,'Team Data'!$A$1:$P$133,4,FALSE())</f>
        <v>89</v>
      </c>
      <c r="T196" s="0" t="n">
        <f aca="false">VLOOKUP(B196,'Team Data'!$A$1:$P$133,5,FALSE())</f>
        <v>172</v>
      </c>
      <c r="U196" s="0" t="n">
        <f aca="false">IF(K196=1,(MIN(35,(C196-D196)))*(O196/(O196+P196))*(S196/(S196+T196)),(MAX(-35,(C196-D196)))*(IF(P196=0,0.1,(P196/(O196+P196))))*(T196/(S196+T196)))</f>
        <v>2.727969348659</v>
      </c>
      <c r="V196" s="0" t="n">
        <f aca="false">IF(L196=1,(MIN(35,(D196-C196)))*(M196/(M196+N196))*(Q196/(Q196+R196)),(MAX(-35,(D196-C196)))*(IF(N196=0,0.1,(N196/(M196+N196))))*(R196/(R196+Q196)))</f>
        <v>-7.49202797202797</v>
      </c>
    </row>
    <row r="197" customFormat="false" ht="15" hidden="false" customHeight="false" outlineLevel="0" collapsed="false">
      <c r="A197" s="0" t="s">
        <v>198</v>
      </c>
      <c r="B197" s="0" t="s">
        <v>121</v>
      </c>
      <c r="C197" s="0" t="n">
        <v>20</v>
      </c>
      <c r="D197" s="0" t="n">
        <v>42</v>
      </c>
      <c r="E197" s="0" t="n">
        <v>168</v>
      </c>
      <c r="F197" s="0" t="n">
        <v>205</v>
      </c>
      <c r="G197" s="0" t="n">
        <v>250</v>
      </c>
      <c r="H197" s="0" t="n">
        <v>219</v>
      </c>
      <c r="I197" s="0" t="n">
        <v>3</v>
      </c>
      <c r="J197" s="0" t="n">
        <v>1</v>
      </c>
      <c r="K197" s="0" t="n">
        <v>0</v>
      </c>
      <c r="L197" s="0" t="n">
        <v>1</v>
      </c>
      <c r="M197" s="0" t="n">
        <f aca="false">VLOOKUP(A197,'Team Data'!$A$1:$P$133,2,FALSE())</f>
        <v>8</v>
      </c>
      <c r="N197" s="0" t="n">
        <f aca="false">VLOOKUP(A197,'Team Data'!$A$1:$P$133,3,FALSE())</f>
        <v>112</v>
      </c>
      <c r="O197" s="0" t="n">
        <f aca="false">VLOOKUP(B197,'Team Data'!$A$1:$P$133,2,FALSE())</f>
        <v>1</v>
      </c>
      <c r="P197" s="0" t="n">
        <f aca="false">VLOOKUP(B197,'Team Data'!$A$1:$P$133,3,FALSE())</f>
        <v>11</v>
      </c>
      <c r="Q197" s="0" t="n">
        <f aca="false">VLOOKUP(A197,'Team Data'!$A$1:$P$133,4,FALSE())</f>
        <v>805</v>
      </c>
      <c r="R197" s="0" t="n">
        <f aca="false">VLOOKUP(A197,'Team Data'!$A$1:$P$133,5,FALSE())</f>
        <v>725</v>
      </c>
      <c r="S197" s="0" t="n">
        <f aca="false">VLOOKUP(B197,'Team Data'!$A$1:$P$133,4,FALSE())</f>
        <v>91</v>
      </c>
      <c r="T197" s="0" t="n">
        <f aca="false">VLOOKUP(B197,'Team Data'!$A$1:$P$133,5,FALSE())</f>
        <v>172</v>
      </c>
      <c r="U197" s="0" t="n">
        <f aca="false">IF(K197=1,(MIN(35,(C197-D197)))*(O197/(O197+P197))*(S197/(S197+T197)),(MAX(-35,(C197-D197)))*(IF(P197=0,0.1,(P197/(O197+P197))))*(T197/(S197+T197)))</f>
        <v>-13.1888466413181</v>
      </c>
      <c r="V197" s="0" t="n">
        <f aca="false">IF(L197=1,(MIN(35,(D197-C197)))*(M197/(M197+N197))*(Q197/(Q197+R197)),(MAX(-35,(D197-C197)))*(IF(N197=0,0.1,(N197/(M197+N197))))*(R197/(R197+Q197)))</f>
        <v>0.771677559912854</v>
      </c>
    </row>
    <row r="198" customFormat="false" ht="15" hidden="false" customHeight="false" outlineLevel="0" collapsed="false">
      <c r="A198" s="0" t="s">
        <v>198</v>
      </c>
      <c r="B198" s="0" t="s">
        <v>26</v>
      </c>
      <c r="C198" s="0" t="n">
        <v>10</v>
      </c>
      <c r="D198" s="0" t="n">
        <v>63</v>
      </c>
      <c r="E198" s="0" t="n">
        <v>142</v>
      </c>
      <c r="F198" s="0" t="n">
        <v>232</v>
      </c>
      <c r="G198" s="0" t="n">
        <v>111</v>
      </c>
      <c r="H198" s="0" t="n">
        <v>293</v>
      </c>
      <c r="I198" s="0" t="n">
        <v>2</v>
      </c>
      <c r="J198" s="0" t="n">
        <v>1</v>
      </c>
      <c r="K198" s="0" t="n">
        <v>0</v>
      </c>
      <c r="L198" s="0" t="n">
        <v>1</v>
      </c>
      <c r="M198" s="0" t="n">
        <f aca="false">VLOOKUP(A198,'Team Data'!$A$1:$P$133,2,FALSE())</f>
        <v>8</v>
      </c>
      <c r="N198" s="0" t="n">
        <f aca="false">VLOOKUP(A198,'Team Data'!$A$1:$P$133,3,FALSE())</f>
        <v>112</v>
      </c>
      <c r="O198" s="0" t="n">
        <f aca="false">VLOOKUP(B198,'Team Data'!$A$1:$P$133,2,FALSE())</f>
        <v>9</v>
      </c>
      <c r="P198" s="0" t="n">
        <f aca="false">VLOOKUP(B198,'Team Data'!$A$1:$P$133,3,FALSE())</f>
        <v>4</v>
      </c>
      <c r="Q198" s="0" t="n">
        <f aca="false">VLOOKUP(A198,'Team Data'!$A$1:$P$133,4,FALSE())</f>
        <v>805</v>
      </c>
      <c r="R198" s="0" t="n">
        <f aca="false">VLOOKUP(A198,'Team Data'!$A$1:$P$133,5,FALSE())</f>
        <v>725</v>
      </c>
      <c r="S198" s="0" t="n">
        <f aca="false">VLOOKUP(B198,'Team Data'!$A$1:$P$133,4,FALSE())</f>
        <v>82</v>
      </c>
      <c r="T198" s="0" t="n">
        <f aca="false">VLOOKUP(B198,'Team Data'!$A$1:$P$133,5,FALSE())</f>
        <v>191</v>
      </c>
      <c r="U198" s="0" t="n">
        <f aca="false">IF(K198=1,(MIN(35,(C198-D198)))*(O198/(O198+P198))*(S198/(S198+T198)),(MAX(-35,(C198-D198)))*(IF(P198=0,0.1,(P198/(O198+P198))))*(T198/(S198+T198)))</f>
        <v>-7.534516765286</v>
      </c>
      <c r="V198" s="0" t="n">
        <f aca="false">IF(L198=1,(MIN(35,(D198-C198)))*(M198/(M198+N198))*(Q198/(Q198+R198)),(MAX(-35,(D198-C198)))*(IF(N198=0,0.1,(N198/(M198+N198))))*(R198/(R198+Q198)))</f>
        <v>1.2276688453159</v>
      </c>
    </row>
    <row r="199" customFormat="false" ht="15" hidden="false" customHeight="false" outlineLevel="0" collapsed="false">
      <c r="A199" s="0" t="s">
        <v>79</v>
      </c>
      <c r="B199" s="0" t="s">
        <v>113</v>
      </c>
      <c r="C199" s="0" t="n">
        <v>35</v>
      </c>
      <c r="D199" s="0" t="n">
        <v>38</v>
      </c>
      <c r="E199" s="0" t="n">
        <v>126</v>
      </c>
      <c r="F199" s="0" t="n">
        <v>107</v>
      </c>
      <c r="G199" s="0" t="n">
        <v>259</v>
      </c>
      <c r="H199" s="0" t="n">
        <v>322</v>
      </c>
      <c r="I199" s="0" t="n">
        <v>1</v>
      </c>
      <c r="J199" s="0" t="n">
        <v>2</v>
      </c>
      <c r="K199" s="0" t="n">
        <v>0</v>
      </c>
      <c r="L199" s="0" t="n">
        <v>1</v>
      </c>
      <c r="M199" s="0" t="n">
        <f aca="false">VLOOKUP(A199,'Team Data'!$A$1:$P$133,2,FALSE())</f>
        <v>3</v>
      </c>
      <c r="N199" s="0" t="n">
        <f aca="false">VLOOKUP(A199,'Team Data'!$A$1:$P$133,3,FALSE())</f>
        <v>9</v>
      </c>
      <c r="O199" s="0" t="n">
        <f aca="false">VLOOKUP(B199,'Team Data'!$A$1:$P$133,2,FALSE())</f>
        <v>5</v>
      </c>
      <c r="P199" s="0" t="n">
        <f aca="false">VLOOKUP(B199,'Team Data'!$A$1:$P$133,3,FALSE())</f>
        <v>7</v>
      </c>
      <c r="Q199" s="0" t="n">
        <f aca="false">VLOOKUP(A199,'Team Data'!$A$1:$P$133,4,FALSE())</f>
        <v>75</v>
      </c>
      <c r="R199" s="0" t="n">
        <f aca="false">VLOOKUP(A199,'Team Data'!$A$1:$P$133,5,FALSE())</f>
        <v>184</v>
      </c>
      <c r="S199" s="0" t="n">
        <f aca="false">VLOOKUP(B199,'Team Data'!$A$1:$P$133,4,FALSE())</f>
        <v>77</v>
      </c>
      <c r="T199" s="0" t="n">
        <f aca="false">VLOOKUP(B199,'Team Data'!$A$1:$P$133,5,FALSE())</f>
        <v>183</v>
      </c>
      <c r="U199" s="0" t="n">
        <f aca="false">IF(K199=1,(MIN(35,(C199-D199)))*(O199/(O199+P199))*(S199/(S199+T199)),(MAX(-35,(C199-D199)))*(IF(P199=0,0.1,(P199/(O199+P199))))*(T199/(S199+T199)))</f>
        <v>-1.23173076923077</v>
      </c>
      <c r="V199" s="0" t="n">
        <f aca="false">IF(L199=1,(MIN(35,(D199-C199)))*(M199/(M199+N199))*(Q199/(Q199+R199)),(MAX(-35,(D199-C199)))*(IF(N199=0,0.1,(N199/(M199+N199))))*(R199/(R199+Q199)))</f>
        <v>0.217181467181467</v>
      </c>
    </row>
    <row r="200" customFormat="false" ht="15" hidden="false" customHeight="false" outlineLevel="0" collapsed="false">
      <c r="A200" s="0" t="s">
        <v>134</v>
      </c>
      <c r="B200" s="0" t="s">
        <v>17</v>
      </c>
      <c r="C200" s="0" t="n">
        <v>37</v>
      </c>
      <c r="D200" s="0" t="n">
        <v>30</v>
      </c>
      <c r="E200" s="0" t="n">
        <v>207</v>
      </c>
      <c r="F200" s="0" t="n">
        <v>156</v>
      </c>
      <c r="G200" s="0" t="n">
        <v>230</v>
      </c>
      <c r="H200" s="0" t="n">
        <v>291</v>
      </c>
      <c r="I200" s="0" t="n">
        <v>2</v>
      </c>
      <c r="J200" s="0" t="n">
        <v>1</v>
      </c>
      <c r="K200" s="0" t="n">
        <v>1</v>
      </c>
      <c r="L200" s="0" t="n">
        <v>0</v>
      </c>
      <c r="M200" s="0" t="n">
        <f aca="false">VLOOKUP(A200,'Team Data'!$A$1:$P$133,2,FALSE())</f>
        <v>5</v>
      </c>
      <c r="N200" s="0" t="n">
        <f aca="false">VLOOKUP(A200,'Team Data'!$A$1:$P$133,3,FALSE())</f>
        <v>7</v>
      </c>
      <c r="O200" s="0" t="n">
        <f aca="false">VLOOKUP(B200,'Team Data'!$A$1:$P$133,2,FALSE())</f>
        <v>5</v>
      </c>
      <c r="P200" s="0" t="n">
        <f aca="false">VLOOKUP(B200,'Team Data'!$A$1:$P$133,3,FALSE())</f>
        <v>7</v>
      </c>
      <c r="Q200" s="0" t="n">
        <f aca="false">VLOOKUP(A200,'Team Data'!$A$1:$P$133,4,FALSE())</f>
        <v>81</v>
      </c>
      <c r="R200" s="0" t="n">
        <f aca="false">VLOOKUP(A200,'Team Data'!$A$1:$P$133,5,FALSE())</f>
        <v>179</v>
      </c>
      <c r="S200" s="0" t="n">
        <f aca="false">VLOOKUP(B200,'Team Data'!$A$1:$P$133,4,FALSE())</f>
        <v>82</v>
      </c>
      <c r="T200" s="0" t="n">
        <f aca="false">VLOOKUP(B200,'Team Data'!$A$1:$P$133,5,FALSE())</f>
        <v>179</v>
      </c>
      <c r="U200" s="0" t="n">
        <f aca="false">IF(K200=1,(MIN(35,(C200-D200)))*(O200/(O200+P200))*(S200/(S200+T200)),(MAX(-35,(C200-D200)))*(IF(P200=0,0.1,(P200/(O200+P200))))*(T200/(S200+T200)))</f>
        <v>0.916347381864623</v>
      </c>
      <c r="V200" s="0" t="n">
        <f aca="false">IF(L200=1,(MIN(35,(D200-C200)))*(M200/(M200+N200))*(Q200/(Q200+R200)),(MAX(-35,(D200-C200)))*(IF(N200=0,0.1,(N200/(M200+N200))))*(R200/(R200+Q200)))</f>
        <v>-2.81121794871795</v>
      </c>
    </row>
    <row r="201" customFormat="false" ht="15" hidden="false" customHeight="false" outlineLevel="0" collapsed="false">
      <c r="A201" s="0" t="s">
        <v>198</v>
      </c>
      <c r="B201" s="0" t="s">
        <v>21</v>
      </c>
      <c r="C201" s="0" t="n">
        <v>59</v>
      </c>
      <c r="D201" s="0" t="n">
        <v>57</v>
      </c>
      <c r="E201" s="0" t="n">
        <v>118</v>
      </c>
      <c r="F201" s="0" t="n">
        <v>148</v>
      </c>
      <c r="G201" s="0" t="n">
        <v>324</v>
      </c>
      <c r="H201" s="0" t="n">
        <v>283</v>
      </c>
      <c r="I201" s="0" t="n">
        <v>2</v>
      </c>
      <c r="J201" s="0" t="n">
        <v>1</v>
      </c>
      <c r="K201" s="0" t="n">
        <v>1</v>
      </c>
      <c r="L201" s="0" t="n">
        <v>0</v>
      </c>
      <c r="M201" s="0" t="n">
        <f aca="false">VLOOKUP(A201,'Team Data'!$A$1:$P$133,2,FALSE())</f>
        <v>8</v>
      </c>
      <c r="N201" s="0" t="n">
        <f aca="false">VLOOKUP(A201,'Team Data'!$A$1:$P$133,3,FALSE())</f>
        <v>112</v>
      </c>
      <c r="O201" s="0" t="n">
        <f aca="false">VLOOKUP(B201,'Team Data'!$A$1:$P$133,2,FALSE())</f>
        <v>6</v>
      </c>
      <c r="P201" s="0" t="n">
        <f aca="false">VLOOKUP(B201,'Team Data'!$A$1:$P$133,3,FALSE())</f>
        <v>7</v>
      </c>
      <c r="Q201" s="0" t="n">
        <f aca="false">VLOOKUP(A201,'Team Data'!$A$1:$P$133,4,FALSE())</f>
        <v>805</v>
      </c>
      <c r="R201" s="0" t="n">
        <f aca="false">VLOOKUP(A201,'Team Data'!$A$1:$P$133,5,FALSE())</f>
        <v>725</v>
      </c>
      <c r="S201" s="0" t="n">
        <f aca="false">VLOOKUP(B201,'Team Data'!$A$1:$P$133,4,FALSE())</f>
        <v>90</v>
      </c>
      <c r="T201" s="0" t="n">
        <f aca="false">VLOOKUP(B201,'Team Data'!$A$1:$P$133,5,FALSE())</f>
        <v>184</v>
      </c>
      <c r="U201" s="0" t="n">
        <f aca="false">IF(K201=1,(MIN(35,(C201-D201)))*(O201/(O201+P201))*(S201/(S201+T201)),(MAX(-35,(C201-D201)))*(IF(P201=0,0.1,(P201/(O201+P201))))*(T201/(S201+T201)))</f>
        <v>0.303200449185851</v>
      </c>
      <c r="V201" s="0" t="n">
        <f aca="false">IF(L201=1,(MIN(35,(D201-C201)))*(M201/(M201+N201))*(Q201/(Q201+R201)),(MAX(-35,(D201-C201)))*(IF(N201=0,0.1,(N201/(M201+N201))))*(R201/(R201+Q201)))</f>
        <v>-0.884531590413943</v>
      </c>
    </row>
    <row r="202" customFormat="false" ht="15" hidden="false" customHeight="false" outlineLevel="0" collapsed="false">
      <c r="A202" s="0" t="s">
        <v>198</v>
      </c>
      <c r="B202" s="0" t="s">
        <v>22</v>
      </c>
      <c r="C202" s="0" t="n">
        <v>37</v>
      </c>
      <c r="D202" s="0" t="n">
        <v>31</v>
      </c>
      <c r="E202" s="0" t="n">
        <v>219</v>
      </c>
      <c r="F202" s="0" t="n">
        <v>159</v>
      </c>
      <c r="G202" s="0" t="n">
        <v>238</v>
      </c>
      <c r="H202" s="0" t="n">
        <v>305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f aca="false">VLOOKUP(A202,'Team Data'!$A$1:$P$133,2,FALSE())</f>
        <v>8</v>
      </c>
      <c r="N202" s="0" t="n">
        <f aca="false">VLOOKUP(A202,'Team Data'!$A$1:$P$133,3,FALSE())</f>
        <v>112</v>
      </c>
      <c r="O202" s="0" t="n">
        <f aca="false">VLOOKUP(B202,'Team Data'!$A$1:$P$133,2,FALSE())</f>
        <v>7</v>
      </c>
      <c r="P202" s="0" t="n">
        <f aca="false">VLOOKUP(B202,'Team Data'!$A$1:$P$133,3,FALSE())</f>
        <v>6</v>
      </c>
      <c r="Q202" s="0" t="n">
        <f aca="false">VLOOKUP(A202,'Team Data'!$A$1:$P$133,4,FALSE())</f>
        <v>805</v>
      </c>
      <c r="R202" s="0" t="n">
        <f aca="false">VLOOKUP(A202,'Team Data'!$A$1:$P$133,5,FALSE())</f>
        <v>725</v>
      </c>
      <c r="S202" s="0" t="n">
        <f aca="false">VLOOKUP(B202,'Team Data'!$A$1:$P$133,4,FALSE())</f>
        <v>83</v>
      </c>
      <c r="T202" s="0" t="n">
        <f aca="false">VLOOKUP(B202,'Team Data'!$A$1:$P$133,5,FALSE())</f>
        <v>191</v>
      </c>
      <c r="U202" s="0" t="n">
        <f aca="false">IF(K202=1,(MIN(35,(C202-D202)))*(O202/(O202+P202))*(S202/(S202+T202)),(MAX(-35,(C202-D202)))*(IF(P202=0,0.1,(P202/(O202+P202))))*(T202/(S202+T202)))</f>
        <v>0.978663672094329</v>
      </c>
      <c r="V202" s="0" t="n">
        <f aca="false">IF(L202=1,(MIN(35,(D202-C202)))*(M202/(M202+N202))*(Q202/(Q202+R202)),(MAX(-35,(D202-C202)))*(IF(N202=0,0.1,(N202/(M202+N202))))*(R202/(R202+Q202)))</f>
        <v>-2.65359477124183</v>
      </c>
    </row>
    <row r="203" customFormat="false" ht="15" hidden="false" customHeight="false" outlineLevel="0" collapsed="false">
      <c r="A203" s="0" t="s">
        <v>98</v>
      </c>
      <c r="B203" s="0" t="s">
        <v>24</v>
      </c>
      <c r="C203" s="0" t="n">
        <v>38</v>
      </c>
      <c r="D203" s="0" t="n">
        <v>24</v>
      </c>
      <c r="E203" s="0" t="n">
        <v>148</v>
      </c>
      <c r="F203" s="0" t="n">
        <v>81</v>
      </c>
      <c r="G203" s="0" t="n">
        <v>354</v>
      </c>
      <c r="H203" s="0" t="n">
        <v>267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f aca="false">VLOOKUP(A203,'Team Data'!$A$1:$P$133,2,FALSE())</f>
        <v>10</v>
      </c>
      <c r="N203" s="0" t="n">
        <f aca="false">VLOOKUP(A203,'Team Data'!$A$1:$P$133,3,FALSE())</f>
        <v>3</v>
      </c>
      <c r="O203" s="0" t="n">
        <f aca="false">VLOOKUP(B203,'Team Data'!$A$1:$P$133,2,FALSE())</f>
        <v>4</v>
      </c>
      <c r="P203" s="0" t="n">
        <f aca="false">VLOOKUP(B203,'Team Data'!$A$1:$P$133,3,FALSE())</f>
        <v>8</v>
      </c>
      <c r="Q203" s="0" t="n">
        <f aca="false">VLOOKUP(A203,'Team Data'!$A$1:$P$133,4,FALSE())</f>
        <v>78</v>
      </c>
      <c r="R203" s="0" t="n">
        <f aca="false">VLOOKUP(A203,'Team Data'!$A$1:$P$133,5,FALSE())</f>
        <v>194</v>
      </c>
      <c r="S203" s="0" t="n">
        <f aca="false">VLOOKUP(B203,'Team Data'!$A$1:$P$133,4,FALSE())</f>
        <v>82</v>
      </c>
      <c r="T203" s="0" t="n">
        <f aca="false">VLOOKUP(B203,'Team Data'!$A$1:$P$133,5,FALSE())</f>
        <v>178</v>
      </c>
      <c r="U203" s="0" t="n">
        <f aca="false">IF(K203=1,(MIN(35,(C203-D203)))*(O203/(O203+P203))*(S203/(S203+T203)),(MAX(-35,(C203-D203)))*(IF(P203=0,0.1,(P203/(O203+P203))))*(T203/(S203+T203)))</f>
        <v>1.47179487179487</v>
      </c>
      <c r="V203" s="0" t="n">
        <f aca="false">IF(L203=1,(MIN(35,(D203-C203)))*(M203/(M203+N203))*(Q203/(Q203+R203)),(MAX(-35,(D203-C203)))*(IF(N203=0,0.1,(N203/(M203+N203))))*(R203/(R203+Q203)))</f>
        <v>-2.30429864253394</v>
      </c>
    </row>
    <row r="204" customFormat="false" ht="15" hidden="false" customHeight="false" outlineLevel="0" collapsed="false">
      <c r="A204" s="0" t="s">
        <v>33</v>
      </c>
      <c r="B204" s="0" t="s">
        <v>56</v>
      </c>
      <c r="C204" s="0" t="n">
        <v>21</v>
      </c>
      <c r="D204" s="0" t="n">
        <v>49</v>
      </c>
      <c r="E204" s="0" t="n">
        <v>43</v>
      </c>
      <c r="F204" s="0" t="n">
        <v>144</v>
      </c>
      <c r="G204" s="0" t="n">
        <v>323</v>
      </c>
      <c r="H204" s="0" t="n">
        <v>310</v>
      </c>
      <c r="I204" s="0" t="n">
        <v>5</v>
      </c>
      <c r="J204" s="0" t="n">
        <v>0</v>
      </c>
      <c r="K204" s="0" t="n">
        <v>0</v>
      </c>
      <c r="L204" s="0" t="n">
        <v>1</v>
      </c>
      <c r="M204" s="0" t="n">
        <f aca="false">VLOOKUP(A204,'Team Data'!$A$1:$P$133,2,FALSE())</f>
        <v>9</v>
      </c>
      <c r="N204" s="0" t="n">
        <f aca="false">VLOOKUP(A204,'Team Data'!$A$1:$P$133,3,FALSE())</f>
        <v>4</v>
      </c>
      <c r="O204" s="0" t="n">
        <f aca="false">VLOOKUP(B204,'Team Data'!$A$1:$P$133,2,FALSE())</f>
        <v>6</v>
      </c>
      <c r="P204" s="0" t="n">
        <f aca="false">VLOOKUP(B204,'Team Data'!$A$1:$P$133,3,FALSE())</f>
        <v>7</v>
      </c>
      <c r="Q204" s="0" t="n">
        <f aca="false">VLOOKUP(A204,'Team Data'!$A$1:$P$133,4,FALSE())</f>
        <v>65</v>
      </c>
      <c r="R204" s="0" t="n">
        <f aca="false">VLOOKUP(A204,'Team Data'!$A$1:$P$133,5,FALSE())</f>
        <v>203</v>
      </c>
      <c r="S204" s="0" t="n">
        <f aca="false">VLOOKUP(B204,'Team Data'!$A$1:$P$133,4,FALSE())</f>
        <v>95</v>
      </c>
      <c r="T204" s="0" t="n">
        <f aca="false">VLOOKUP(B204,'Team Data'!$A$1:$P$133,5,FALSE())</f>
        <v>179</v>
      </c>
      <c r="U204" s="0" t="n">
        <f aca="false">IF(K204=1,(MIN(35,(C204-D204)))*(O204/(O204+P204))*(S204/(S204+T204)),(MAX(-35,(C204-D204)))*(IF(P204=0,0.1,(P204/(O204+P204))))*(T204/(S204+T204)))</f>
        <v>-9.84952274003369</v>
      </c>
      <c r="V204" s="0" t="n">
        <f aca="false">IF(L204=1,(MIN(35,(D204-C204)))*(M204/(M204+N204))*(Q204/(Q204+R204)),(MAX(-35,(D204-C204)))*(IF(N204=0,0.1,(N204/(M204+N204))))*(R204/(R204+Q204)))</f>
        <v>4.70149253731343</v>
      </c>
    </row>
    <row r="205" customFormat="false" ht="15" hidden="false" customHeight="false" outlineLevel="0" collapsed="false">
      <c r="A205" s="0" t="s">
        <v>198</v>
      </c>
      <c r="B205" s="0" t="s">
        <v>64</v>
      </c>
      <c r="C205" s="0" t="n">
        <v>14</v>
      </c>
      <c r="D205" s="0" t="n">
        <v>31</v>
      </c>
      <c r="E205" s="0" t="n">
        <v>40</v>
      </c>
      <c r="F205" s="0" t="n">
        <v>216</v>
      </c>
      <c r="G205" s="0" t="n">
        <v>179</v>
      </c>
      <c r="H205" s="0" t="n">
        <v>192</v>
      </c>
      <c r="I205" s="0" t="n">
        <v>2</v>
      </c>
      <c r="J205" s="0" t="n">
        <v>3</v>
      </c>
      <c r="K205" s="0" t="n">
        <v>0</v>
      </c>
      <c r="L205" s="0" t="n">
        <v>1</v>
      </c>
      <c r="M205" s="0" t="n">
        <f aca="false">VLOOKUP(A205,'Team Data'!$A$1:$P$133,2,FALSE())</f>
        <v>8</v>
      </c>
      <c r="N205" s="0" t="n">
        <f aca="false">VLOOKUP(A205,'Team Data'!$A$1:$P$133,3,FALSE())</f>
        <v>112</v>
      </c>
      <c r="O205" s="0" t="n">
        <f aca="false">VLOOKUP(B205,'Team Data'!$A$1:$P$133,2,FALSE())</f>
        <v>6</v>
      </c>
      <c r="P205" s="0" t="n">
        <f aca="false">VLOOKUP(B205,'Team Data'!$A$1:$P$133,3,FALSE())</f>
        <v>7</v>
      </c>
      <c r="Q205" s="0" t="n">
        <f aca="false">VLOOKUP(A205,'Team Data'!$A$1:$P$133,4,FALSE())</f>
        <v>805</v>
      </c>
      <c r="R205" s="0" t="n">
        <f aca="false">VLOOKUP(A205,'Team Data'!$A$1:$P$133,5,FALSE())</f>
        <v>725</v>
      </c>
      <c r="S205" s="0" t="n">
        <f aca="false">VLOOKUP(B205,'Team Data'!$A$1:$P$133,4,FALSE())</f>
        <v>75</v>
      </c>
      <c r="T205" s="0" t="n">
        <f aca="false">VLOOKUP(B205,'Team Data'!$A$1:$P$133,5,FALSE())</f>
        <v>196</v>
      </c>
      <c r="U205" s="0" t="n">
        <f aca="false">IF(K205=1,(MIN(35,(C205-D205)))*(O205/(O205+P205))*(S205/(S205+T205)),(MAX(-35,(C205-D205)))*(IF(P205=0,0.1,(P205/(O205+P205))))*(T205/(S205+T205)))</f>
        <v>-6.62049389724666</v>
      </c>
      <c r="V205" s="0" t="n">
        <f aca="false">IF(L205=1,(MIN(35,(D205-C205)))*(M205/(M205+N205))*(Q205/(Q205+R205)),(MAX(-35,(D205-C205)))*(IF(N205=0,0.1,(N205/(M205+N205))))*(R205/(R205+Q205)))</f>
        <v>0.596296296296296</v>
      </c>
    </row>
    <row r="206" customFormat="false" ht="15" hidden="false" customHeight="false" outlineLevel="0" collapsed="false">
      <c r="A206" s="0" t="s">
        <v>198</v>
      </c>
      <c r="B206" s="0" t="s">
        <v>49</v>
      </c>
      <c r="C206" s="0" t="n">
        <v>7</v>
      </c>
      <c r="D206" s="0" t="n">
        <v>63</v>
      </c>
      <c r="E206" s="0" t="n">
        <v>9</v>
      </c>
      <c r="F206" s="0" t="n">
        <v>235</v>
      </c>
      <c r="G206" s="0" t="n">
        <v>203</v>
      </c>
      <c r="H206" s="0" t="n">
        <v>227</v>
      </c>
      <c r="I206" s="0" t="n">
        <v>2</v>
      </c>
      <c r="J206" s="0" t="n">
        <v>0</v>
      </c>
      <c r="K206" s="0" t="n">
        <v>0</v>
      </c>
      <c r="L206" s="0" t="n">
        <v>1</v>
      </c>
      <c r="M206" s="0" t="n">
        <f aca="false">VLOOKUP(A206,'Team Data'!$A$1:$P$133,2,FALSE())</f>
        <v>8</v>
      </c>
      <c r="N206" s="0" t="n">
        <f aca="false">VLOOKUP(A206,'Team Data'!$A$1:$P$133,3,FALSE())</f>
        <v>112</v>
      </c>
      <c r="O206" s="0" t="n">
        <f aca="false">VLOOKUP(B206,'Team Data'!$A$1:$P$133,2,FALSE())</f>
        <v>8</v>
      </c>
      <c r="P206" s="0" t="n">
        <f aca="false">VLOOKUP(B206,'Team Data'!$A$1:$P$133,3,FALSE())</f>
        <v>3</v>
      </c>
      <c r="Q206" s="0" t="n">
        <f aca="false">VLOOKUP(A206,'Team Data'!$A$1:$P$133,4,FALSE())</f>
        <v>805</v>
      </c>
      <c r="R206" s="0" t="n">
        <f aca="false">VLOOKUP(A206,'Team Data'!$A$1:$P$133,5,FALSE())</f>
        <v>725</v>
      </c>
      <c r="S206" s="0" t="n">
        <f aca="false">VLOOKUP(B206,'Team Data'!$A$1:$P$133,4,FALSE())</f>
        <v>68</v>
      </c>
      <c r="T206" s="0" t="n">
        <f aca="false">VLOOKUP(B206,'Team Data'!$A$1:$P$133,5,FALSE())</f>
        <v>177</v>
      </c>
      <c r="U206" s="0" t="n">
        <f aca="false">IF(K206=1,(MIN(35,(C206-D206)))*(O206/(O206+P206))*(S206/(S206+T206)),(MAX(-35,(C206-D206)))*(IF(P206=0,0.1,(P206/(O206+P206))))*(T206/(S206+T206)))</f>
        <v>-6.8961038961039</v>
      </c>
      <c r="V206" s="0" t="n">
        <f aca="false">IF(L206=1,(MIN(35,(D206-C206)))*(M206/(M206+N206))*(Q206/(Q206+R206)),(MAX(-35,(D206-C206)))*(IF(N206=0,0.1,(N206/(M206+N206))))*(R206/(R206+Q206)))</f>
        <v>1.2276688453159</v>
      </c>
    </row>
    <row r="207" customFormat="false" ht="15" hidden="false" customHeight="false" outlineLevel="0" collapsed="false">
      <c r="A207" s="0" t="s">
        <v>198</v>
      </c>
      <c r="B207" s="0" t="s">
        <v>58</v>
      </c>
      <c r="C207" s="0" t="n">
        <v>7</v>
      </c>
      <c r="D207" s="0" t="n">
        <v>35</v>
      </c>
      <c r="E207" s="0" t="n">
        <v>75</v>
      </c>
      <c r="F207" s="0" t="n">
        <v>167</v>
      </c>
      <c r="G207" s="0" t="n">
        <v>231</v>
      </c>
      <c r="H207" s="0" t="n">
        <v>257</v>
      </c>
      <c r="I207" s="0" t="n">
        <v>1</v>
      </c>
      <c r="J207" s="0" t="n">
        <v>0</v>
      </c>
      <c r="K207" s="0" t="n">
        <v>0</v>
      </c>
      <c r="L207" s="0" t="n">
        <v>1</v>
      </c>
      <c r="M207" s="0" t="n">
        <f aca="false">VLOOKUP(A207,'Team Data'!$A$1:$P$133,2,FALSE())</f>
        <v>8</v>
      </c>
      <c r="N207" s="0" t="n">
        <f aca="false">VLOOKUP(A207,'Team Data'!$A$1:$P$133,3,FALSE())</f>
        <v>112</v>
      </c>
      <c r="O207" s="0" t="n">
        <f aca="false">VLOOKUP(B207,'Team Data'!$A$1:$P$133,2,FALSE())</f>
        <v>4</v>
      </c>
      <c r="P207" s="0" t="n">
        <f aca="false">VLOOKUP(B207,'Team Data'!$A$1:$P$133,3,FALSE())</f>
        <v>8</v>
      </c>
      <c r="Q207" s="0" t="n">
        <f aca="false">VLOOKUP(A207,'Team Data'!$A$1:$P$133,4,FALSE())</f>
        <v>805</v>
      </c>
      <c r="R207" s="0" t="n">
        <f aca="false">VLOOKUP(A207,'Team Data'!$A$1:$P$133,5,FALSE())</f>
        <v>725</v>
      </c>
      <c r="S207" s="0" t="n">
        <f aca="false">VLOOKUP(B207,'Team Data'!$A$1:$P$133,4,FALSE())</f>
        <v>88</v>
      </c>
      <c r="T207" s="0" t="n">
        <f aca="false">VLOOKUP(B207,'Team Data'!$A$1:$P$133,5,FALSE())</f>
        <v>172</v>
      </c>
      <c r="U207" s="0" t="n">
        <f aca="false">IF(K207=1,(MIN(35,(C207-D207)))*(O207/(O207+P207))*(S207/(S207+T207)),(MAX(-35,(C207-D207)))*(IF(P207=0,0.1,(P207/(O207+P207))))*(T207/(S207+T207)))</f>
        <v>-12.3487179487179</v>
      </c>
      <c r="V207" s="0" t="n">
        <f aca="false">IF(L207=1,(MIN(35,(D207-C207)))*(M207/(M207+N207))*(Q207/(Q207+R207)),(MAX(-35,(D207-C207)))*(IF(N207=0,0.1,(N207/(M207+N207))))*(R207/(R207+Q207)))</f>
        <v>0.982135076252723</v>
      </c>
    </row>
    <row r="208" customFormat="false" ht="15" hidden="false" customHeight="false" outlineLevel="0" collapsed="false">
      <c r="A208" s="0" t="s">
        <v>198</v>
      </c>
      <c r="B208" s="0" t="s">
        <v>111</v>
      </c>
      <c r="C208" s="0" t="n">
        <v>17</v>
      </c>
      <c r="D208" s="0" t="n">
        <v>38</v>
      </c>
      <c r="E208" s="0" t="n">
        <v>64</v>
      </c>
      <c r="F208" s="0" t="n">
        <v>58</v>
      </c>
      <c r="G208" s="0" t="n">
        <v>292</v>
      </c>
      <c r="H208" s="0" t="n">
        <v>464</v>
      </c>
      <c r="I208" s="0" t="n">
        <v>2</v>
      </c>
      <c r="J208" s="0" t="n">
        <v>3</v>
      </c>
      <c r="K208" s="0" t="n">
        <v>0</v>
      </c>
      <c r="L208" s="0" t="n">
        <v>1</v>
      </c>
      <c r="M208" s="0" t="n">
        <f aca="false">VLOOKUP(A208,'Team Data'!$A$1:$P$133,2,FALSE())</f>
        <v>8</v>
      </c>
      <c r="N208" s="0" t="n">
        <f aca="false">VLOOKUP(A208,'Team Data'!$A$1:$P$133,3,FALSE())</f>
        <v>112</v>
      </c>
      <c r="O208" s="0" t="n">
        <f aca="false">VLOOKUP(B208,'Team Data'!$A$1:$P$133,2,FALSE())</f>
        <v>12</v>
      </c>
      <c r="P208" s="0" t="n">
        <f aca="false">VLOOKUP(B208,'Team Data'!$A$1:$P$133,3,FALSE())</f>
        <v>2</v>
      </c>
      <c r="Q208" s="0" t="n">
        <f aca="false">VLOOKUP(A208,'Team Data'!$A$1:$P$133,4,FALSE())</f>
        <v>805</v>
      </c>
      <c r="R208" s="0" t="n">
        <f aca="false">VLOOKUP(A208,'Team Data'!$A$1:$P$133,5,FALSE())</f>
        <v>725</v>
      </c>
      <c r="S208" s="0" t="n">
        <f aca="false">VLOOKUP(B208,'Team Data'!$A$1:$P$133,4,FALSE())</f>
        <v>100</v>
      </c>
      <c r="T208" s="0" t="n">
        <f aca="false">VLOOKUP(B208,'Team Data'!$A$1:$P$133,5,FALSE())</f>
        <v>186</v>
      </c>
      <c r="U208" s="0" t="n">
        <f aca="false">IF(K208=1,(MIN(35,(C208-D208)))*(O208/(O208+P208))*(S208/(S208+T208)),(MAX(-35,(C208-D208)))*(IF(P208=0,0.1,(P208/(O208+P208))))*(T208/(S208+T208)))</f>
        <v>-1.95104895104895</v>
      </c>
      <c r="V208" s="0" t="n">
        <f aca="false">IF(L208=1,(MIN(35,(D208-C208)))*(M208/(M208+N208))*(Q208/(Q208+R208)),(MAX(-35,(D208-C208)))*(IF(N208=0,0.1,(N208/(M208+N208))))*(R208/(R208+Q208)))</f>
        <v>0.736601307189542</v>
      </c>
    </row>
    <row r="209" customFormat="false" ht="15" hidden="false" customHeight="false" outlineLevel="0" collapsed="false">
      <c r="A209" s="0" t="s">
        <v>198</v>
      </c>
      <c r="B209" s="0" t="s">
        <v>28</v>
      </c>
      <c r="C209" s="0" t="n">
        <v>27</v>
      </c>
      <c r="D209" s="0" t="n">
        <v>31</v>
      </c>
      <c r="E209" s="0" t="n">
        <v>47</v>
      </c>
      <c r="F209" s="0" t="n">
        <v>46</v>
      </c>
      <c r="G209" s="0" t="n">
        <v>448</v>
      </c>
      <c r="H209" s="0" t="n">
        <v>308</v>
      </c>
      <c r="I209" s="0" t="n">
        <v>5</v>
      </c>
      <c r="J209" s="0" t="n">
        <v>2</v>
      </c>
      <c r="K209" s="0" t="n">
        <v>0</v>
      </c>
      <c r="L209" s="0" t="n">
        <v>1</v>
      </c>
      <c r="M209" s="0" t="n">
        <f aca="false">VLOOKUP(A209,'Team Data'!$A$1:$P$133,2,FALSE())</f>
        <v>8</v>
      </c>
      <c r="N209" s="0" t="n">
        <f aca="false">VLOOKUP(A209,'Team Data'!$A$1:$P$133,3,FALSE())</f>
        <v>112</v>
      </c>
      <c r="O209" s="0" t="n">
        <f aca="false">VLOOKUP(B209,'Team Data'!$A$1:$P$133,2,FALSE())</f>
        <v>9</v>
      </c>
      <c r="P209" s="0" t="n">
        <f aca="false">VLOOKUP(B209,'Team Data'!$A$1:$P$133,3,FALSE())</f>
        <v>4</v>
      </c>
      <c r="Q209" s="0" t="n">
        <f aca="false">VLOOKUP(A209,'Team Data'!$A$1:$P$133,4,FALSE())</f>
        <v>805</v>
      </c>
      <c r="R209" s="0" t="n">
        <f aca="false">VLOOKUP(A209,'Team Data'!$A$1:$P$133,5,FALSE())</f>
        <v>725</v>
      </c>
      <c r="S209" s="0" t="n">
        <f aca="false">VLOOKUP(B209,'Team Data'!$A$1:$P$133,4,FALSE())</f>
        <v>88</v>
      </c>
      <c r="T209" s="0" t="n">
        <f aca="false">VLOOKUP(B209,'Team Data'!$A$1:$P$133,5,FALSE())</f>
        <v>182</v>
      </c>
      <c r="U209" s="0" t="n">
        <f aca="false">IF(K209=1,(MIN(35,(C209-D209)))*(O209/(O209+P209))*(S209/(S209+T209)),(MAX(-35,(C209-D209)))*(IF(P209=0,0.1,(P209/(O209+P209))))*(T209/(S209+T209)))</f>
        <v>-0.82962962962963</v>
      </c>
      <c r="V209" s="0" t="n">
        <f aca="false">IF(L209=1,(MIN(35,(D209-C209)))*(M209/(M209+N209))*(Q209/(Q209+R209)),(MAX(-35,(D209-C209)))*(IF(N209=0,0.1,(N209/(M209+N209))))*(R209/(R209+Q209)))</f>
        <v>0.140305010893246</v>
      </c>
    </row>
    <row r="210" customFormat="false" ht="15" hidden="false" customHeight="false" outlineLevel="0" collapsed="false">
      <c r="A210" s="0" t="s">
        <v>34</v>
      </c>
      <c r="B210" s="0" t="s">
        <v>108</v>
      </c>
      <c r="C210" s="0" t="n">
        <v>12</v>
      </c>
      <c r="D210" s="0" t="n">
        <v>41</v>
      </c>
      <c r="E210" s="0" t="n">
        <v>62</v>
      </c>
      <c r="F210" s="0" t="n">
        <v>226</v>
      </c>
      <c r="G210" s="0" t="n">
        <v>251</v>
      </c>
      <c r="H210" s="0" t="n">
        <v>226</v>
      </c>
      <c r="I210" s="0" t="n">
        <v>2</v>
      </c>
      <c r="J210" s="0" t="n">
        <v>2</v>
      </c>
      <c r="K210" s="0" t="n">
        <v>0</v>
      </c>
      <c r="L210" s="0" t="n">
        <v>1</v>
      </c>
      <c r="M210" s="0" t="n">
        <f aca="false">VLOOKUP(A210,'Team Data'!$A$1:$P$133,2,FALSE())</f>
        <v>4</v>
      </c>
      <c r="N210" s="0" t="n">
        <f aca="false">VLOOKUP(A210,'Team Data'!$A$1:$P$133,3,FALSE())</f>
        <v>8</v>
      </c>
      <c r="O210" s="0" t="n">
        <f aca="false">VLOOKUP(B210,'Team Data'!$A$1:$P$133,2,FALSE())</f>
        <v>4</v>
      </c>
      <c r="P210" s="0" t="n">
        <f aca="false">VLOOKUP(B210,'Team Data'!$A$1:$P$133,3,FALSE())</f>
        <v>8</v>
      </c>
      <c r="Q210" s="0" t="n">
        <f aca="false">VLOOKUP(A210,'Team Data'!$A$1:$P$133,4,FALSE())</f>
        <v>76</v>
      </c>
      <c r="R210" s="0" t="n">
        <f aca="false">VLOOKUP(A210,'Team Data'!$A$1:$P$133,5,FALSE())</f>
        <v>185</v>
      </c>
      <c r="S210" s="0" t="n">
        <f aca="false">VLOOKUP(B210,'Team Data'!$A$1:$P$133,4,FALSE())</f>
        <v>76</v>
      </c>
      <c r="T210" s="0" t="n">
        <f aca="false">VLOOKUP(B210,'Team Data'!$A$1:$P$133,5,FALSE())</f>
        <v>181</v>
      </c>
      <c r="U210" s="0" t="n">
        <f aca="false">IF(K210=1,(MIN(35,(C210-D210)))*(O210/(O210+P210))*(S210/(S210+T210)),(MAX(-35,(C210-D210)))*(IF(P210=0,0.1,(P210/(O210+P210))))*(T210/(S210+T210)))</f>
        <v>-13.6160830090791</v>
      </c>
      <c r="V210" s="0" t="n">
        <f aca="false">IF(L210=1,(MIN(35,(D210-C210)))*(M210/(M210+N210))*(Q210/(Q210+R210)),(MAX(-35,(D210-C210)))*(IF(N210=0,0.1,(N210/(M210+N210))))*(R210/(R210+Q210)))</f>
        <v>2.81481481481482</v>
      </c>
    </row>
    <row r="211" customFormat="false" ht="15" hidden="false" customHeight="false" outlineLevel="0" collapsed="false">
      <c r="A211" s="0" t="s">
        <v>61</v>
      </c>
      <c r="B211" s="0" t="s">
        <v>25</v>
      </c>
      <c r="C211" s="0" t="n">
        <v>56</v>
      </c>
      <c r="D211" s="0" t="n">
        <v>21</v>
      </c>
      <c r="E211" s="0" t="n">
        <v>193</v>
      </c>
      <c r="F211" s="0" t="n">
        <v>96</v>
      </c>
      <c r="G211" s="0" t="n">
        <v>424</v>
      </c>
      <c r="H211" s="0" t="n">
        <v>292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f aca="false">VLOOKUP(A211,'Team Data'!$A$1:$P$133,2,FALSE())</f>
        <v>8</v>
      </c>
      <c r="N211" s="0" t="n">
        <f aca="false">VLOOKUP(A211,'Team Data'!$A$1:$P$133,3,FALSE())</f>
        <v>5</v>
      </c>
      <c r="O211" s="0" t="n">
        <f aca="false">VLOOKUP(B211,'Team Data'!$A$1:$P$133,2,FALSE())</f>
        <v>3</v>
      </c>
      <c r="P211" s="0" t="n">
        <f aca="false">VLOOKUP(B211,'Team Data'!$A$1:$P$133,3,FALSE())</f>
        <v>9</v>
      </c>
      <c r="Q211" s="0" t="n">
        <f aca="false">VLOOKUP(A211,'Team Data'!$A$1:$P$133,4,FALSE())</f>
        <v>89</v>
      </c>
      <c r="R211" s="0" t="n">
        <f aca="false">VLOOKUP(A211,'Team Data'!$A$1:$P$133,5,FALSE())</f>
        <v>77</v>
      </c>
      <c r="S211" s="0" t="n">
        <f aca="false">VLOOKUP(B211,'Team Data'!$A$1:$P$133,4,FALSE())</f>
        <v>74</v>
      </c>
      <c r="T211" s="0" t="n">
        <f aca="false">VLOOKUP(B211,'Team Data'!$A$1:$P$133,5,FALSE())</f>
        <v>185</v>
      </c>
      <c r="U211" s="0" t="n">
        <f aca="false">IF(K211=1,(MIN(35,(C211-D211)))*(O211/(O211+P211))*(S211/(S211+T211)),(MAX(-35,(C211-D211)))*(IF(P211=0,0.1,(P211/(O211+P211))))*(T211/(S211+T211)))</f>
        <v>2.5</v>
      </c>
      <c r="V211" s="0" t="n">
        <f aca="false">IF(L211=1,(MIN(35,(D211-C211)))*(M211/(M211+N211))*(Q211/(Q211+R211)),(MAX(-35,(D211-C211)))*(IF(N211=0,0.1,(N211/(M211+N211))))*(R211/(R211+Q211)))</f>
        <v>-6.24420759962929</v>
      </c>
    </row>
    <row r="212" customFormat="false" ht="15" hidden="false" customHeight="false" outlineLevel="0" collapsed="false">
      <c r="A212" s="0" t="s">
        <v>198</v>
      </c>
      <c r="B212" s="0" t="s">
        <v>36</v>
      </c>
      <c r="C212" s="0" t="n">
        <v>9</v>
      </c>
      <c r="D212" s="0" t="n">
        <v>42</v>
      </c>
      <c r="E212" s="0" t="n">
        <v>44</v>
      </c>
      <c r="F212" s="0" t="n">
        <v>366</v>
      </c>
      <c r="G212" s="0" t="n">
        <v>202</v>
      </c>
      <c r="H212" s="0" t="n">
        <v>265</v>
      </c>
      <c r="I212" s="0" t="n">
        <v>1</v>
      </c>
      <c r="J212" s="0" t="n">
        <v>2</v>
      </c>
      <c r="K212" s="0" t="n">
        <v>0</v>
      </c>
      <c r="L212" s="0" t="n">
        <v>1</v>
      </c>
      <c r="M212" s="0" t="n">
        <f aca="false">VLOOKUP(A212,'Team Data'!$A$1:$P$133,2,FALSE())</f>
        <v>8</v>
      </c>
      <c r="N212" s="0" t="n">
        <f aca="false">VLOOKUP(A212,'Team Data'!$A$1:$P$133,3,FALSE())</f>
        <v>112</v>
      </c>
      <c r="O212" s="0" t="n">
        <f aca="false">VLOOKUP(B212,'Team Data'!$A$1:$P$133,2,FALSE())</f>
        <v>5</v>
      </c>
      <c r="P212" s="0" t="n">
        <f aca="false">VLOOKUP(B212,'Team Data'!$A$1:$P$133,3,FALSE())</f>
        <v>7</v>
      </c>
      <c r="Q212" s="0" t="n">
        <f aca="false">VLOOKUP(A212,'Team Data'!$A$1:$P$133,4,FALSE())</f>
        <v>805</v>
      </c>
      <c r="R212" s="0" t="n">
        <f aca="false">VLOOKUP(A212,'Team Data'!$A$1:$P$133,5,FALSE())</f>
        <v>725</v>
      </c>
      <c r="S212" s="0" t="n">
        <f aca="false">VLOOKUP(B212,'Team Data'!$A$1:$P$133,4,FALSE())</f>
        <v>83</v>
      </c>
      <c r="T212" s="0" t="n">
        <f aca="false">VLOOKUP(B212,'Team Data'!$A$1:$P$133,5,FALSE())</f>
        <v>182</v>
      </c>
      <c r="U212" s="0" t="n">
        <f aca="false">IF(K212=1,(MIN(35,(C212-D212)))*(O212/(O212+P212))*(S212/(S212+T212)),(MAX(-35,(C212-D212)))*(IF(P212=0,0.1,(P212/(O212+P212))))*(T212/(S212+T212)))</f>
        <v>-13.2207547169811</v>
      </c>
      <c r="V212" s="0" t="n">
        <f aca="false">IF(L212=1,(MIN(35,(D212-C212)))*(M212/(M212+N212))*(Q212/(Q212+R212)),(MAX(-35,(D212-C212)))*(IF(N212=0,0.1,(N212/(M212+N212))))*(R212/(R212+Q212)))</f>
        <v>1.15751633986928</v>
      </c>
    </row>
    <row r="213" customFormat="false" ht="15" hidden="false" customHeight="false" outlineLevel="0" collapsed="false">
      <c r="A213" s="0" t="s">
        <v>198</v>
      </c>
      <c r="B213" s="0" t="s">
        <v>57</v>
      </c>
      <c r="C213" s="0" t="n">
        <v>17</v>
      </c>
      <c r="D213" s="0" t="n">
        <v>52</v>
      </c>
      <c r="E213" s="0" t="n">
        <v>144</v>
      </c>
      <c r="F213" s="0" t="n">
        <v>299</v>
      </c>
      <c r="G213" s="0" t="n">
        <v>161</v>
      </c>
      <c r="H213" s="0" t="n">
        <v>216</v>
      </c>
      <c r="I213" s="0" t="n">
        <v>3</v>
      </c>
      <c r="J213" s="0" t="n">
        <v>1</v>
      </c>
      <c r="K213" s="0" t="n">
        <v>0</v>
      </c>
      <c r="L213" s="0" t="n">
        <v>1</v>
      </c>
      <c r="M213" s="0" t="n">
        <f aca="false">VLOOKUP(A213,'Team Data'!$A$1:$P$133,2,FALSE())</f>
        <v>8</v>
      </c>
      <c r="N213" s="0" t="n">
        <f aca="false">VLOOKUP(A213,'Team Data'!$A$1:$P$133,3,FALSE())</f>
        <v>112</v>
      </c>
      <c r="O213" s="0" t="n">
        <f aca="false">VLOOKUP(B213,'Team Data'!$A$1:$P$133,2,FALSE())</f>
        <v>3</v>
      </c>
      <c r="P213" s="0" t="n">
        <f aca="false">VLOOKUP(B213,'Team Data'!$A$1:$P$133,3,FALSE())</f>
        <v>9</v>
      </c>
      <c r="Q213" s="0" t="n">
        <f aca="false">VLOOKUP(A213,'Team Data'!$A$1:$P$133,4,FALSE())</f>
        <v>805</v>
      </c>
      <c r="R213" s="0" t="n">
        <f aca="false">VLOOKUP(A213,'Team Data'!$A$1:$P$133,5,FALSE())</f>
        <v>725</v>
      </c>
      <c r="S213" s="0" t="n">
        <f aca="false">VLOOKUP(B213,'Team Data'!$A$1:$P$133,4,FALSE())</f>
        <v>85</v>
      </c>
      <c r="T213" s="0" t="n">
        <f aca="false">VLOOKUP(B213,'Team Data'!$A$1:$P$133,5,FALSE())</f>
        <v>178</v>
      </c>
      <c r="U213" s="0" t="n">
        <f aca="false">IF(K213=1,(MIN(35,(C213-D213)))*(O213/(O213+P213))*(S213/(S213+T213)),(MAX(-35,(C213-D213)))*(IF(P213=0,0.1,(P213/(O213+P213))))*(T213/(S213+T213)))</f>
        <v>-17.7661596958175</v>
      </c>
      <c r="V213" s="0" t="n">
        <f aca="false">IF(L213=1,(MIN(35,(D213-C213)))*(M213/(M213+N213))*(Q213/(Q213+R213)),(MAX(-35,(D213-C213)))*(IF(N213=0,0.1,(N213/(M213+N213))))*(R213/(R213+Q213)))</f>
        <v>1.2276688453159</v>
      </c>
    </row>
    <row r="214" customFormat="false" ht="15" hidden="false" customHeight="false" outlineLevel="0" collapsed="false">
      <c r="A214" s="0" t="s">
        <v>67</v>
      </c>
      <c r="B214" s="0" t="s">
        <v>30</v>
      </c>
      <c r="C214" s="0" t="n">
        <v>34</v>
      </c>
      <c r="D214" s="0" t="n">
        <v>19</v>
      </c>
      <c r="E214" s="0" t="n">
        <v>114</v>
      </c>
      <c r="F214" s="0" t="n">
        <v>-10</v>
      </c>
      <c r="G214" s="0" t="n">
        <v>266</v>
      </c>
      <c r="H214" s="0" t="n">
        <v>256</v>
      </c>
      <c r="I214" s="0" t="n">
        <v>2</v>
      </c>
      <c r="J214" s="0" t="n">
        <v>4</v>
      </c>
      <c r="K214" s="0" t="n">
        <v>1</v>
      </c>
      <c r="L214" s="0" t="n">
        <v>0</v>
      </c>
      <c r="M214" s="0" t="n">
        <f aca="false">VLOOKUP(A214,'Team Data'!$A$1:$P$133,2,FALSE())</f>
        <v>8</v>
      </c>
      <c r="N214" s="0" t="n">
        <f aca="false">VLOOKUP(A214,'Team Data'!$A$1:$P$133,3,FALSE())</f>
        <v>5</v>
      </c>
      <c r="O214" s="0" t="n">
        <f aca="false">VLOOKUP(B214,'Team Data'!$A$1:$P$133,2,FALSE())</f>
        <v>3</v>
      </c>
      <c r="P214" s="0" t="n">
        <f aca="false">VLOOKUP(B214,'Team Data'!$A$1:$P$133,3,FALSE())</f>
        <v>9</v>
      </c>
      <c r="Q214" s="0" t="n">
        <f aca="false">VLOOKUP(A214,'Team Data'!$A$1:$P$133,4,FALSE())</f>
        <v>78</v>
      </c>
      <c r="R214" s="0" t="n">
        <f aca="false">VLOOKUP(A214,'Team Data'!$A$1:$P$133,5,FALSE())</f>
        <v>191</v>
      </c>
      <c r="S214" s="0" t="n">
        <f aca="false">VLOOKUP(B214,'Team Data'!$A$1:$P$133,4,FALSE())</f>
        <v>83</v>
      </c>
      <c r="T214" s="0" t="n">
        <f aca="false">VLOOKUP(B214,'Team Data'!$A$1:$P$133,5,FALSE())</f>
        <v>179</v>
      </c>
      <c r="U214" s="0" t="n">
        <f aca="false">IF(K214=1,(MIN(35,(C214-D214)))*(O214/(O214+P214))*(S214/(S214+T214)),(MAX(-35,(C214-D214)))*(IF(P214=0,0.1,(P214/(O214+P214))))*(T214/(S214+T214)))</f>
        <v>1.18797709923664</v>
      </c>
      <c r="V214" s="0" t="n">
        <f aca="false">IF(L214=1,(MIN(35,(D214-C214)))*(M214/(M214+N214))*(Q214/(Q214+R214)),(MAX(-35,(D214-C214)))*(IF(N214=0,0.1,(N214/(M214+N214))))*(R214/(R214+Q214)))</f>
        <v>-4.09636831569917</v>
      </c>
    </row>
    <row r="215" customFormat="false" ht="15" hidden="false" customHeight="false" outlineLevel="0" collapsed="false">
      <c r="A215" s="0" t="s">
        <v>198</v>
      </c>
      <c r="B215" s="0" t="s">
        <v>78</v>
      </c>
      <c r="C215" s="0" t="n">
        <v>27</v>
      </c>
      <c r="D215" s="0" t="n">
        <v>59</v>
      </c>
      <c r="E215" s="0" t="n">
        <v>219</v>
      </c>
      <c r="F215" s="0" t="n">
        <v>348</v>
      </c>
      <c r="G215" s="0" t="n">
        <v>239</v>
      </c>
      <c r="H215" s="0" t="n">
        <v>259</v>
      </c>
      <c r="I215" s="0" t="n">
        <v>1</v>
      </c>
      <c r="J215" s="0" t="n">
        <v>1</v>
      </c>
      <c r="K215" s="0" t="n">
        <v>0</v>
      </c>
      <c r="L215" s="0" t="n">
        <v>1</v>
      </c>
      <c r="M215" s="0" t="n">
        <f aca="false">VLOOKUP(A215,'Team Data'!$A$1:$P$133,2,FALSE())</f>
        <v>8</v>
      </c>
      <c r="N215" s="0" t="n">
        <f aca="false">VLOOKUP(A215,'Team Data'!$A$1:$P$133,3,FALSE())</f>
        <v>112</v>
      </c>
      <c r="O215" s="0" t="n">
        <f aca="false">VLOOKUP(B215,'Team Data'!$A$1:$P$133,2,FALSE())</f>
        <v>7</v>
      </c>
      <c r="P215" s="0" t="n">
        <f aca="false">VLOOKUP(B215,'Team Data'!$A$1:$P$133,3,FALSE())</f>
        <v>7</v>
      </c>
      <c r="Q215" s="0" t="n">
        <f aca="false">VLOOKUP(A215,'Team Data'!$A$1:$P$133,4,FALSE())</f>
        <v>805</v>
      </c>
      <c r="R215" s="0" t="n">
        <f aca="false">VLOOKUP(A215,'Team Data'!$A$1:$P$133,5,FALSE())</f>
        <v>725</v>
      </c>
      <c r="S215" s="0" t="n">
        <f aca="false">VLOOKUP(B215,'Team Data'!$A$1:$P$133,4,FALSE())</f>
        <v>97</v>
      </c>
      <c r="T215" s="0" t="n">
        <f aca="false">VLOOKUP(B215,'Team Data'!$A$1:$P$133,5,FALSE())</f>
        <v>191</v>
      </c>
      <c r="U215" s="0" t="n">
        <f aca="false">IF(K215=1,(MIN(35,(C215-D215)))*(O215/(O215+P215))*(S215/(S215+T215)),(MAX(-35,(C215-D215)))*(IF(P215=0,0.1,(P215/(O215+P215))))*(T215/(S215+T215)))</f>
        <v>-10.6111111111111</v>
      </c>
      <c r="V215" s="0" t="n">
        <f aca="false">IF(L215=1,(MIN(35,(D215-C215)))*(M215/(M215+N215))*(Q215/(Q215+R215)),(MAX(-35,(D215-C215)))*(IF(N215=0,0.1,(N215/(M215+N215))))*(R215/(R215+Q215)))</f>
        <v>1.12244008714597</v>
      </c>
    </row>
    <row r="216" customFormat="false" ht="15" hidden="false" customHeight="false" outlineLevel="0" collapsed="false">
      <c r="A216" s="0" t="s">
        <v>198</v>
      </c>
      <c r="B216" s="0" t="s">
        <v>93</v>
      </c>
      <c r="C216" s="0" t="n">
        <v>10</v>
      </c>
      <c r="D216" s="0" t="n">
        <v>52</v>
      </c>
      <c r="E216" s="0" t="n">
        <v>172</v>
      </c>
      <c r="F216" s="0" t="n">
        <v>209</v>
      </c>
      <c r="G216" s="0" t="n">
        <v>91</v>
      </c>
      <c r="H216" s="0" t="n">
        <v>278</v>
      </c>
      <c r="I216" s="0" t="n">
        <v>5</v>
      </c>
      <c r="J216" s="0" t="n">
        <v>0</v>
      </c>
      <c r="K216" s="0" t="n">
        <v>0</v>
      </c>
      <c r="L216" s="0" t="n">
        <v>1</v>
      </c>
      <c r="M216" s="0" t="n">
        <f aca="false">VLOOKUP(A216,'Team Data'!$A$1:$P$133,2,FALSE())</f>
        <v>8</v>
      </c>
      <c r="N216" s="0" t="n">
        <f aca="false">VLOOKUP(A216,'Team Data'!$A$1:$P$133,3,FALSE())</f>
        <v>112</v>
      </c>
      <c r="O216" s="0" t="n">
        <f aca="false">VLOOKUP(B216,'Team Data'!$A$1:$P$133,2,FALSE())</f>
        <v>5</v>
      </c>
      <c r="P216" s="0" t="n">
        <f aca="false">VLOOKUP(B216,'Team Data'!$A$1:$P$133,3,FALSE())</f>
        <v>8</v>
      </c>
      <c r="Q216" s="0" t="n">
        <f aca="false">VLOOKUP(A216,'Team Data'!$A$1:$P$133,4,FALSE())</f>
        <v>805</v>
      </c>
      <c r="R216" s="0" t="n">
        <f aca="false">VLOOKUP(A216,'Team Data'!$A$1:$P$133,5,FALSE())</f>
        <v>725</v>
      </c>
      <c r="S216" s="0" t="n">
        <f aca="false">VLOOKUP(B216,'Team Data'!$A$1:$P$133,4,FALSE())</f>
        <v>90</v>
      </c>
      <c r="T216" s="0" t="n">
        <f aca="false">VLOOKUP(B216,'Team Data'!$A$1:$P$133,5,FALSE())</f>
        <v>186</v>
      </c>
      <c r="U216" s="0" t="n">
        <f aca="false">IF(K216=1,(MIN(35,(C216-D216)))*(O216/(O216+P216))*(S216/(S216+T216)),(MAX(-35,(C216-D216)))*(IF(P216=0,0.1,(P216/(O216+P216))))*(T216/(S216+T216)))</f>
        <v>-14.5150501672241</v>
      </c>
      <c r="V216" s="0" t="n">
        <f aca="false">IF(L216=1,(MIN(35,(D216-C216)))*(M216/(M216+N216))*(Q216/(Q216+R216)),(MAX(-35,(D216-C216)))*(IF(N216=0,0.1,(N216/(M216+N216))))*(R216/(R216+Q216)))</f>
        <v>1.2276688453159</v>
      </c>
    </row>
    <row r="217" customFormat="false" ht="15" hidden="false" customHeight="false" outlineLevel="0" collapsed="false">
      <c r="A217" s="0" t="s">
        <v>114</v>
      </c>
      <c r="B217" s="0" t="s">
        <v>55</v>
      </c>
      <c r="C217" s="0" t="n">
        <v>14</v>
      </c>
      <c r="D217" s="0" t="n">
        <v>21</v>
      </c>
      <c r="E217" s="0" t="n">
        <v>241</v>
      </c>
      <c r="F217" s="0" t="n">
        <v>188</v>
      </c>
      <c r="G217" s="0" t="n">
        <v>114</v>
      </c>
      <c r="H217" s="0" t="n">
        <v>202</v>
      </c>
      <c r="I217" s="0" t="n">
        <v>4</v>
      </c>
      <c r="J217" s="0" t="n">
        <v>1</v>
      </c>
      <c r="K217" s="0" t="n">
        <v>0</v>
      </c>
      <c r="L217" s="0" t="n">
        <v>1</v>
      </c>
      <c r="M217" s="0" t="n">
        <f aca="false">VLOOKUP(A217,'Team Data'!$A$1:$P$133,2,FALSE())</f>
        <v>7</v>
      </c>
      <c r="N217" s="0" t="n">
        <f aca="false">VLOOKUP(A217,'Team Data'!$A$1:$P$133,3,FALSE())</f>
        <v>6</v>
      </c>
      <c r="O217" s="0" t="n">
        <f aca="false">VLOOKUP(B217,'Team Data'!$A$1:$P$133,2,FALSE())</f>
        <v>8</v>
      </c>
      <c r="P217" s="0" t="n">
        <f aca="false">VLOOKUP(B217,'Team Data'!$A$1:$P$133,3,FALSE())</f>
        <v>5</v>
      </c>
      <c r="Q217" s="0" t="n">
        <f aca="false">VLOOKUP(A217,'Team Data'!$A$1:$P$133,4,FALSE())</f>
        <v>89</v>
      </c>
      <c r="R217" s="0" t="n">
        <f aca="false">VLOOKUP(A217,'Team Data'!$A$1:$P$133,5,FALSE())</f>
        <v>188</v>
      </c>
      <c r="S217" s="0" t="n">
        <f aca="false">VLOOKUP(B217,'Team Data'!$A$1:$P$133,4,FALSE())</f>
        <v>76</v>
      </c>
      <c r="T217" s="0" t="n">
        <f aca="false">VLOOKUP(B217,'Team Data'!$A$1:$P$133,5,FALSE())</f>
        <v>196</v>
      </c>
      <c r="U217" s="0" t="n">
        <f aca="false">IF(K217=1,(MIN(35,(C217-D217)))*(O217/(O217+P217))*(S217/(S217+T217)),(MAX(-35,(C217-D217)))*(IF(P217=0,0.1,(P217/(O217+P217))))*(T217/(S217+T217)))</f>
        <v>-1.94004524886878</v>
      </c>
      <c r="V217" s="0" t="n">
        <f aca="false">IF(L217=1,(MIN(35,(D217-C217)))*(M217/(M217+N217))*(Q217/(Q217+R217)),(MAX(-35,(D217-C217)))*(IF(N217=0,0.1,(N217/(M217+N217))))*(R217/(R217+Q217)))</f>
        <v>1.21105248542072</v>
      </c>
    </row>
    <row r="218" customFormat="false" ht="15" hidden="false" customHeight="false" outlineLevel="0" collapsed="false">
      <c r="A218" s="0" t="s">
        <v>76</v>
      </c>
      <c r="B218" s="0" t="s">
        <v>122</v>
      </c>
      <c r="C218" s="0" t="n">
        <v>13</v>
      </c>
      <c r="D218" s="0" t="n">
        <v>20</v>
      </c>
      <c r="E218" s="0" t="n">
        <v>187</v>
      </c>
      <c r="F218" s="0" t="n">
        <v>108</v>
      </c>
      <c r="G218" s="0" t="n">
        <v>111</v>
      </c>
      <c r="H218" s="0" t="n">
        <v>166</v>
      </c>
      <c r="I218" s="0" t="n">
        <v>3</v>
      </c>
      <c r="J218" s="0" t="n">
        <v>2</v>
      </c>
      <c r="K218" s="0" t="n">
        <v>0</v>
      </c>
      <c r="L218" s="0" t="n">
        <v>1</v>
      </c>
      <c r="M218" s="0" t="n">
        <f aca="false">VLOOKUP(A218,'Team Data'!$A$1:$P$133,2,FALSE())</f>
        <v>7</v>
      </c>
      <c r="N218" s="0" t="n">
        <f aca="false">VLOOKUP(A218,'Team Data'!$A$1:$P$133,3,FALSE())</f>
        <v>6</v>
      </c>
      <c r="O218" s="0" t="n">
        <f aca="false">VLOOKUP(B218,'Team Data'!$A$1:$P$133,2,FALSE())</f>
        <v>5</v>
      </c>
      <c r="P218" s="0" t="n">
        <f aca="false">VLOOKUP(B218,'Team Data'!$A$1:$P$133,3,FALSE())</f>
        <v>7</v>
      </c>
      <c r="Q218" s="0" t="n">
        <f aca="false">VLOOKUP(A218,'Team Data'!$A$1:$P$133,4,FALSE())</f>
        <v>69</v>
      </c>
      <c r="R218" s="0" t="n">
        <f aca="false">VLOOKUP(A218,'Team Data'!$A$1:$P$133,5,FALSE())</f>
        <v>309</v>
      </c>
      <c r="S218" s="0" t="n">
        <f aca="false">VLOOKUP(B218,'Team Data'!$A$1:$P$133,4,FALSE())</f>
        <v>71</v>
      </c>
      <c r="T218" s="0" t="n">
        <f aca="false">VLOOKUP(B218,'Team Data'!$A$1:$P$133,5,FALSE())</f>
        <v>83</v>
      </c>
      <c r="U218" s="0" t="n">
        <f aca="false">IF(K218=1,(MIN(35,(C218-D218)))*(O218/(O218+P218))*(S218/(S218+T218)),(MAX(-35,(C218-D218)))*(IF(P218=0,0.1,(P218/(O218+P218))))*(T218/(S218+T218)))</f>
        <v>-2.20075757575758</v>
      </c>
      <c r="V218" s="0" t="n">
        <f aca="false">IF(L218=1,(MIN(35,(D218-C218)))*(M218/(M218+N218))*(Q218/(Q218+R218)),(MAX(-35,(D218-C218)))*(IF(N218=0,0.1,(N218/(M218+N218))))*(R218/(R218+Q218)))</f>
        <v>0.688034188034188</v>
      </c>
    </row>
    <row r="219" customFormat="false" ht="15" hidden="false" customHeight="false" outlineLevel="0" collapsed="false">
      <c r="A219" s="0" t="s">
        <v>123</v>
      </c>
      <c r="B219" s="0" t="s">
        <v>14</v>
      </c>
      <c r="C219" s="0" t="n">
        <v>41</v>
      </c>
      <c r="D219" s="0" t="n">
        <v>38</v>
      </c>
      <c r="E219" s="0" t="n">
        <v>153</v>
      </c>
      <c r="F219" s="0" t="n">
        <v>181</v>
      </c>
      <c r="G219" s="0" t="n">
        <v>359</v>
      </c>
      <c r="H219" s="0" t="n">
        <v>304</v>
      </c>
      <c r="I219" s="0" t="n">
        <v>0</v>
      </c>
      <c r="J219" s="0" t="n">
        <v>2</v>
      </c>
      <c r="K219" s="0" t="n">
        <v>1</v>
      </c>
      <c r="L219" s="0" t="n">
        <v>0</v>
      </c>
      <c r="M219" s="0" t="n">
        <f aca="false">VLOOKUP(A219,'Team Data'!$A$1:$P$133,2,FALSE())</f>
        <v>11</v>
      </c>
      <c r="N219" s="0" t="n">
        <f aca="false">VLOOKUP(A219,'Team Data'!$A$1:$P$133,3,FALSE())</f>
        <v>3</v>
      </c>
      <c r="O219" s="0" t="n">
        <f aca="false">VLOOKUP(B219,'Team Data'!$A$1:$P$133,2,FALSE())</f>
        <v>6</v>
      </c>
      <c r="P219" s="0" t="n">
        <f aca="false">VLOOKUP(B219,'Team Data'!$A$1:$P$133,3,FALSE())</f>
        <v>6</v>
      </c>
      <c r="Q219" s="0" t="n">
        <f aca="false">VLOOKUP(A219,'Team Data'!$A$1:$P$133,4,FALSE())</f>
        <v>97</v>
      </c>
      <c r="R219" s="0" t="n">
        <f aca="false">VLOOKUP(A219,'Team Data'!$A$1:$P$133,5,FALSE())</f>
        <v>192</v>
      </c>
      <c r="S219" s="0" t="n">
        <f aca="false">VLOOKUP(B219,'Team Data'!$A$1:$P$133,4,FALSE())</f>
        <v>85</v>
      </c>
      <c r="T219" s="0" t="n">
        <f aca="false">VLOOKUP(B219,'Team Data'!$A$1:$P$133,5,FALSE())</f>
        <v>283</v>
      </c>
      <c r="U219" s="0" t="n">
        <f aca="false">IF(K219=1,(MIN(35,(C219-D219)))*(O219/(O219+P219))*(S219/(S219+T219)),(MAX(-35,(C219-D219)))*(IF(P219=0,0.1,(P219/(O219+P219))))*(T219/(S219+T219)))</f>
        <v>0.346467391304348</v>
      </c>
      <c r="V219" s="0" t="n">
        <f aca="false">IF(L219=1,(MIN(35,(D219-C219)))*(M219/(M219+N219))*(Q219/(Q219+R219)),(MAX(-35,(D219-C219)))*(IF(N219=0,0.1,(N219/(M219+N219))))*(R219/(R219+Q219)))</f>
        <v>-0.427088482451804</v>
      </c>
    </row>
    <row r="220" customFormat="false" ht="15" hidden="false" customHeight="false" outlineLevel="0" collapsed="false">
      <c r="A220" s="0" t="s">
        <v>58</v>
      </c>
      <c r="B220" s="0" t="s">
        <v>8</v>
      </c>
      <c r="C220" s="0" t="n">
        <v>7</v>
      </c>
      <c r="D220" s="0" t="n">
        <v>63</v>
      </c>
      <c r="E220" s="0" t="n">
        <v>78</v>
      </c>
      <c r="F220" s="0" t="n">
        <v>273</v>
      </c>
      <c r="G220" s="0" t="n">
        <v>91</v>
      </c>
      <c r="H220" s="0" t="n">
        <v>236</v>
      </c>
      <c r="I220" s="0" t="n">
        <v>1</v>
      </c>
      <c r="J220" s="0" t="n">
        <v>2</v>
      </c>
      <c r="K220" s="0" t="n">
        <v>0</v>
      </c>
      <c r="L220" s="0" t="n">
        <v>1</v>
      </c>
      <c r="M220" s="0" t="n">
        <f aca="false">VLOOKUP(A220,'Team Data'!$A$1:$P$133,2,FALSE())</f>
        <v>4</v>
      </c>
      <c r="N220" s="0" t="n">
        <f aca="false">VLOOKUP(A220,'Team Data'!$A$1:$P$133,3,FALSE())</f>
        <v>8</v>
      </c>
      <c r="O220" s="0" t="n">
        <f aca="false">VLOOKUP(B220,'Team Data'!$A$1:$P$133,2,FALSE())</f>
        <v>11</v>
      </c>
      <c r="P220" s="0" t="n">
        <f aca="false">VLOOKUP(B220,'Team Data'!$A$1:$P$133,3,FALSE())</f>
        <v>2</v>
      </c>
      <c r="Q220" s="0" t="n">
        <f aca="false">VLOOKUP(A220,'Team Data'!$A$1:$P$133,4,FALSE())</f>
        <v>88</v>
      </c>
      <c r="R220" s="0" t="n">
        <f aca="false">VLOOKUP(A220,'Team Data'!$A$1:$P$133,5,FALSE())</f>
        <v>172</v>
      </c>
      <c r="S220" s="0" t="n">
        <f aca="false">VLOOKUP(B220,'Team Data'!$A$1:$P$133,4,FALSE())</f>
        <v>96</v>
      </c>
      <c r="T220" s="0" t="n">
        <f aca="false">VLOOKUP(B220,'Team Data'!$A$1:$P$133,5,FALSE())</f>
        <v>178</v>
      </c>
      <c r="U220" s="0" t="n">
        <f aca="false">IF(K220=1,(MIN(35,(C220-D220)))*(O220/(O220+P220))*(S220/(S220+T220)),(MAX(-35,(C220-D220)))*(IF(P220=0,0.1,(P220/(O220+P220))))*(T220/(S220+T220)))</f>
        <v>-3.49803481190343</v>
      </c>
      <c r="V220" s="0" t="n">
        <f aca="false">IF(L220=1,(MIN(35,(D220-C220)))*(M220/(M220+N220))*(Q220/(Q220+R220)),(MAX(-35,(D220-C220)))*(IF(N220=0,0.1,(N220/(M220+N220))))*(R220/(R220+Q220)))</f>
        <v>3.94871794871795</v>
      </c>
    </row>
    <row r="221" customFormat="false" ht="15" hidden="false" customHeight="false" outlineLevel="0" collapsed="false">
      <c r="A221" s="0" t="s">
        <v>198</v>
      </c>
      <c r="B221" s="0" t="s">
        <v>12</v>
      </c>
      <c r="C221" s="0" t="n">
        <v>27</v>
      </c>
      <c r="D221" s="0" t="n">
        <v>38</v>
      </c>
      <c r="E221" s="0" t="n">
        <v>52</v>
      </c>
      <c r="F221" s="0" t="n">
        <v>212</v>
      </c>
      <c r="G221" s="0" t="n">
        <v>357</v>
      </c>
      <c r="H221" s="0" t="n">
        <v>385</v>
      </c>
      <c r="I221" s="0" t="n">
        <v>0</v>
      </c>
      <c r="J221" s="0" t="n">
        <v>3</v>
      </c>
      <c r="K221" s="0" t="n">
        <v>0</v>
      </c>
      <c r="L221" s="0" t="n">
        <v>1</v>
      </c>
      <c r="M221" s="0" t="n">
        <f aca="false">VLOOKUP(A221,'Team Data'!$A$1:$P$133,2,FALSE())</f>
        <v>8</v>
      </c>
      <c r="N221" s="0" t="n">
        <f aca="false">VLOOKUP(A221,'Team Data'!$A$1:$P$133,3,FALSE())</f>
        <v>112</v>
      </c>
      <c r="O221" s="0" t="n">
        <f aca="false">VLOOKUP(B221,'Team Data'!$A$1:$P$133,2,FALSE())</f>
        <v>7</v>
      </c>
      <c r="P221" s="0" t="n">
        <f aca="false">VLOOKUP(B221,'Team Data'!$A$1:$P$133,3,FALSE())</f>
        <v>6</v>
      </c>
      <c r="Q221" s="0" t="n">
        <f aca="false">VLOOKUP(A221,'Team Data'!$A$1:$P$133,4,FALSE())</f>
        <v>805</v>
      </c>
      <c r="R221" s="0" t="n">
        <f aca="false">VLOOKUP(A221,'Team Data'!$A$1:$P$133,5,FALSE())</f>
        <v>725</v>
      </c>
      <c r="S221" s="0" t="n">
        <f aca="false">VLOOKUP(B221,'Team Data'!$A$1:$P$133,4,FALSE())</f>
        <v>101</v>
      </c>
      <c r="T221" s="0" t="n">
        <f aca="false">VLOOKUP(B221,'Team Data'!$A$1:$P$133,5,FALSE())</f>
        <v>174</v>
      </c>
      <c r="U221" s="0" t="n">
        <f aca="false">IF(K221=1,(MIN(35,(C221-D221)))*(O221/(O221+P221))*(S221/(S221+T221)),(MAX(-35,(C221-D221)))*(IF(P221=0,0.1,(P221/(O221+P221))))*(T221/(S221+T221)))</f>
        <v>-3.21230769230769</v>
      </c>
      <c r="V221" s="0" t="n">
        <f aca="false">IF(L221=1,(MIN(35,(D221-C221)))*(M221/(M221+N221))*(Q221/(Q221+R221)),(MAX(-35,(D221-C221)))*(IF(N221=0,0.1,(N221/(M221+N221))))*(R221/(R221+Q221)))</f>
        <v>0.385838779956427</v>
      </c>
    </row>
    <row r="222" customFormat="false" ht="15" hidden="false" customHeight="false" outlineLevel="0" collapsed="false">
      <c r="A222" s="0" t="s">
        <v>90</v>
      </c>
      <c r="B222" s="0" t="s">
        <v>15</v>
      </c>
      <c r="C222" s="0" t="n">
        <v>41</v>
      </c>
      <c r="D222" s="0" t="n">
        <v>12</v>
      </c>
      <c r="E222" s="0" t="n">
        <v>245</v>
      </c>
      <c r="F222" s="0" t="n">
        <v>119</v>
      </c>
      <c r="G222" s="0" t="n">
        <v>232</v>
      </c>
      <c r="H222" s="0" t="n">
        <v>296</v>
      </c>
      <c r="I222" s="0" t="n">
        <v>0</v>
      </c>
      <c r="J222" s="0" t="n">
        <v>4</v>
      </c>
      <c r="K222" s="0" t="n">
        <v>1</v>
      </c>
      <c r="L222" s="0" t="n">
        <v>0</v>
      </c>
      <c r="M222" s="0" t="n">
        <f aca="false">VLOOKUP(A222,'Team Data'!$A$1:$P$133,2,FALSE())</f>
        <v>11</v>
      </c>
      <c r="N222" s="0" t="n">
        <f aca="false">VLOOKUP(A222,'Team Data'!$A$1:$P$133,3,FALSE())</f>
        <v>2</v>
      </c>
      <c r="O222" s="0" t="n">
        <f aca="false">VLOOKUP(B222,'Team Data'!$A$1:$P$133,2,FALSE())</f>
        <v>5</v>
      </c>
      <c r="P222" s="0" t="n">
        <f aca="false">VLOOKUP(B222,'Team Data'!$A$1:$P$133,3,FALSE())</f>
        <v>7</v>
      </c>
      <c r="Q222" s="0" t="n">
        <f aca="false">VLOOKUP(A222,'Team Data'!$A$1:$P$133,4,FALSE())</f>
        <v>92</v>
      </c>
      <c r="R222" s="0" t="n">
        <f aca="false">VLOOKUP(A222,'Team Data'!$A$1:$P$133,5,FALSE())</f>
        <v>75</v>
      </c>
      <c r="S222" s="0" t="n">
        <f aca="false">VLOOKUP(B222,'Team Data'!$A$1:$P$133,4,FALSE())</f>
        <v>106</v>
      </c>
      <c r="T222" s="0" t="n">
        <f aca="false">VLOOKUP(B222,'Team Data'!$A$1:$P$133,5,FALSE())</f>
        <v>159</v>
      </c>
      <c r="U222" s="0" t="n">
        <f aca="false">IF(K222=1,(MIN(35,(C222-D222)))*(O222/(O222+P222))*(S222/(S222+T222)),(MAX(-35,(C222-D222)))*(IF(P222=0,0.1,(P222/(O222+P222))))*(T222/(S222+T222)))</f>
        <v>4.83333333333333</v>
      </c>
      <c r="V222" s="0" t="n">
        <f aca="false">IF(L222=1,(MIN(35,(D222-C222)))*(M222/(M222+N222))*(Q222/(Q222+R222)),(MAX(-35,(D222-C222)))*(IF(N222=0,0.1,(N222/(M222+N222))))*(R222/(R222+Q222)))</f>
        <v>-2.00368493781667</v>
      </c>
    </row>
    <row r="223" customFormat="false" ht="15" hidden="false" customHeight="false" outlineLevel="0" collapsed="false">
      <c r="A223" s="0" t="s">
        <v>121</v>
      </c>
      <c r="B223" s="0" t="s">
        <v>35</v>
      </c>
      <c r="C223" s="0" t="n">
        <v>28</v>
      </c>
      <c r="D223" s="0" t="n">
        <v>31</v>
      </c>
      <c r="E223" s="0" t="n">
        <v>286</v>
      </c>
      <c r="F223" s="0" t="n">
        <v>217</v>
      </c>
      <c r="G223" s="0" t="n">
        <v>116</v>
      </c>
      <c r="H223" s="0" t="n">
        <v>112</v>
      </c>
      <c r="I223" s="0" t="n">
        <v>3</v>
      </c>
      <c r="J223" s="0" t="n">
        <v>2</v>
      </c>
      <c r="K223" s="0" t="n">
        <v>0</v>
      </c>
      <c r="L223" s="0" t="n">
        <v>1</v>
      </c>
      <c r="M223" s="0" t="n">
        <f aca="false">VLOOKUP(A223,'Team Data'!$A$1:$P$133,2,FALSE())</f>
        <v>1</v>
      </c>
      <c r="N223" s="0" t="n">
        <f aca="false">VLOOKUP(A223,'Team Data'!$A$1:$P$133,3,FALSE())</f>
        <v>11</v>
      </c>
      <c r="O223" s="0" t="n">
        <f aca="false">VLOOKUP(B223,'Team Data'!$A$1:$P$133,2,FALSE())</f>
        <v>6</v>
      </c>
      <c r="P223" s="0" t="n">
        <f aca="false">VLOOKUP(B223,'Team Data'!$A$1:$P$133,3,FALSE())</f>
        <v>7</v>
      </c>
      <c r="Q223" s="0" t="n">
        <f aca="false">VLOOKUP(A223,'Team Data'!$A$1:$P$133,4,FALSE())</f>
        <v>91</v>
      </c>
      <c r="R223" s="0" t="n">
        <f aca="false">VLOOKUP(A223,'Team Data'!$A$1:$P$133,5,FALSE())</f>
        <v>172</v>
      </c>
      <c r="S223" s="0" t="n">
        <f aca="false">VLOOKUP(B223,'Team Data'!$A$1:$P$133,4,FALSE())</f>
        <v>106</v>
      </c>
      <c r="T223" s="0" t="n">
        <f aca="false">VLOOKUP(B223,'Team Data'!$A$1:$P$133,5,FALSE())</f>
        <v>171</v>
      </c>
      <c r="U223" s="0" t="n">
        <f aca="false">IF(K223=1,(MIN(35,(C223-D223)))*(O223/(O223+P223))*(S223/(S223+T223)),(MAX(-35,(C223-D223)))*(IF(P223=0,0.1,(P223/(O223+P223))))*(T223/(S223+T223)))</f>
        <v>-0.997222993612885</v>
      </c>
      <c r="V223" s="0" t="n">
        <f aca="false">IF(L223=1,(MIN(35,(D223-C223)))*(M223/(M223+N223))*(Q223/(Q223+R223)),(MAX(-35,(D223-C223)))*(IF(N223=0,0.1,(N223/(M223+N223))))*(R223/(R223+Q223)))</f>
        <v>0.0865019011406844</v>
      </c>
    </row>
    <row r="224" customFormat="false" ht="15" hidden="false" customHeight="false" outlineLevel="0" collapsed="false">
      <c r="A224" s="0" t="s">
        <v>198</v>
      </c>
      <c r="B224" s="0" t="s">
        <v>53</v>
      </c>
      <c r="C224" s="0" t="n">
        <v>0</v>
      </c>
      <c r="D224" s="0" t="n">
        <v>31</v>
      </c>
      <c r="E224" s="0" t="n">
        <v>58</v>
      </c>
      <c r="F224" s="0" t="n">
        <v>103</v>
      </c>
      <c r="G224" s="0" t="n">
        <v>134</v>
      </c>
      <c r="H224" s="0" t="n">
        <v>377</v>
      </c>
      <c r="I224" s="0" t="n">
        <v>1</v>
      </c>
      <c r="J224" s="0" t="n">
        <v>3</v>
      </c>
      <c r="K224" s="0" t="n">
        <v>0</v>
      </c>
      <c r="L224" s="0" t="n">
        <v>1</v>
      </c>
      <c r="M224" s="0" t="n">
        <f aca="false">VLOOKUP(A224,'Team Data'!$A$1:$P$133,2,FALSE())</f>
        <v>8</v>
      </c>
      <c r="N224" s="0" t="n">
        <f aca="false">VLOOKUP(A224,'Team Data'!$A$1:$P$133,3,FALSE())</f>
        <v>112</v>
      </c>
      <c r="O224" s="0" t="n">
        <f aca="false">VLOOKUP(B224,'Team Data'!$A$1:$P$133,2,FALSE())</f>
        <v>7</v>
      </c>
      <c r="P224" s="0" t="n">
        <f aca="false">VLOOKUP(B224,'Team Data'!$A$1:$P$133,3,FALSE())</f>
        <v>6</v>
      </c>
      <c r="Q224" s="0" t="n">
        <f aca="false">VLOOKUP(A224,'Team Data'!$A$1:$P$133,4,FALSE())</f>
        <v>805</v>
      </c>
      <c r="R224" s="0" t="n">
        <f aca="false">VLOOKUP(A224,'Team Data'!$A$1:$P$133,5,FALSE())</f>
        <v>725</v>
      </c>
      <c r="S224" s="0" t="n">
        <f aca="false">VLOOKUP(B224,'Team Data'!$A$1:$P$133,4,FALSE())</f>
        <v>101</v>
      </c>
      <c r="T224" s="0" t="n">
        <f aca="false">VLOOKUP(B224,'Team Data'!$A$1:$P$133,5,FALSE())</f>
        <v>175</v>
      </c>
      <c r="U224" s="0" t="n">
        <f aca="false">IF(K224=1,(MIN(35,(C224-D224)))*(O224/(O224+P224))*(S224/(S224+T224)),(MAX(-35,(C224-D224)))*(IF(P224=0,0.1,(P224/(O224+P224))))*(T224/(S224+T224)))</f>
        <v>-9.07190635451505</v>
      </c>
      <c r="V224" s="0" t="n">
        <f aca="false">IF(L224=1,(MIN(35,(D224-C224)))*(M224/(M224+N224))*(Q224/(Q224+R224)),(MAX(-35,(D224-C224)))*(IF(N224=0,0.1,(N224/(M224+N224))))*(R224/(R224+Q224)))</f>
        <v>1.08736383442266</v>
      </c>
    </row>
    <row r="225" customFormat="false" ht="15" hidden="false" customHeight="false" outlineLevel="0" collapsed="false">
      <c r="A225" s="0" t="s">
        <v>69</v>
      </c>
      <c r="B225" s="0" t="s">
        <v>54</v>
      </c>
      <c r="C225" s="0" t="n">
        <v>16</v>
      </c>
      <c r="D225" s="0" t="n">
        <v>31</v>
      </c>
      <c r="E225" s="0" t="n">
        <v>75</v>
      </c>
      <c r="F225" s="0" t="n">
        <v>206</v>
      </c>
      <c r="G225" s="0" t="n">
        <v>214</v>
      </c>
      <c r="H225" s="0" t="n">
        <v>210</v>
      </c>
      <c r="I225" s="0" t="n">
        <v>2</v>
      </c>
      <c r="J225" s="0" t="n">
        <v>1</v>
      </c>
      <c r="K225" s="0" t="n">
        <v>0</v>
      </c>
      <c r="L225" s="0" t="n">
        <v>1</v>
      </c>
      <c r="M225" s="0" t="n">
        <f aca="false">VLOOKUP(A225,'Team Data'!$A$1:$P$133,2,FALSE())</f>
        <v>9</v>
      </c>
      <c r="N225" s="0" t="n">
        <f aca="false">VLOOKUP(A225,'Team Data'!$A$1:$P$133,3,FALSE())</f>
        <v>4</v>
      </c>
      <c r="O225" s="0" t="n">
        <f aca="false">VLOOKUP(B225,'Team Data'!$A$1:$P$133,2,FALSE())</f>
        <v>10</v>
      </c>
      <c r="P225" s="0" t="n">
        <f aca="false">VLOOKUP(B225,'Team Data'!$A$1:$P$133,3,FALSE())</f>
        <v>4</v>
      </c>
      <c r="Q225" s="0" t="n">
        <f aca="false">VLOOKUP(A225,'Team Data'!$A$1:$P$133,4,FALSE())</f>
        <v>102</v>
      </c>
      <c r="R225" s="0" t="n">
        <f aca="false">VLOOKUP(A225,'Team Data'!$A$1:$P$133,5,FALSE())</f>
        <v>174</v>
      </c>
      <c r="S225" s="0" t="n">
        <f aca="false">VLOOKUP(B225,'Team Data'!$A$1:$P$133,4,FALSE())</f>
        <v>112</v>
      </c>
      <c r="T225" s="0" t="n">
        <f aca="false">VLOOKUP(B225,'Team Data'!$A$1:$P$133,5,FALSE())</f>
        <v>177</v>
      </c>
      <c r="U225" s="0" t="n">
        <f aca="false">IF(K225=1,(MIN(35,(C225-D225)))*(O225/(O225+P225))*(S225/(S225+T225)),(MAX(-35,(C225-D225)))*(IF(P225=0,0.1,(P225/(O225+P225))))*(T225/(S225+T225)))</f>
        <v>-2.62481463173505</v>
      </c>
      <c r="V225" s="0" t="n">
        <f aca="false">IF(L225=1,(MIN(35,(D225-C225)))*(M225/(M225+N225))*(Q225/(Q225+R225)),(MAX(-35,(D225-C225)))*(IF(N225=0,0.1,(N225/(M225+N225))))*(R225/(R225+Q225)))</f>
        <v>3.83779264214047</v>
      </c>
    </row>
    <row r="226" customFormat="false" ht="15" hidden="false" customHeight="false" outlineLevel="0" collapsed="false">
      <c r="A226" s="0" t="s">
        <v>87</v>
      </c>
      <c r="B226" s="0" t="s">
        <v>42</v>
      </c>
      <c r="C226" s="0" t="n">
        <v>42</v>
      </c>
      <c r="D226" s="0" t="n">
        <v>0</v>
      </c>
      <c r="E226" s="0" t="n">
        <v>316</v>
      </c>
      <c r="F226" s="0" t="n">
        <v>53</v>
      </c>
      <c r="G226" s="0" t="n">
        <v>231</v>
      </c>
      <c r="H226" s="0" t="n">
        <v>161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f aca="false">VLOOKUP(A226,'Team Data'!$A$1:$P$133,2,FALSE())</f>
        <v>8</v>
      </c>
      <c r="N226" s="0" t="n">
        <f aca="false">VLOOKUP(A226,'Team Data'!$A$1:$P$133,3,FALSE())</f>
        <v>5</v>
      </c>
      <c r="O226" s="0" t="n">
        <f aca="false">VLOOKUP(B226,'Team Data'!$A$1:$P$133,2,FALSE())</f>
        <v>5</v>
      </c>
      <c r="P226" s="0" t="n">
        <f aca="false">VLOOKUP(B226,'Team Data'!$A$1:$P$133,3,FALSE())</f>
        <v>7</v>
      </c>
      <c r="Q226" s="0" t="n">
        <f aca="false">VLOOKUP(A226,'Team Data'!$A$1:$P$133,4,FALSE())</f>
        <v>97</v>
      </c>
      <c r="R226" s="0" t="n">
        <f aca="false">VLOOKUP(A226,'Team Data'!$A$1:$P$133,5,FALSE())</f>
        <v>176</v>
      </c>
      <c r="S226" s="0" t="n">
        <f aca="false">VLOOKUP(B226,'Team Data'!$A$1:$P$133,4,FALSE())</f>
        <v>99</v>
      </c>
      <c r="T226" s="0" t="n">
        <f aca="false">VLOOKUP(B226,'Team Data'!$A$1:$P$133,5,FALSE())</f>
        <v>163</v>
      </c>
      <c r="U226" s="0" t="n">
        <f aca="false">IF(K226=1,(MIN(35,(C226-D226)))*(O226/(O226+P226))*(S226/(S226+T226)),(MAX(-35,(C226-D226)))*(IF(P226=0,0.1,(P226/(O226+P226))))*(T226/(S226+T226)))</f>
        <v>5.51049618320611</v>
      </c>
      <c r="V226" s="0" t="n">
        <f aca="false">IF(L226=1,(MIN(35,(D226-C226)))*(M226/(M226+N226))*(Q226/(Q226+R226)),(MAX(-35,(D226-C226)))*(IF(N226=0,0.1,(N226/(M226+N226))))*(R226/(R226+Q226)))</f>
        <v>-8.67850098619329</v>
      </c>
    </row>
    <row r="227" customFormat="false" ht="15" hidden="false" customHeight="false" outlineLevel="0" collapsed="false">
      <c r="A227" s="0" t="s">
        <v>198</v>
      </c>
      <c r="B227" s="0" t="s">
        <v>70</v>
      </c>
      <c r="C227" s="0" t="n">
        <v>17</v>
      </c>
      <c r="D227" s="0" t="n">
        <v>34</v>
      </c>
      <c r="E227" s="0" t="n">
        <v>109</v>
      </c>
      <c r="F227" s="0" t="n">
        <v>195</v>
      </c>
      <c r="G227" s="0" t="n">
        <v>199</v>
      </c>
      <c r="H227" s="0" t="n">
        <v>292</v>
      </c>
      <c r="I227" s="0" t="n">
        <v>2</v>
      </c>
      <c r="J227" s="0" t="n">
        <v>1</v>
      </c>
      <c r="K227" s="0" t="n">
        <v>0</v>
      </c>
      <c r="L227" s="0" t="n">
        <v>1</v>
      </c>
      <c r="M227" s="0" t="n">
        <f aca="false">VLOOKUP(A227,'Team Data'!$A$1:$P$133,2,FALSE())</f>
        <v>8</v>
      </c>
      <c r="N227" s="0" t="n">
        <f aca="false">VLOOKUP(A227,'Team Data'!$A$1:$P$133,3,FALSE())</f>
        <v>112</v>
      </c>
      <c r="O227" s="0" t="n">
        <f aca="false">VLOOKUP(B227,'Team Data'!$A$1:$P$133,2,FALSE())</f>
        <v>6</v>
      </c>
      <c r="P227" s="0" t="n">
        <f aca="false">VLOOKUP(B227,'Team Data'!$A$1:$P$133,3,FALSE())</f>
        <v>7</v>
      </c>
      <c r="Q227" s="0" t="n">
        <f aca="false">VLOOKUP(A227,'Team Data'!$A$1:$P$133,4,FALSE())</f>
        <v>805</v>
      </c>
      <c r="R227" s="0" t="n">
        <f aca="false">VLOOKUP(A227,'Team Data'!$A$1:$P$133,5,FALSE())</f>
        <v>725</v>
      </c>
      <c r="S227" s="0" t="n">
        <f aca="false">VLOOKUP(B227,'Team Data'!$A$1:$P$133,4,FALSE())</f>
        <v>100</v>
      </c>
      <c r="T227" s="0" t="n">
        <f aca="false">VLOOKUP(B227,'Team Data'!$A$1:$P$133,5,FALSE())</f>
        <v>176</v>
      </c>
      <c r="U227" s="0" t="n">
        <f aca="false">IF(K227=1,(MIN(35,(C227-D227)))*(O227/(O227+P227))*(S227/(S227+T227)),(MAX(-35,(C227-D227)))*(IF(P227=0,0.1,(P227/(O227+P227))))*(T227/(S227+T227)))</f>
        <v>-5.83723522853958</v>
      </c>
      <c r="V227" s="0" t="n">
        <f aca="false">IF(L227=1,(MIN(35,(D227-C227)))*(M227/(M227+N227))*(Q227/(Q227+R227)),(MAX(-35,(D227-C227)))*(IF(N227=0,0.1,(N227/(M227+N227))))*(R227/(R227+Q227)))</f>
        <v>0.596296296296296</v>
      </c>
    </row>
    <row r="228" customFormat="false" ht="15" hidden="false" customHeight="false" outlineLevel="0" collapsed="false">
      <c r="A228" s="0" t="s">
        <v>39</v>
      </c>
      <c r="B228" s="0" t="s">
        <v>99</v>
      </c>
      <c r="C228" s="0" t="n">
        <v>48</v>
      </c>
      <c r="D228" s="0" t="n">
        <v>7</v>
      </c>
      <c r="E228" s="0" t="n">
        <v>208</v>
      </c>
      <c r="F228" s="0" t="n">
        <v>92</v>
      </c>
      <c r="G228" s="0" t="n">
        <v>339</v>
      </c>
      <c r="H228" s="0" t="n">
        <v>214</v>
      </c>
      <c r="I228" s="0" t="n">
        <v>0</v>
      </c>
      <c r="J228" s="0" t="n">
        <v>3</v>
      </c>
      <c r="K228" s="0" t="n">
        <v>1</v>
      </c>
      <c r="L228" s="0" t="n">
        <v>0</v>
      </c>
      <c r="M228" s="0" t="n">
        <f aca="false">VLOOKUP(A228,'Team Data'!$A$1:$P$133,2,FALSE())</f>
        <v>15</v>
      </c>
      <c r="N228" s="0" t="n">
        <f aca="false">VLOOKUP(A228,'Team Data'!$A$1:$P$133,3,FALSE())</f>
        <v>0</v>
      </c>
      <c r="O228" s="0" t="n">
        <f aca="false">VLOOKUP(B228,'Team Data'!$A$1:$P$133,2,FALSE())</f>
        <v>8</v>
      </c>
      <c r="P228" s="0" t="n">
        <f aca="false">VLOOKUP(B228,'Team Data'!$A$1:$P$133,3,FALSE())</f>
        <v>5</v>
      </c>
      <c r="Q228" s="0" t="n">
        <f aca="false">VLOOKUP(A228,'Team Data'!$A$1:$P$133,4,FALSE())</f>
        <v>119</v>
      </c>
      <c r="R228" s="0" t="n">
        <f aca="false">VLOOKUP(A228,'Team Data'!$A$1:$P$133,5,FALSE())</f>
        <v>182</v>
      </c>
      <c r="S228" s="0" t="n">
        <f aca="false">VLOOKUP(B228,'Team Data'!$A$1:$P$133,4,FALSE())</f>
        <v>97</v>
      </c>
      <c r="T228" s="0" t="n">
        <f aca="false">VLOOKUP(B228,'Team Data'!$A$1:$P$133,5,FALSE())</f>
        <v>178</v>
      </c>
      <c r="U228" s="0" t="n">
        <f aca="false">IF(K228=1,(MIN(35,(C228-D228)))*(O228/(O228+P228))*(S228/(S228+T228)),(MAX(-35,(C228-D228)))*(IF(P228=0,0.1,(P228/(O228+P228))))*(T228/(S228+T228)))</f>
        <v>7.5972027972028</v>
      </c>
      <c r="V228" s="0" t="n">
        <f aca="false">IF(L228=1,(MIN(35,(D228-C228)))*(M228/(M228+N228))*(Q228/(Q228+R228)),(MAX(-35,(D228-C228)))*(IF(N228=0,0.1,(N228/(M228+N228))))*(R228/(R228+Q228)))</f>
        <v>-2.11627906976744</v>
      </c>
    </row>
    <row r="229" customFormat="false" ht="15" hidden="false" customHeight="false" outlineLevel="0" collapsed="false">
      <c r="A229" s="0" t="s">
        <v>7</v>
      </c>
      <c r="B229" s="0" t="s">
        <v>105</v>
      </c>
      <c r="C229" s="0" t="n">
        <v>6</v>
      </c>
      <c r="D229" s="0" t="n">
        <v>63</v>
      </c>
      <c r="E229" s="0" t="n">
        <v>35</v>
      </c>
      <c r="F229" s="0" t="n">
        <v>238</v>
      </c>
      <c r="G229" s="0" t="n">
        <v>241</v>
      </c>
      <c r="H229" s="0" t="n">
        <v>438</v>
      </c>
      <c r="I229" s="0" t="n">
        <v>1</v>
      </c>
      <c r="J229" s="0" t="n">
        <v>0</v>
      </c>
      <c r="K229" s="0" t="n">
        <v>0</v>
      </c>
      <c r="L229" s="0" t="n">
        <v>1</v>
      </c>
      <c r="M229" s="0" t="n">
        <f aca="false">VLOOKUP(A229,'Team Data'!$A$1:$P$133,2,FALSE())</f>
        <v>2</v>
      </c>
      <c r="N229" s="0" t="n">
        <f aca="false">VLOOKUP(A229,'Team Data'!$A$1:$P$133,3,FALSE())</f>
        <v>10</v>
      </c>
      <c r="O229" s="0" t="n">
        <f aca="false">VLOOKUP(B229,'Team Data'!$A$1:$P$133,2,FALSE())</f>
        <v>11</v>
      </c>
      <c r="P229" s="0" t="n">
        <f aca="false">VLOOKUP(B229,'Team Data'!$A$1:$P$133,3,FALSE())</f>
        <v>2</v>
      </c>
      <c r="Q229" s="0" t="n">
        <f aca="false">VLOOKUP(A229,'Team Data'!$A$1:$P$133,4,FALSE())</f>
        <v>82</v>
      </c>
      <c r="R229" s="0" t="n">
        <f aca="false">VLOOKUP(A229,'Team Data'!$A$1:$P$133,5,FALSE())</f>
        <v>178</v>
      </c>
      <c r="S229" s="0" t="n">
        <f aca="false">VLOOKUP(B229,'Team Data'!$A$1:$P$133,4,FALSE())</f>
        <v>103</v>
      </c>
      <c r="T229" s="0" t="n">
        <f aca="false">VLOOKUP(B229,'Team Data'!$A$1:$P$133,5,FALSE())</f>
        <v>174</v>
      </c>
      <c r="U229" s="0" t="n">
        <f aca="false">IF(K229=1,(MIN(35,(C229-D229)))*(O229/(O229+P229))*(S229/(S229+T229)),(MAX(-35,(C229-D229)))*(IF(P229=0,0.1,(P229/(O229+P229))))*(T229/(S229+T229)))</f>
        <v>-3.38239377950569</v>
      </c>
      <c r="V229" s="0" t="n">
        <f aca="false">IF(L229=1,(MIN(35,(D229-C229)))*(M229/(M229+N229))*(Q229/(Q229+R229)),(MAX(-35,(D229-C229)))*(IF(N229=0,0.1,(N229/(M229+N229))))*(R229/(R229+Q229)))</f>
        <v>1.83974358974359</v>
      </c>
    </row>
    <row r="230" customFormat="false" ht="15" hidden="false" customHeight="false" outlineLevel="0" collapsed="false">
      <c r="A230" s="0" t="s">
        <v>63</v>
      </c>
      <c r="B230" s="0" t="s">
        <v>107</v>
      </c>
      <c r="C230" s="0" t="n">
        <v>9</v>
      </c>
      <c r="D230" s="0" t="n">
        <v>17</v>
      </c>
      <c r="E230" s="0" t="n">
        <v>175</v>
      </c>
      <c r="F230" s="0" t="n">
        <v>124</v>
      </c>
      <c r="G230" s="0" t="n">
        <v>217</v>
      </c>
      <c r="H230" s="0" t="n">
        <v>140</v>
      </c>
      <c r="I230" s="0" t="n">
        <v>1</v>
      </c>
      <c r="J230" s="0" t="n">
        <v>0</v>
      </c>
      <c r="K230" s="0" t="n">
        <v>0</v>
      </c>
      <c r="L230" s="0" t="n">
        <v>1</v>
      </c>
      <c r="M230" s="0" t="n">
        <f aca="false">VLOOKUP(A230,'Team Data'!$A$1:$P$133,2,FALSE())</f>
        <v>5</v>
      </c>
      <c r="N230" s="0" t="n">
        <f aca="false">VLOOKUP(A230,'Team Data'!$A$1:$P$133,3,FALSE())</f>
        <v>7</v>
      </c>
      <c r="O230" s="0" t="n">
        <f aca="false">VLOOKUP(B230,'Team Data'!$A$1:$P$133,2,FALSE())</f>
        <v>5</v>
      </c>
      <c r="P230" s="0" t="n">
        <f aca="false">VLOOKUP(B230,'Team Data'!$A$1:$P$133,3,FALSE())</f>
        <v>7</v>
      </c>
      <c r="Q230" s="0" t="n">
        <f aca="false">VLOOKUP(A230,'Team Data'!$A$1:$P$133,4,FALSE())</f>
        <v>87</v>
      </c>
      <c r="R230" s="0" t="n">
        <f aca="false">VLOOKUP(A230,'Team Data'!$A$1:$P$133,5,FALSE())</f>
        <v>171</v>
      </c>
      <c r="S230" s="0" t="n">
        <f aca="false">VLOOKUP(B230,'Team Data'!$A$1:$P$133,4,FALSE())</f>
        <v>84</v>
      </c>
      <c r="T230" s="0" t="n">
        <f aca="false">VLOOKUP(B230,'Team Data'!$A$1:$P$133,5,FALSE())</f>
        <v>176</v>
      </c>
      <c r="U230" s="0" t="n">
        <f aca="false">IF(K230=1,(MIN(35,(C230-D230)))*(O230/(O230+P230))*(S230/(S230+T230)),(MAX(-35,(C230-D230)))*(IF(P230=0,0.1,(P230/(O230+P230))))*(T230/(S230+T230)))</f>
        <v>-3.15897435897436</v>
      </c>
      <c r="V230" s="0" t="n">
        <f aca="false">IF(L230=1,(MIN(35,(D230-C230)))*(M230/(M230+N230))*(Q230/(Q230+R230)),(MAX(-35,(D230-C230)))*(IF(N230=0,0.1,(N230/(M230+N230))))*(R230/(R230+Q230)))</f>
        <v>1.12403100775194</v>
      </c>
    </row>
    <row r="231" customFormat="false" ht="15" hidden="false" customHeight="false" outlineLevel="0" collapsed="false">
      <c r="A231" s="0" t="s">
        <v>126</v>
      </c>
      <c r="B231" s="0" t="s">
        <v>79</v>
      </c>
      <c r="C231" s="0" t="n">
        <v>38</v>
      </c>
      <c r="D231" s="0" t="n">
        <v>28</v>
      </c>
      <c r="E231" s="0" t="n">
        <v>173</v>
      </c>
      <c r="F231" s="0" t="n">
        <v>151</v>
      </c>
      <c r="G231" s="0" t="n">
        <v>255</v>
      </c>
      <c r="H231" s="0" t="n">
        <v>203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f aca="false">VLOOKUP(A231,'Team Data'!$A$1:$P$133,2,FALSE())</f>
        <v>5</v>
      </c>
      <c r="N231" s="0" t="n">
        <f aca="false">VLOOKUP(A231,'Team Data'!$A$1:$P$133,3,FALSE())</f>
        <v>7</v>
      </c>
      <c r="O231" s="0" t="n">
        <f aca="false">VLOOKUP(B231,'Team Data'!$A$1:$P$133,2,FALSE())</f>
        <v>3</v>
      </c>
      <c r="P231" s="0" t="n">
        <f aca="false">VLOOKUP(B231,'Team Data'!$A$1:$P$133,3,FALSE())</f>
        <v>9</v>
      </c>
      <c r="Q231" s="0" t="n">
        <f aca="false">VLOOKUP(A231,'Team Data'!$A$1:$P$133,4,FALSE())</f>
        <v>94</v>
      </c>
      <c r="R231" s="0" t="n">
        <f aca="false">VLOOKUP(A231,'Team Data'!$A$1:$P$133,5,FALSE())</f>
        <v>170</v>
      </c>
      <c r="S231" s="0" t="n">
        <f aca="false">VLOOKUP(B231,'Team Data'!$A$1:$P$133,4,FALSE())</f>
        <v>75</v>
      </c>
      <c r="T231" s="0" t="n">
        <f aca="false">VLOOKUP(B231,'Team Data'!$A$1:$P$133,5,FALSE())</f>
        <v>184</v>
      </c>
      <c r="U231" s="0" t="n">
        <f aca="false">IF(K231=1,(MIN(35,(C231-D231)))*(O231/(O231+P231))*(S231/(S231+T231)),(MAX(-35,(C231-D231)))*(IF(P231=0,0.1,(P231/(O231+P231))))*(T231/(S231+T231)))</f>
        <v>0.723938223938224</v>
      </c>
      <c r="V231" s="0" t="n">
        <f aca="false">IF(L231=1,(MIN(35,(D231-C231)))*(M231/(M231+N231))*(Q231/(Q231+R231)),(MAX(-35,(D231-C231)))*(IF(N231=0,0.1,(N231/(M231+N231))))*(R231/(R231+Q231)))</f>
        <v>-3.75631313131313</v>
      </c>
    </row>
    <row r="232" customFormat="false" ht="15" hidden="false" customHeight="false" outlineLevel="0" collapsed="false">
      <c r="A232" s="0" t="s">
        <v>198</v>
      </c>
      <c r="B232" s="0" t="s">
        <v>10</v>
      </c>
      <c r="C232" s="0" t="n">
        <v>28</v>
      </c>
      <c r="D232" s="0" t="n">
        <v>31</v>
      </c>
      <c r="E232" s="0" t="n">
        <v>283</v>
      </c>
      <c r="F232" s="0" t="n">
        <v>165</v>
      </c>
      <c r="G232" s="0" t="n">
        <v>124</v>
      </c>
      <c r="H232" s="0" t="n">
        <v>229</v>
      </c>
      <c r="I232" s="0" t="n">
        <v>1</v>
      </c>
      <c r="J232" s="0" t="n">
        <v>0</v>
      </c>
      <c r="K232" s="0" t="n">
        <v>0</v>
      </c>
      <c r="L232" s="0" t="n">
        <v>1</v>
      </c>
      <c r="M232" s="0" t="n">
        <f aca="false">VLOOKUP(A232,'Team Data'!$A$1:$P$133,2,FALSE())</f>
        <v>8</v>
      </c>
      <c r="N232" s="0" t="n">
        <f aca="false">VLOOKUP(A232,'Team Data'!$A$1:$P$133,3,FALSE())</f>
        <v>112</v>
      </c>
      <c r="O232" s="0" t="n">
        <f aca="false">VLOOKUP(B232,'Team Data'!$A$1:$P$133,2,FALSE())</f>
        <v>5</v>
      </c>
      <c r="P232" s="0" t="n">
        <f aca="false">VLOOKUP(B232,'Team Data'!$A$1:$P$133,3,FALSE())</f>
        <v>7</v>
      </c>
      <c r="Q232" s="0" t="n">
        <f aca="false">VLOOKUP(A232,'Team Data'!$A$1:$P$133,4,FALSE())</f>
        <v>805</v>
      </c>
      <c r="R232" s="0" t="n">
        <f aca="false">VLOOKUP(A232,'Team Data'!$A$1:$P$133,5,FALSE())</f>
        <v>725</v>
      </c>
      <c r="S232" s="0" t="n">
        <f aca="false">VLOOKUP(B232,'Team Data'!$A$1:$P$133,4,FALSE())</f>
        <v>90</v>
      </c>
      <c r="T232" s="0" t="n">
        <f aca="false">VLOOKUP(B232,'Team Data'!$A$1:$P$133,5,FALSE())</f>
        <v>172</v>
      </c>
      <c r="U232" s="0" t="n">
        <f aca="false">IF(K232=1,(MIN(35,(C232-D232)))*(O232/(O232+P232))*(S232/(S232+T232)),(MAX(-35,(C232-D232)))*(IF(P232=0,0.1,(P232/(O232+P232))))*(T232/(S232+T232)))</f>
        <v>-1.14885496183206</v>
      </c>
      <c r="V232" s="0" t="n">
        <f aca="false">IF(L232=1,(MIN(35,(D232-C232)))*(M232/(M232+N232))*(Q232/(Q232+R232)),(MAX(-35,(D232-C232)))*(IF(N232=0,0.1,(N232/(M232+N232))))*(R232/(R232+Q232)))</f>
        <v>0.105228758169935</v>
      </c>
    </row>
    <row r="233" customFormat="false" ht="15" hidden="false" customHeight="false" outlineLevel="0" collapsed="false">
      <c r="A233" s="0" t="s">
        <v>33</v>
      </c>
      <c r="B233" s="0" t="s">
        <v>11</v>
      </c>
      <c r="C233" s="0" t="n">
        <v>30</v>
      </c>
      <c r="D233" s="0" t="n">
        <v>21</v>
      </c>
      <c r="E233" s="0" t="n">
        <v>305</v>
      </c>
      <c r="F233" s="0" t="n">
        <v>170</v>
      </c>
      <c r="G233" s="0" t="n">
        <v>153</v>
      </c>
      <c r="H233" s="0" t="n">
        <v>182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f aca="false">VLOOKUP(A233,'Team Data'!$A$1:$P$133,2,FALSE())</f>
        <v>9</v>
      </c>
      <c r="N233" s="0" t="n">
        <f aca="false">VLOOKUP(A233,'Team Data'!$A$1:$P$133,3,FALSE())</f>
        <v>4</v>
      </c>
      <c r="O233" s="0" t="n">
        <f aca="false">VLOOKUP(B233,'Team Data'!$A$1:$P$133,2,FALSE())</f>
        <v>3</v>
      </c>
      <c r="P233" s="0" t="n">
        <f aca="false">VLOOKUP(B233,'Team Data'!$A$1:$P$133,3,FALSE())</f>
        <v>9</v>
      </c>
      <c r="Q233" s="0" t="n">
        <f aca="false">VLOOKUP(A233,'Team Data'!$A$1:$P$133,4,FALSE())</f>
        <v>65</v>
      </c>
      <c r="R233" s="0" t="n">
        <f aca="false">VLOOKUP(A233,'Team Data'!$A$1:$P$133,5,FALSE())</f>
        <v>203</v>
      </c>
      <c r="S233" s="0" t="n">
        <f aca="false">VLOOKUP(B233,'Team Data'!$A$1:$P$133,4,FALSE())</f>
        <v>91</v>
      </c>
      <c r="T233" s="0" t="n">
        <f aca="false">VLOOKUP(B233,'Team Data'!$A$1:$P$133,5,FALSE())</f>
        <v>171</v>
      </c>
      <c r="U233" s="0" t="n">
        <f aca="false">IF(K233=1,(MIN(35,(C233-D233)))*(O233/(O233+P233))*(S233/(S233+T233)),(MAX(-35,(C233-D233)))*(IF(P233=0,0.1,(P233/(O233+P233))))*(T233/(S233+T233)))</f>
        <v>0.781488549618321</v>
      </c>
      <c r="V233" s="0" t="n">
        <f aca="false">IF(L233=1,(MIN(35,(D233-C233)))*(M233/(M233+N233))*(Q233/(Q233+R233)),(MAX(-35,(D233-C233)))*(IF(N233=0,0.1,(N233/(M233+N233))))*(R233/(R233+Q233)))</f>
        <v>-2.09758897818599</v>
      </c>
    </row>
    <row r="234" customFormat="false" ht="15" hidden="false" customHeight="false" outlineLevel="0" collapsed="false">
      <c r="A234" s="0" t="s">
        <v>23</v>
      </c>
      <c r="B234" s="0" t="s">
        <v>81</v>
      </c>
      <c r="C234" s="0" t="n">
        <v>17</v>
      </c>
      <c r="D234" s="0" t="n">
        <v>24</v>
      </c>
      <c r="E234" s="0" t="n">
        <v>112</v>
      </c>
      <c r="F234" s="0" t="n">
        <v>147</v>
      </c>
      <c r="G234" s="0" t="n">
        <v>184</v>
      </c>
      <c r="H234" s="0" t="n">
        <v>150</v>
      </c>
      <c r="I234" s="0" t="n">
        <v>0</v>
      </c>
      <c r="J234" s="0" t="n">
        <v>1</v>
      </c>
      <c r="K234" s="0" t="n">
        <v>0</v>
      </c>
      <c r="L234" s="0" t="n">
        <v>1</v>
      </c>
      <c r="M234" s="0" t="n">
        <f aca="false">VLOOKUP(A234,'Team Data'!$A$1:$P$133,2,FALSE())</f>
        <v>4</v>
      </c>
      <c r="N234" s="0" t="n">
        <f aca="false">VLOOKUP(A234,'Team Data'!$A$1:$P$133,3,FALSE())</f>
        <v>8</v>
      </c>
      <c r="O234" s="0" t="n">
        <f aca="false">VLOOKUP(B234,'Team Data'!$A$1:$P$133,2,FALSE())</f>
        <v>9</v>
      </c>
      <c r="P234" s="0" t="n">
        <f aca="false">VLOOKUP(B234,'Team Data'!$A$1:$P$133,3,FALSE())</f>
        <v>4</v>
      </c>
      <c r="Q234" s="0" t="n">
        <f aca="false">VLOOKUP(A234,'Team Data'!$A$1:$P$133,4,FALSE())</f>
        <v>89</v>
      </c>
      <c r="R234" s="0" t="n">
        <f aca="false">VLOOKUP(A234,'Team Data'!$A$1:$P$133,5,FALSE())</f>
        <v>171</v>
      </c>
      <c r="S234" s="0" t="n">
        <f aca="false">VLOOKUP(B234,'Team Data'!$A$1:$P$133,4,FALSE())</f>
        <v>93</v>
      </c>
      <c r="T234" s="0" t="n">
        <f aca="false">VLOOKUP(B234,'Team Data'!$A$1:$P$133,5,FALSE())</f>
        <v>74</v>
      </c>
      <c r="U234" s="0" t="n">
        <f aca="false">IF(K234=1,(MIN(35,(C234-D234)))*(O234/(O234+P234))*(S234/(S234+T234)),(MAX(-35,(C234-D234)))*(IF(P234=0,0.1,(P234/(O234+P234))))*(T234/(S234+T234)))</f>
        <v>-0.954398894518655</v>
      </c>
      <c r="V234" s="0" t="n">
        <f aca="false">IF(L234=1,(MIN(35,(D234-C234)))*(M234/(M234+N234))*(Q234/(Q234+R234)),(MAX(-35,(D234-C234)))*(IF(N234=0,0.1,(N234/(M234+N234))))*(R234/(R234+Q234)))</f>
        <v>0.798717948717949</v>
      </c>
    </row>
    <row r="235" customFormat="false" ht="15" hidden="false" customHeight="false" outlineLevel="0" collapsed="false">
      <c r="A235" s="0" t="s">
        <v>29</v>
      </c>
      <c r="B235" s="0" t="s">
        <v>68</v>
      </c>
      <c r="C235" s="0" t="n">
        <v>7</v>
      </c>
      <c r="D235" s="0" t="n">
        <v>49</v>
      </c>
      <c r="E235" s="0" t="n">
        <v>136</v>
      </c>
      <c r="F235" s="0" t="n">
        <v>334</v>
      </c>
      <c r="G235" s="0" t="n">
        <v>90</v>
      </c>
      <c r="H235" s="0" t="n">
        <v>166</v>
      </c>
      <c r="I235" s="0" t="n">
        <v>1</v>
      </c>
      <c r="J235" s="0" t="n">
        <v>1</v>
      </c>
      <c r="K235" s="0" t="n">
        <v>0</v>
      </c>
      <c r="L235" s="0" t="n">
        <v>1</v>
      </c>
      <c r="M235" s="0" t="n">
        <f aca="false">VLOOKUP(A235,'Team Data'!$A$1:$P$133,2,FALSE())</f>
        <v>1</v>
      </c>
      <c r="N235" s="0" t="n">
        <f aca="false">VLOOKUP(A235,'Team Data'!$A$1:$P$133,3,FALSE())</f>
        <v>11</v>
      </c>
      <c r="O235" s="0" t="n">
        <f aca="false">VLOOKUP(B235,'Team Data'!$A$1:$P$133,2,FALSE())</f>
        <v>9</v>
      </c>
      <c r="P235" s="0" t="n">
        <f aca="false">VLOOKUP(B235,'Team Data'!$A$1:$P$133,3,FALSE())</f>
        <v>4</v>
      </c>
      <c r="Q235" s="0" t="n">
        <f aca="false">VLOOKUP(A235,'Team Data'!$A$1:$P$133,4,FALSE())</f>
        <v>105</v>
      </c>
      <c r="R235" s="0" t="n">
        <f aca="false">VLOOKUP(A235,'Team Data'!$A$1:$P$133,5,FALSE())</f>
        <v>52</v>
      </c>
      <c r="S235" s="0" t="n">
        <f aca="false">VLOOKUP(B235,'Team Data'!$A$1:$P$133,4,FALSE())</f>
        <v>79</v>
      </c>
      <c r="T235" s="0" t="n">
        <f aca="false">VLOOKUP(B235,'Team Data'!$A$1:$P$133,5,FALSE())</f>
        <v>193</v>
      </c>
      <c r="U235" s="0" t="n">
        <f aca="false">IF(K235=1,(MIN(35,(C235-D235)))*(O235/(O235+P235))*(S235/(S235+T235)),(MAX(-35,(C235-D235)))*(IF(P235=0,0.1,(P235/(O235+P235))))*(T235/(S235+T235)))</f>
        <v>-7.64140271493213</v>
      </c>
      <c r="V235" s="0" t="n">
        <f aca="false">IF(L235=1,(MIN(35,(D235-C235)))*(M235/(M235+N235))*(Q235/(Q235+R235)),(MAX(-35,(D235-C235)))*(IF(N235=0,0.1,(N235/(M235+N235))))*(R235/(R235+Q235)))</f>
        <v>1.95063694267516</v>
      </c>
    </row>
    <row r="236" customFormat="false" ht="15" hidden="false" customHeight="false" outlineLevel="0" collapsed="false">
      <c r="A236" s="0" t="s">
        <v>16</v>
      </c>
      <c r="B236" s="0" t="s">
        <v>88</v>
      </c>
      <c r="C236" s="0" t="n">
        <v>20</v>
      </c>
      <c r="D236" s="0" t="n">
        <v>41</v>
      </c>
      <c r="E236" s="0" t="n">
        <v>61</v>
      </c>
      <c r="F236" s="0" t="n">
        <v>212</v>
      </c>
      <c r="G236" s="0" t="n">
        <v>305</v>
      </c>
      <c r="H236" s="0" t="n">
        <v>227</v>
      </c>
      <c r="I236" s="0" t="n">
        <v>0</v>
      </c>
      <c r="J236" s="0" t="n">
        <v>1</v>
      </c>
      <c r="K236" s="0" t="n">
        <v>0</v>
      </c>
      <c r="L236" s="0" t="n">
        <v>1</v>
      </c>
      <c r="M236" s="0" t="n">
        <f aca="false">VLOOKUP(A236,'Team Data'!$A$1:$P$133,2,FALSE())</f>
        <v>8</v>
      </c>
      <c r="N236" s="0" t="n">
        <f aca="false">VLOOKUP(A236,'Team Data'!$A$1:$P$133,3,FALSE())</f>
        <v>5</v>
      </c>
      <c r="O236" s="0" t="n">
        <f aca="false">VLOOKUP(B236,'Team Data'!$A$1:$P$133,2,FALSE())</f>
        <v>10</v>
      </c>
      <c r="P236" s="0" t="n">
        <f aca="false">VLOOKUP(B236,'Team Data'!$A$1:$P$133,3,FALSE())</f>
        <v>3</v>
      </c>
      <c r="Q236" s="0" t="n">
        <f aca="false">VLOOKUP(A236,'Team Data'!$A$1:$P$133,4,FALSE())</f>
        <v>90</v>
      </c>
      <c r="R236" s="0" t="n">
        <f aca="false">VLOOKUP(A236,'Team Data'!$A$1:$P$133,5,FALSE())</f>
        <v>185</v>
      </c>
      <c r="S236" s="0" t="n">
        <f aca="false">VLOOKUP(B236,'Team Data'!$A$1:$P$133,4,FALSE())</f>
        <v>100</v>
      </c>
      <c r="T236" s="0" t="n">
        <f aca="false">VLOOKUP(B236,'Team Data'!$A$1:$P$133,5,FALSE())</f>
        <v>176</v>
      </c>
      <c r="U236" s="0" t="n">
        <f aca="false">IF(K236=1,(MIN(35,(C236-D236)))*(O236/(O236+P236))*(S236/(S236+T236)),(MAX(-35,(C236-D236)))*(IF(P236=0,0.1,(P236/(O236+P236))))*(T236/(S236+T236)))</f>
        <v>-3.09030100334448</v>
      </c>
      <c r="V236" s="0" t="n">
        <f aca="false">IF(L236=1,(MIN(35,(D236-C236)))*(M236/(M236+N236))*(Q236/(Q236+R236)),(MAX(-35,(D236-C236)))*(IF(N236=0,0.1,(N236/(M236+N236))))*(R236/(R236+Q236)))</f>
        <v>4.22937062937063</v>
      </c>
    </row>
    <row r="237" customFormat="false" ht="15" hidden="false" customHeight="false" outlineLevel="0" collapsed="false">
      <c r="A237" s="0" t="s">
        <v>198</v>
      </c>
      <c r="B237" s="0" t="s">
        <v>89</v>
      </c>
      <c r="C237" s="0" t="n">
        <v>28</v>
      </c>
      <c r="D237" s="0" t="n">
        <v>68</v>
      </c>
      <c r="E237" s="0" t="n">
        <v>168</v>
      </c>
      <c r="F237" s="0" t="n">
        <v>214</v>
      </c>
      <c r="G237" s="0" t="n">
        <v>101</v>
      </c>
      <c r="H237" s="0" t="n">
        <v>324</v>
      </c>
      <c r="I237" s="0" t="n">
        <v>3</v>
      </c>
      <c r="J237" s="0" t="n">
        <v>0</v>
      </c>
      <c r="K237" s="0" t="n">
        <v>0</v>
      </c>
      <c r="L237" s="0" t="n">
        <v>1</v>
      </c>
      <c r="M237" s="0" t="n">
        <f aca="false">VLOOKUP(A237,'Team Data'!$A$1:$P$133,2,FALSE())</f>
        <v>8</v>
      </c>
      <c r="N237" s="0" t="n">
        <f aca="false">VLOOKUP(A237,'Team Data'!$A$1:$P$133,3,FALSE())</f>
        <v>112</v>
      </c>
      <c r="O237" s="0" t="n">
        <f aca="false">VLOOKUP(B237,'Team Data'!$A$1:$P$133,2,FALSE())</f>
        <v>10</v>
      </c>
      <c r="P237" s="0" t="n">
        <f aca="false">VLOOKUP(B237,'Team Data'!$A$1:$P$133,3,FALSE())</f>
        <v>3</v>
      </c>
      <c r="Q237" s="0" t="n">
        <f aca="false">VLOOKUP(A237,'Team Data'!$A$1:$P$133,4,FALSE())</f>
        <v>805</v>
      </c>
      <c r="R237" s="0" t="n">
        <f aca="false">VLOOKUP(A237,'Team Data'!$A$1:$P$133,5,FALSE())</f>
        <v>725</v>
      </c>
      <c r="S237" s="0" t="n">
        <f aca="false">VLOOKUP(B237,'Team Data'!$A$1:$P$133,4,FALSE())</f>
        <v>94</v>
      </c>
      <c r="T237" s="0" t="n">
        <f aca="false">VLOOKUP(B237,'Team Data'!$A$1:$P$133,5,FALSE())</f>
        <v>182</v>
      </c>
      <c r="U237" s="0" t="n">
        <f aca="false">IF(K237=1,(MIN(35,(C237-D237)))*(O237/(O237+P237))*(S237/(S237+T237)),(MAX(-35,(C237-D237)))*(IF(P237=0,0.1,(P237/(O237+P237))))*(T237/(S237+T237)))</f>
        <v>-5.32608695652174</v>
      </c>
      <c r="V237" s="0" t="n">
        <f aca="false">IF(L237=1,(MIN(35,(D237-C237)))*(M237/(M237+N237))*(Q237/(Q237+R237)),(MAX(-35,(D237-C237)))*(IF(N237=0,0.1,(N237/(M237+N237))))*(R237/(R237+Q237)))</f>
        <v>1.2276688453159</v>
      </c>
    </row>
    <row r="238" customFormat="false" ht="15" hidden="false" customHeight="false" outlineLevel="0" collapsed="false">
      <c r="A238" s="0" t="s">
        <v>98</v>
      </c>
      <c r="B238" s="0" t="s">
        <v>116</v>
      </c>
      <c r="C238" s="0" t="n">
        <v>31</v>
      </c>
      <c r="D238" s="0" t="n">
        <v>32</v>
      </c>
      <c r="E238" s="0" t="n">
        <v>162</v>
      </c>
      <c r="F238" s="0" t="n">
        <v>144</v>
      </c>
      <c r="G238" s="0" t="n">
        <v>237</v>
      </c>
      <c r="H238" s="0" t="n">
        <v>263</v>
      </c>
      <c r="I238" s="0" t="n">
        <v>2</v>
      </c>
      <c r="J238" s="0" t="n">
        <v>2</v>
      </c>
      <c r="K238" s="0" t="n">
        <v>0</v>
      </c>
      <c r="L238" s="0" t="n">
        <v>1</v>
      </c>
      <c r="M238" s="0" t="n">
        <f aca="false">VLOOKUP(A238,'Team Data'!$A$1:$P$133,2,FALSE())</f>
        <v>10</v>
      </c>
      <c r="N238" s="0" t="n">
        <f aca="false">VLOOKUP(A238,'Team Data'!$A$1:$P$133,3,FALSE())</f>
        <v>3</v>
      </c>
      <c r="O238" s="0" t="n">
        <f aca="false">VLOOKUP(B238,'Team Data'!$A$1:$P$133,2,FALSE())</f>
        <v>9</v>
      </c>
      <c r="P238" s="0" t="n">
        <f aca="false">VLOOKUP(B238,'Team Data'!$A$1:$P$133,3,FALSE())</f>
        <v>4</v>
      </c>
      <c r="Q238" s="0" t="n">
        <f aca="false">VLOOKUP(A238,'Team Data'!$A$1:$P$133,4,FALSE())</f>
        <v>78</v>
      </c>
      <c r="R238" s="0" t="n">
        <f aca="false">VLOOKUP(A238,'Team Data'!$A$1:$P$133,5,FALSE())</f>
        <v>194</v>
      </c>
      <c r="S238" s="0" t="n">
        <f aca="false">VLOOKUP(B238,'Team Data'!$A$1:$P$133,4,FALSE())</f>
        <v>91</v>
      </c>
      <c r="T238" s="0" t="n">
        <f aca="false">VLOOKUP(B238,'Team Data'!$A$1:$P$133,5,FALSE())</f>
        <v>182</v>
      </c>
      <c r="U238" s="0" t="n">
        <f aca="false">IF(K238=1,(MIN(35,(C238-D238)))*(O238/(O238+P238))*(S238/(S238+T238)),(MAX(-35,(C238-D238)))*(IF(P238=0,0.1,(P238/(O238+P238))))*(T238/(S238+T238)))</f>
        <v>-0.205128205128205</v>
      </c>
      <c r="V238" s="0" t="n">
        <f aca="false">IF(L238=1,(MIN(35,(D238-C238)))*(M238/(M238+N238))*(Q238/(Q238+R238)),(MAX(-35,(D238-C238)))*(IF(N238=0,0.1,(N238/(M238+N238))))*(R238/(R238+Q238)))</f>
        <v>0.220588235294118</v>
      </c>
    </row>
    <row r="239" customFormat="false" ht="15" hidden="false" customHeight="false" outlineLevel="0" collapsed="false">
      <c r="A239" s="0" t="s">
        <v>38</v>
      </c>
      <c r="B239" s="0" t="s">
        <v>120</v>
      </c>
      <c r="C239" s="0" t="n">
        <v>17</v>
      </c>
      <c r="D239" s="0" t="n">
        <v>45</v>
      </c>
      <c r="E239" s="0" t="n">
        <v>164</v>
      </c>
      <c r="F239" s="0" t="n">
        <v>233</v>
      </c>
      <c r="G239" s="0" t="n">
        <v>257</v>
      </c>
      <c r="H239" s="0" t="n">
        <v>284</v>
      </c>
      <c r="I239" s="0" t="n">
        <v>2</v>
      </c>
      <c r="J239" s="0" t="n">
        <v>0</v>
      </c>
      <c r="K239" s="0" t="n">
        <v>0</v>
      </c>
      <c r="L239" s="0" t="n">
        <v>1</v>
      </c>
      <c r="M239" s="0" t="n">
        <f aca="false">VLOOKUP(A239,'Team Data'!$A$1:$P$133,2,FALSE())</f>
        <v>10</v>
      </c>
      <c r="N239" s="0" t="n">
        <f aca="false">VLOOKUP(A239,'Team Data'!$A$1:$P$133,3,FALSE())</f>
        <v>4</v>
      </c>
      <c r="O239" s="0" t="n">
        <f aca="false">VLOOKUP(B239,'Team Data'!$A$1:$P$133,2,FALSE())</f>
        <v>11</v>
      </c>
      <c r="P239" s="0" t="n">
        <f aca="false">VLOOKUP(B239,'Team Data'!$A$1:$P$133,3,FALSE())</f>
        <v>3</v>
      </c>
      <c r="Q239" s="0" t="n">
        <f aca="false">VLOOKUP(A239,'Team Data'!$A$1:$P$133,4,FALSE())</f>
        <v>95</v>
      </c>
      <c r="R239" s="0" t="n">
        <f aca="false">VLOOKUP(A239,'Team Data'!$A$1:$P$133,5,FALSE())</f>
        <v>193</v>
      </c>
      <c r="S239" s="0" t="n">
        <f aca="false">VLOOKUP(B239,'Team Data'!$A$1:$P$133,4,FALSE())</f>
        <v>98</v>
      </c>
      <c r="T239" s="0" t="n">
        <f aca="false">VLOOKUP(B239,'Team Data'!$A$1:$P$133,5,FALSE())</f>
        <v>83</v>
      </c>
      <c r="U239" s="0" t="n">
        <f aca="false">IF(K239=1,(MIN(35,(C239-D239)))*(O239/(O239+P239))*(S239/(S239+T239)),(MAX(-35,(C239-D239)))*(IF(P239=0,0.1,(P239/(O239+P239))))*(T239/(S239+T239)))</f>
        <v>-2.75138121546961</v>
      </c>
      <c r="V239" s="0" t="n">
        <f aca="false">IF(L239=1,(MIN(35,(D239-C239)))*(M239/(M239+N239))*(Q239/(Q239+R239)),(MAX(-35,(D239-C239)))*(IF(N239=0,0.1,(N239/(M239+N239))))*(R239/(R239+Q239)))</f>
        <v>6.59722222222222</v>
      </c>
    </row>
    <row r="240" customFormat="false" ht="15" hidden="false" customHeight="false" outlineLevel="0" collapsed="false">
      <c r="A240" s="0" t="s">
        <v>96</v>
      </c>
      <c r="B240" s="0" t="s">
        <v>124</v>
      </c>
      <c r="C240" s="0" t="n">
        <v>7</v>
      </c>
      <c r="D240" s="0" t="n">
        <v>35</v>
      </c>
      <c r="E240" s="0" t="n">
        <v>113</v>
      </c>
      <c r="F240" s="0" t="n">
        <v>174</v>
      </c>
      <c r="G240" s="0" t="n">
        <v>60</v>
      </c>
      <c r="H240" s="0" t="n">
        <v>224</v>
      </c>
      <c r="I240" s="0" t="n">
        <v>2</v>
      </c>
      <c r="J240" s="0" t="n">
        <v>1</v>
      </c>
      <c r="K240" s="0" t="n">
        <v>0</v>
      </c>
      <c r="L240" s="0" t="n">
        <v>1</v>
      </c>
      <c r="M240" s="0" t="n">
        <f aca="false">VLOOKUP(A240,'Team Data'!$A$1:$P$133,2,FALSE())</f>
        <v>7</v>
      </c>
      <c r="N240" s="0" t="n">
        <f aca="false">VLOOKUP(A240,'Team Data'!$A$1:$P$133,3,FALSE())</f>
        <v>6</v>
      </c>
      <c r="O240" s="0" t="n">
        <f aca="false">VLOOKUP(B240,'Team Data'!$A$1:$P$133,2,FALSE())</f>
        <v>10</v>
      </c>
      <c r="P240" s="0" t="n">
        <f aca="false">VLOOKUP(B240,'Team Data'!$A$1:$P$133,3,FALSE())</f>
        <v>4</v>
      </c>
      <c r="Q240" s="0" t="n">
        <f aca="false">VLOOKUP(A240,'Team Data'!$A$1:$P$133,4,FALSE())</f>
        <v>89</v>
      </c>
      <c r="R240" s="0" t="n">
        <f aca="false">VLOOKUP(A240,'Team Data'!$A$1:$P$133,5,FALSE())</f>
        <v>186</v>
      </c>
      <c r="S240" s="0" t="n">
        <f aca="false">VLOOKUP(B240,'Team Data'!$A$1:$P$133,4,FALSE())</f>
        <v>102</v>
      </c>
      <c r="T240" s="0" t="n">
        <f aca="false">VLOOKUP(B240,'Team Data'!$A$1:$P$133,5,FALSE())</f>
        <v>185</v>
      </c>
      <c r="U240" s="0" t="n">
        <f aca="false">IF(K240=1,(MIN(35,(C240-D240)))*(O240/(O240+P240))*(S240/(S240+T240)),(MAX(-35,(C240-D240)))*(IF(P240=0,0.1,(P240/(O240+P240))))*(T240/(S240+T240)))</f>
        <v>-5.15679442508711</v>
      </c>
      <c r="V240" s="0" t="n">
        <f aca="false">IF(L240=1,(MIN(35,(D240-C240)))*(M240/(M240+N240))*(Q240/(Q240+R240)),(MAX(-35,(D240-C240)))*(IF(N240=0,0.1,(N240/(M240+N240))))*(R240/(R240+Q240)))</f>
        <v>4.87944055944056</v>
      </c>
    </row>
    <row r="241" customFormat="false" ht="15" hidden="false" customHeight="false" outlineLevel="0" collapsed="false">
      <c r="A241" s="0" t="s">
        <v>66</v>
      </c>
      <c r="B241" s="0" t="s">
        <v>130</v>
      </c>
      <c r="C241" s="0" t="n">
        <v>28</v>
      </c>
      <c r="D241" s="0" t="n">
        <v>39</v>
      </c>
      <c r="E241" s="0" t="n">
        <v>42</v>
      </c>
      <c r="F241" s="0" t="n">
        <v>106</v>
      </c>
      <c r="G241" s="0" t="n">
        <v>323</v>
      </c>
      <c r="H241" s="0" t="n">
        <v>397</v>
      </c>
      <c r="I241" s="0" t="n">
        <v>1</v>
      </c>
      <c r="J241" s="0" t="n">
        <v>0</v>
      </c>
      <c r="K241" s="0" t="n">
        <v>0</v>
      </c>
      <c r="L241" s="0" t="n">
        <v>1</v>
      </c>
      <c r="M241" s="0" t="n">
        <f aca="false">VLOOKUP(A241,'Team Data'!$A$1:$P$133,2,FALSE())</f>
        <v>5</v>
      </c>
      <c r="N241" s="0" t="n">
        <f aca="false">VLOOKUP(A241,'Team Data'!$A$1:$P$133,3,FALSE())</f>
        <v>7</v>
      </c>
      <c r="O241" s="0" t="n">
        <f aca="false">VLOOKUP(B241,'Team Data'!$A$1:$P$133,2,FALSE())</f>
        <v>11</v>
      </c>
      <c r="P241" s="0" t="n">
        <f aca="false">VLOOKUP(B241,'Team Data'!$A$1:$P$133,3,FALSE())</f>
        <v>2</v>
      </c>
      <c r="Q241" s="0" t="n">
        <f aca="false">VLOOKUP(A241,'Team Data'!$A$1:$P$133,4,FALSE())</f>
        <v>93</v>
      </c>
      <c r="R241" s="0" t="n">
        <f aca="false">VLOOKUP(A241,'Team Data'!$A$1:$P$133,5,FALSE())</f>
        <v>60</v>
      </c>
      <c r="S241" s="0" t="n">
        <f aca="false">VLOOKUP(B241,'Team Data'!$A$1:$P$133,4,FALSE())</f>
        <v>78</v>
      </c>
      <c r="T241" s="0" t="n">
        <f aca="false">VLOOKUP(B241,'Team Data'!$A$1:$P$133,5,FALSE())</f>
        <v>191</v>
      </c>
      <c r="U241" s="0" t="n">
        <f aca="false">IF(K241=1,(MIN(35,(C241-D241)))*(O241/(O241+P241))*(S241/(S241+T241)),(MAX(-35,(C241-D241)))*(IF(P241=0,0.1,(P241/(O241+P241))))*(T241/(S241+T241)))</f>
        <v>-1.20160137260509</v>
      </c>
      <c r="V241" s="0" t="n">
        <f aca="false">IF(L241=1,(MIN(35,(D241-C241)))*(M241/(M241+N241))*(Q241/(Q241+R241)),(MAX(-35,(D241-C241)))*(IF(N241=0,0.1,(N241/(M241+N241))))*(R241/(R241+Q241)))</f>
        <v>2.7859477124183</v>
      </c>
    </row>
    <row r="242" customFormat="false" ht="15" hidden="false" customHeight="false" outlineLevel="0" collapsed="false">
      <c r="A242" s="0" t="s">
        <v>30</v>
      </c>
      <c r="B242" s="0" t="s">
        <v>131</v>
      </c>
      <c r="C242" s="0" t="n">
        <v>7</v>
      </c>
      <c r="D242" s="0" t="n">
        <v>38</v>
      </c>
      <c r="E242" s="0" t="n">
        <v>37</v>
      </c>
      <c r="F242" s="0" t="n">
        <v>148</v>
      </c>
      <c r="G242" s="0" t="n">
        <v>212</v>
      </c>
      <c r="H242" s="0" t="n">
        <v>299</v>
      </c>
      <c r="I242" s="0" t="n">
        <v>2</v>
      </c>
      <c r="J242" s="0" t="n">
        <v>2</v>
      </c>
      <c r="K242" s="0" t="n">
        <v>0</v>
      </c>
      <c r="L242" s="0" t="n">
        <v>1</v>
      </c>
      <c r="M242" s="0" t="n">
        <f aca="false">VLOOKUP(A242,'Team Data'!$A$1:$P$133,2,FALSE())</f>
        <v>3</v>
      </c>
      <c r="N242" s="0" t="n">
        <f aca="false">VLOOKUP(A242,'Team Data'!$A$1:$P$133,3,FALSE())</f>
        <v>9</v>
      </c>
      <c r="O242" s="0" t="n">
        <f aca="false">VLOOKUP(B242,'Team Data'!$A$1:$P$133,2,FALSE())</f>
        <v>7</v>
      </c>
      <c r="P242" s="0" t="n">
        <f aca="false">VLOOKUP(B242,'Team Data'!$A$1:$P$133,3,FALSE())</f>
        <v>6</v>
      </c>
      <c r="Q242" s="0" t="n">
        <f aca="false">VLOOKUP(A242,'Team Data'!$A$1:$P$133,4,FALSE())</f>
        <v>83</v>
      </c>
      <c r="R242" s="0" t="n">
        <f aca="false">VLOOKUP(A242,'Team Data'!$A$1:$P$133,5,FALSE())</f>
        <v>179</v>
      </c>
      <c r="S242" s="0" t="n">
        <f aca="false">VLOOKUP(B242,'Team Data'!$A$1:$P$133,4,FALSE())</f>
        <v>95</v>
      </c>
      <c r="T242" s="0" t="n">
        <f aca="false">VLOOKUP(B242,'Team Data'!$A$1:$P$133,5,FALSE())</f>
        <v>179</v>
      </c>
      <c r="U242" s="0" t="n">
        <f aca="false">IF(K242=1,(MIN(35,(C242-D242)))*(O242/(O242+P242))*(S242/(S242+T242)),(MAX(-35,(C242-D242)))*(IF(P242=0,0.1,(P242/(O242+P242))))*(T242/(S242+T242)))</f>
        <v>-9.34699606962381</v>
      </c>
      <c r="V242" s="0" t="n">
        <f aca="false">IF(L242=1,(MIN(35,(D242-C242)))*(M242/(M242+N242))*(Q242/(Q242+R242)),(MAX(-35,(D242-C242)))*(IF(N242=0,0.1,(N242/(M242+N242))))*(R242/(R242+Q242)))</f>
        <v>2.45515267175573</v>
      </c>
    </row>
    <row r="243" customFormat="false" ht="15" hidden="false" customHeight="false" outlineLevel="0" collapsed="false">
      <c r="A243" s="0" t="s">
        <v>50</v>
      </c>
      <c r="B243" s="0" t="s">
        <v>44</v>
      </c>
      <c r="C243" s="0" t="n">
        <v>48</v>
      </c>
      <c r="D243" s="0" t="n">
        <v>30</v>
      </c>
      <c r="E243" s="0" t="n">
        <v>280</v>
      </c>
      <c r="F243" s="0" t="n">
        <v>174</v>
      </c>
      <c r="G243" s="0" t="n">
        <v>158</v>
      </c>
      <c r="H243" s="0" t="n">
        <v>272</v>
      </c>
      <c r="I243" s="0" t="n">
        <v>0</v>
      </c>
      <c r="J243" s="0" t="n">
        <v>2</v>
      </c>
      <c r="K243" s="0" t="n">
        <v>1</v>
      </c>
      <c r="L243" s="0" t="n">
        <v>0</v>
      </c>
      <c r="M243" s="0" t="n">
        <f aca="false">VLOOKUP(A243,'Team Data'!$A$1:$P$133,2,FALSE())</f>
        <v>6</v>
      </c>
      <c r="N243" s="0" t="n">
        <f aca="false">VLOOKUP(A243,'Team Data'!$A$1:$P$133,3,FALSE())</f>
        <v>7</v>
      </c>
      <c r="O243" s="0" t="n">
        <f aca="false">VLOOKUP(B243,'Team Data'!$A$1:$P$133,2,FALSE())</f>
        <v>8</v>
      </c>
      <c r="P243" s="0" t="n">
        <f aca="false">VLOOKUP(B243,'Team Data'!$A$1:$P$133,3,FALSE())</f>
        <v>5</v>
      </c>
      <c r="Q243" s="0" t="n">
        <f aca="false">VLOOKUP(A243,'Team Data'!$A$1:$P$133,4,FALSE())</f>
        <v>99</v>
      </c>
      <c r="R243" s="0" t="n">
        <f aca="false">VLOOKUP(A243,'Team Data'!$A$1:$P$133,5,FALSE())</f>
        <v>178</v>
      </c>
      <c r="S243" s="0" t="n">
        <f aca="false">VLOOKUP(B243,'Team Data'!$A$1:$P$133,4,FALSE())</f>
        <v>83</v>
      </c>
      <c r="T243" s="0" t="n">
        <f aca="false">VLOOKUP(B243,'Team Data'!$A$1:$P$133,5,FALSE())</f>
        <v>84</v>
      </c>
      <c r="U243" s="0" t="n">
        <f aca="false">IF(K243=1,(MIN(35,(C243-D243)))*(O243/(O243+P243))*(S243/(S243+T243)),(MAX(-35,(C243-D243)))*(IF(P243=0,0.1,(P243/(O243+P243))))*(T243/(S243+T243)))</f>
        <v>5.50529709811147</v>
      </c>
      <c r="V243" s="0" t="n">
        <f aca="false">IF(L243=1,(MIN(35,(D243-C243)))*(M243/(M243+N243))*(Q243/(Q243+R243)),(MAX(-35,(D243-C243)))*(IF(N243=0,0.1,(N243/(M243+N243))))*(R243/(R243+Q243)))</f>
        <v>-6.22826992502083</v>
      </c>
    </row>
    <row r="244" customFormat="false" ht="15" hidden="false" customHeight="false" outlineLevel="0" collapsed="false">
      <c r="A244" s="0" t="s">
        <v>82</v>
      </c>
      <c r="B244" s="0" t="s">
        <v>48</v>
      </c>
      <c r="C244" s="0" t="n">
        <v>10</v>
      </c>
      <c r="D244" s="0" t="n">
        <v>43</v>
      </c>
      <c r="E244" s="0" t="n">
        <v>24</v>
      </c>
      <c r="F244" s="0" t="n">
        <v>163</v>
      </c>
      <c r="G244" s="0" t="n">
        <v>209</v>
      </c>
      <c r="H244" s="0" t="n">
        <v>300</v>
      </c>
      <c r="I244" s="0" t="n">
        <v>4</v>
      </c>
      <c r="J244" s="0" t="n">
        <v>1</v>
      </c>
      <c r="K244" s="0" t="n">
        <v>0</v>
      </c>
      <c r="L244" s="0" t="n">
        <v>1</v>
      </c>
      <c r="M244" s="0" t="n">
        <f aca="false">VLOOKUP(A244,'Team Data'!$A$1:$P$133,2,FALSE())</f>
        <v>10</v>
      </c>
      <c r="N244" s="0" t="n">
        <f aca="false">VLOOKUP(A244,'Team Data'!$A$1:$P$133,3,FALSE())</f>
        <v>4</v>
      </c>
      <c r="O244" s="0" t="n">
        <f aca="false">VLOOKUP(B244,'Team Data'!$A$1:$P$133,2,FALSE())</f>
        <v>4</v>
      </c>
      <c r="P244" s="0" t="n">
        <f aca="false">VLOOKUP(B244,'Team Data'!$A$1:$P$133,3,FALSE())</f>
        <v>8</v>
      </c>
      <c r="Q244" s="0" t="n">
        <f aca="false">VLOOKUP(A244,'Team Data'!$A$1:$P$133,4,FALSE())</f>
        <v>83</v>
      </c>
      <c r="R244" s="0" t="n">
        <f aca="false">VLOOKUP(A244,'Team Data'!$A$1:$P$133,5,FALSE())</f>
        <v>200</v>
      </c>
      <c r="S244" s="0" t="n">
        <f aca="false">VLOOKUP(B244,'Team Data'!$A$1:$P$133,4,FALSE())</f>
        <v>95</v>
      </c>
      <c r="T244" s="0" t="n">
        <f aca="false">VLOOKUP(B244,'Team Data'!$A$1:$P$133,5,FALSE())</f>
        <v>171</v>
      </c>
      <c r="U244" s="0" t="n">
        <f aca="false">IF(K244=1,(MIN(35,(C244-D244)))*(O244/(O244+P244))*(S244/(S244+T244)),(MAX(-35,(C244-D244)))*(IF(P244=0,0.1,(P244/(O244+P244))))*(T244/(S244+T244)))</f>
        <v>-14.1428571428571</v>
      </c>
      <c r="V244" s="0" t="n">
        <f aca="false">IF(L244=1,(MIN(35,(D244-C244)))*(M244/(M244+N244))*(Q244/(Q244+R244)),(MAX(-35,(D244-C244)))*(IF(N244=0,0.1,(N244/(M244+N244))))*(R244/(R244+Q244)))</f>
        <v>6.91317516405856</v>
      </c>
    </row>
    <row r="245" customFormat="false" ht="15" hidden="false" customHeight="false" outlineLevel="0" collapsed="false">
      <c r="A245" s="0" t="s">
        <v>84</v>
      </c>
      <c r="B245" s="0" t="s">
        <v>73</v>
      </c>
      <c r="C245" s="0" t="n">
        <v>49</v>
      </c>
      <c r="D245" s="0" t="n">
        <v>14</v>
      </c>
      <c r="E245" s="0" t="n">
        <v>312</v>
      </c>
      <c r="F245" s="0" t="n">
        <v>163</v>
      </c>
      <c r="G245" s="0" t="n">
        <v>268</v>
      </c>
      <c r="H245" s="0" t="n">
        <v>164</v>
      </c>
      <c r="I245" s="0" t="n">
        <v>1</v>
      </c>
      <c r="J245" s="0" t="n">
        <v>2</v>
      </c>
      <c r="K245" s="0" t="n">
        <v>1</v>
      </c>
      <c r="L245" s="0" t="n">
        <v>0</v>
      </c>
      <c r="M245" s="0" t="n">
        <f aca="false">VLOOKUP(A245,'Team Data'!$A$1:$P$133,2,FALSE())</f>
        <v>6</v>
      </c>
      <c r="N245" s="0" t="n">
        <f aca="false">VLOOKUP(A245,'Team Data'!$A$1:$P$133,3,FALSE())</f>
        <v>7</v>
      </c>
      <c r="O245" s="0" t="n">
        <f aca="false">VLOOKUP(B245,'Team Data'!$A$1:$P$133,2,FALSE())</f>
        <v>4</v>
      </c>
      <c r="P245" s="0" t="n">
        <f aca="false">VLOOKUP(B245,'Team Data'!$A$1:$P$133,3,FALSE())</f>
        <v>8</v>
      </c>
      <c r="Q245" s="0" t="n">
        <f aca="false">VLOOKUP(A245,'Team Data'!$A$1:$P$133,4,FALSE())</f>
        <v>91</v>
      </c>
      <c r="R245" s="0" t="n">
        <f aca="false">VLOOKUP(A245,'Team Data'!$A$1:$P$133,5,FALSE())</f>
        <v>76</v>
      </c>
      <c r="S245" s="0" t="n">
        <f aca="false">VLOOKUP(B245,'Team Data'!$A$1:$P$133,4,FALSE())</f>
        <v>82</v>
      </c>
      <c r="T245" s="0" t="n">
        <f aca="false">VLOOKUP(B245,'Team Data'!$A$1:$P$133,5,FALSE())</f>
        <v>180</v>
      </c>
      <c r="U245" s="0" t="n">
        <f aca="false">IF(K245=1,(MIN(35,(C245-D245)))*(O245/(O245+P245))*(S245/(S245+T245)),(MAX(-35,(C245-D245)))*(IF(P245=0,0.1,(P245/(O245+P245))))*(T245/(S245+T245)))</f>
        <v>3.65139949109415</v>
      </c>
      <c r="V245" s="0" t="n">
        <f aca="false">IF(L245=1,(MIN(35,(D245-C245)))*(M245/(M245+N245))*(Q245/(Q245+R245)),(MAX(-35,(D245-C245)))*(IF(N245=0,0.1,(N245/(M245+N245))))*(R245/(R245+Q245)))</f>
        <v>-8.57669276830954</v>
      </c>
    </row>
    <row r="246" customFormat="false" ht="15" hidden="false" customHeight="false" outlineLevel="0" collapsed="false">
      <c r="A246" s="0" t="s">
        <v>108</v>
      </c>
      <c r="B246" s="0" t="s">
        <v>18</v>
      </c>
      <c r="C246" s="0" t="n">
        <v>7</v>
      </c>
      <c r="D246" s="0" t="n">
        <v>42</v>
      </c>
      <c r="E246" s="0" t="n">
        <v>82</v>
      </c>
      <c r="F246" s="0" t="n">
        <v>293</v>
      </c>
      <c r="G246" s="0" t="n">
        <v>186</v>
      </c>
      <c r="H246" s="0" t="n">
        <v>208</v>
      </c>
      <c r="I246" s="0" t="n">
        <v>1</v>
      </c>
      <c r="J246" s="0" t="n">
        <v>3</v>
      </c>
      <c r="K246" s="0" t="n">
        <v>0</v>
      </c>
      <c r="L246" s="0" t="n">
        <v>1</v>
      </c>
      <c r="M246" s="0" t="n">
        <f aca="false">VLOOKUP(A246,'Team Data'!$A$1:$P$133,2,FALSE())</f>
        <v>4</v>
      </c>
      <c r="N246" s="0" t="n">
        <f aca="false">VLOOKUP(A246,'Team Data'!$A$1:$P$133,3,FALSE())</f>
        <v>8</v>
      </c>
      <c r="O246" s="0" t="n">
        <f aca="false">VLOOKUP(B246,'Team Data'!$A$1:$P$133,2,FALSE())</f>
        <v>6</v>
      </c>
      <c r="P246" s="0" t="n">
        <f aca="false">VLOOKUP(B246,'Team Data'!$A$1:$P$133,3,FALSE())</f>
        <v>7</v>
      </c>
      <c r="Q246" s="0" t="n">
        <f aca="false">VLOOKUP(A246,'Team Data'!$A$1:$P$133,4,FALSE())</f>
        <v>76</v>
      </c>
      <c r="R246" s="0" t="n">
        <f aca="false">VLOOKUP(A246,'Team Data'!$A$1:$P$133,5,FALSE())</f>
        <v>181</v>
      </c>
      <c r="S246" s="0" t="n">
        <f aca="false">VLOOKUP(B246,'Team Data'!$A$1:$P$133,4,FALSE())</f>
        <v>97</v>
      </c>
      <c r="T246" s="0" t="n">
        <f aca="false">VLOOKUP(B246,'Team Data'!$A$1:$P$133,5,FALSE())</f>
        <v>179</v>
      </c>
      <c r="U246" s="0" t="n">
        <f aca="false">IF(K246=1,(MIN(35,(C246-D246)))*(O246/(O246+P246))*(S246/(S246+T246)),(MAX(-35,(C246-D246)))*(IF(P246=0,0.1,(P246/(O246+P246))))*(T246/(S246+T246)))</f>
        <v>-12.2226867335563</v>
      </c>
      <c r="V246" s="0" t="n">
        <f aca="false">IF(L246=1,(MIN(35,(D246-C246)))*(M246/(M246+N246))*(Q246/(Q246+R246)),(MAX(-35,(D246-C246)))*(IF(N246=0,0.1,(N246/(M246+N246))))*(R246/(R246+Q246)))</f>
        <v>3.45006485084306</v>
      </c>
    </row>
    <row r="247" customFormat="false" ht="15" hidden="false" customHeight="false" outlineLevel="0" collapsed="false">
      <c r="A247" s="0" t="s">
        <v>109</v>
      </c>
      <c r="B247" s="0" t="s">
        <v>71</v>
      </c>
      <c r="C247" s="0" t="n">
        <v>14</v>
      </c>
      <c r="D247" s="0" t="n">
        <v>27</v>
      </c>
      <c r="E247" s="0" t="n">
        <v>54</v>
      </c>
      <c r="F247" s="0" t="n">
        <v>111</v>
      </c>
      <c r="G247" s="0" t="n">
        <v>299</v>
      </c>
      <c r="H247" s="0" t="n">
        <v>159</v>
      </c>
      <c r="I247" s="0" t="n">
        <v>4</v>
      </c>
      <c r="J247" s="0" t="n">
        <v>1</v>
      </c>
      <c r="K247" s="0" t="n">
        <v>0</v>
      </c>
      <c r="L247" s="0" t="n">
        <v>1</v>
      </c>
      <c r="M247" s="0" t="n">
        <f aca="false">VLOOKUP(A247,'Team Data'!$A$1:$P$133,2,FALSE())</f>
        <v>8</v>
      </c>
      <c r="N247" s="0" t="n">
        <f aca="false">VLOOKUP(A247,'Team Data'!$A$1:$P$133,3,FALSE())</f>
        <v>5</v>
      </c>
      <c r="O247" s="0" t="n">
        <f aca="false">VLOOKUP(B247,'Team Data'!$A$1:$P$133,2,FALSE())</f>
        <v>8</v>
      </c>
      <c r="P247" s="0" t="n">
        <f aca="false">VLOOKUP(B247,'Team Data'!$A$1:$P$133,3,FALSE())</f>
        <v>5</v>
      </c>
      <c r="Q247" s="0" t="n">
        <f aca="false">VLOOKUP(A247,'Team Data'!$A$1:$P$133,4,FALSE())</f>
        <v>97</v>
      </c>
      <c r="R247" s="0" t="n">
        <f aca="false">VLOOKUP(A247,'Team Data'!$A$1:$P$133,5,FALSE())</f>
        <v>180</v>
      </c>
      <c r="S247" s="0" t="n">
        <f aca="false">VLOOKUP(B247,'Team Data'!$A$1:$P$133,4,FALSE())</f>
        <v>97</v>
      </c>
      <c r="T247" s="0" t="n">
        <f aca="false">VLOOKUP(B247,'Team Data'!$A$1:$P$133,5,FALSE())</f>
        <v>178</v>
      </c>
      <c r="U247" s="0" t="n">
        <f aca="false">IF(K247=1,(MIN(35,(C247-D247)))*(O247/(O247+P247))*(S247/(S247+T247)),(MAX(-35,(C247-D247)))*(IF(P247=0,0.1,(P247/(O247+P247))))*(T247/(S247+T247)))</f>
        <v>-3.23636363636364</v>
      </c>
      <c r="V247" s="0" t="n">
        <f aca="false">IF(L247=1,(MIN(35,(D247-C247)))*(M247/(M247+N247))*(Q247/(Q247+R247)),(MAX(-35,(D247-C247)))*(IF(N247=0,0.1,(N247/(M247+N247))))*(R247/(R247+Q247)))</f>
        <v>2.8014440433213</v>
      </c>
    </row>
    <row r="248" customFormat="false" ht="15" hidden="false" customHeight="false" outlineLevel="0" collapsed="false">
      <c r="A248" s="0" t="s">
        <v>198</v>
      </c>
      <c r="B248" s="0" t="s">
        <v>132</v>
      </c>
      <c r="C248" s="0" t="n">
        <v>7</v>
      </c>
      <c r="D248" s="0" t="n">
        <v>65</v>
      </c>
      <c r="E248" s="0" t="n">
        <v>82</v>
      </c>
      <c r="F248" s="0" t="n">
        <v>316</v>
      </c>
      <c r="G248" s="0" t="n">
        <v>98</v>
      </c>
      <c r="H248" s="0" t="n">
        <v>308</v>
      </c>
      <c r="I248" s="0" t="n">
        <v>1</v>
      </c>
      <c r="J248" s="0" t="n">
        <v>0</v>
      </c>
      <c r="K248" s="0" t="n">
        <v>0</v>
      </c>
      <c r="L248" s="0" t="n">
        <v>1</v>
      </c>
      <c r="M248" s="0" t="n">
        <f aca="false">VLOOKUP(A248,'Team Data'!$A$1:$P$133,2,FALSE())</f>
        <v>8</v>
      </c>
      <c r="N248" s="0" t="n">
        <f aca="false">VLOOKUP(A248,'Team Data'!$A$1:$P$133,3,FALSE())</f>
        <v>112</v>
      </c>
      <c r="O248" s="0" t="n">
        <f aca="false">VLOOKUP(B248,'Team Data'!$A$1:$P$133,2,FALSE())</f>
        <v>5</v>
      </c>
      <c r="P248" s="0" t="n">
        <f aca="false">VLOOKUP(B248,'Team Data'!$A$1:$P$133,3,FALSE())</f>
        <v>7</v>
      </c>
      <c r="Q248" s="0" t="n">
        <f aca="false">VLOOKUP(A248,'Team Data'!$A$1:$P$133,4,FALSE())</f>
        <v>805</v>
      </c>
      <c r="R248" s="0" t="n">
        <f aca="false">VLOOKUP(A248,'Team Data'!$A$1:$P$133,5,FALSE())</f>
        <v>725</v>
      </c>
      <c r="S248" s="0" t="n">
        <f aca="false">VLOOKUP(B248,'Team Data'!$A$1:$P$133,4,FALSE())</f>
        <v>88</v>
      </c>
      <c r="T248" s="0" t="n">
        <f aca="false">VLOOKUP(B248,'Team Data'!$A$1:$P$133,5,FALSE())</f>
        <v>175</v>
      </c>
      <c r="U248" s="0" t="n">
        <f aca="false">IF(K248=1,(MIN(35,(C248-D248)))*(O248/(O248+P248))*(S248/(S248+T248)),(MAX(-35,(C248-D248)))*(IF(P248=0,0.1,(P248/(O248+P248))))*(T248/(S248+T248)))</f>
        <v>-13.5852344740177</v>
      </c>
      <c r="V248" s="0" t="n">
        <f aca="false">IF(L248=1,(MIN(35,(D248-C248)))*(M248/(M248+N248))*(Q248/(Q248+R248)),(MAX(-35,(D248-C248)))*(IF(N248=0,0.1,(N248/(M248+N248))))*(R248/(R248+Q248)))</f>
        <v>1.2276688453159</v>
      </c>
    </row>
    <row r="249" customFormat="false" ht="15" hidden="false" customHeight="false" outlineLevel="0" collapsed="false">
      <c r="A249" s="0" t="s">
        <v>112</v>
      </c>
      <c r="B249" s="0" t="s">
        <v>51</v>
      </c>
      <c r="C249" s="0" t="n">
        <v>17</v>
      </c>
      <c r="D249" s="0" t="n">
        <v>10</v>
      </c>
      <c r="E249" s="0" t="n">
        <v>160</v>
      </c>
      <c r="F249" s="0" t="n">
        <v>186</v>
      </c>
      <c r="G249" s="0" t="n">
        <v>176</v>
      </c>
      <c r="H249" s="0" t="n">
        <v>150</v>
      </c>
      <c r="I249" s="0" t="n">
        <v>2</v>
      </c>
      <c r="J249" s="0" t="n">
        <v>0</v>
      </c>
      <c r="K249" s="0" t="n">
        <v>1</v>
      </c>
      <c r="L249" s="0" t="n">
        <v>0</v>
      </c>
      <c r="M249" s="0" t="n">
        <f aca="false">VLOOKUP(A249,'Team Data'!$A$1:$P$133,2,FALSE())</f>
        <v>12</v>
      </c>
      <c r="N249" s="0" t="n">
        <f aca="false">VLOOKUP(A249,'Team Data'!$A$1:$P$133,3,FALSE())</f>
        <v>2</v>
      </c>
      <c r="O249" s="0" t="n">
        <f aca="false">VLOOKUP(B249,'Team Data'!$A$1:$P$133,2,FALSE())</f>
        <v>10</v>
      </c>
      <c r="P249" s="0" t="n">
        <f aca="false">VLOOKUP(B249,'Team Data'!$A$1:$P$133,3,FALSE())</f>
        <v>4</v>
      </c>
      <c r="Q249" s="0" t="n">
        <f aca="false">VLOOKUP(A249,'Team Data'!$A$1:$P$133,4,FALSE())</f>
        <v>100</v>
      </c>
      <c r="R249" s="0" t="n">
        <f aca="false">VLOOKUP(A249,'Team Data'!$A$1:$P$133,5,FALSE())</f>
        <v>190</v>
      </c>
      <c r="S249" s="0" t="n">
        <f aca="false">VLOOKUP(B249,'Team Data'!$A$1:$P$133,4,FALSE())</f>
        <v>113</v>
      </c>
      <c r="T249" s="0" t="n">
        <f aca="false">VLOOKUP(B249,'Team Data'!$A$1:$P$133,5,FALSE())</f>
        <v>179</v>
      </c>
      <c r="U249" s="0" t="n">
        <f aca="false">IF(K249=1,(MIN(35,(C249-D249)))*(O249/(O249+P249))*(S249/(S249+T249)),(MAX(-35,(C249-D249)))*(IF(P249=0,0.1,(P249/(O249+P249))))*(T249/(S249+T249)))</f>
        <v>1.93493150684932</v>
      </c>
      <c r="V249" s="0" t="n">
        <f aca="false">IF(L249=1,(MIN(35,(D249-C249)))*(M249/(M249+N249))*(Q249/(Q249+R249)),(MAX(-35,(D249-C249)))*(IF(N249=0,0.1,(N249/(M249+N249))))*(R249/(R249+Q249)))</f>
        <v>-0.655172413793103</v>
      </c>
    </row>
    <row r="250" customFormat="false" ht="15" hidden="false" customHeight="false" outlineLevel="0" collapsed="false">
      <c r="A250" s="0" t="s">
        <v>198</v>
      </c>
      <c r="B250" s="0" t="s">
        <v>85</v>
      </c>
      <c r="C250" s="0" t="n">
        <v>7</v>
      </c>
      <c r="D250" s="0" t="n">
        <v>63</v>
      </c>
      <c r="E250" s="0" t="n">
        <v>81</v>
      </c>
      <c r="F250" s="0" t="n">
        <v>168</v>
      </c>
      <c r="G250" s="0" t="n">
        <v>149</v>
      </c>
      <c r="H250" s="0" t="n">
        <v>370</v>
      </c>
      <c r="I250" s="0" t="n">
        <v>0</v>
      </c>
      <c r="J250" s="0" t="n">
        <v>2</v>
      </c>
      <c r="K250" s="0" t="n">
        <v>0</v>
      </c>
      <c r="L250" s="0" t="n">
        <v>1</v>
      </c>
      <c r="M250" s="0" t="n">
        <f aca="false">VLOOKUP(A250,'Team Data'!$A$1:$P$133,2,FALSE())</f>
        <v>8</v>
      </c>
      <c r="N250" s="0" t="n">
        <f aca="false">VLOOKUP(A250,'Team Data'!$A$1:$P$133,3,FALSE())</f>
        <v>112</v>
      </c>
      <c r="O250" s="0" t="n">
        <f aca="false">VLOOKUP(B250,'Team Data'!$A$1:$P$133,2,FALSE())</f>
        <v>7</v>
      </c>
      <c r="P250" s="0" t="n">
        <f aca="false">VLOOKUP(B250,'Team Data'!$A$1:$P$133,3,FALSE())</f>
        <v>6</v>
      </c>
      <c r="Q250" s="0" t="n">
        <f aca="false">VLOOKUP(A250,'Team Data'!$A$1:$P$133,4,FALSE())</f>
        <v>805</v>
      </c>
      <c r="R250" s="0" t="n">
        <f aca="false">VLOOKUP(A250,'Team Data'!$A$1:$P$133,5,FALSE())</f>
        <v>725</v>
      </c>
      <c r="S250" s="0" t="n">
        <f aca="false">VLOOKUP(B250,'Team Data'!$A$1:$P$133,4,FALSE())</f>
        <v>88</v>
      </c>
      <c r="T250" s="0" t="n">
        <f aca="false">VLOOKUP(B250,'Team Data'!$A$1:$P$133,5,FALSE())</f>
        <v>187</v>
      </c>
      <c r="U250" s="0" t="n">
        <f aca="false">IF(K250=1,(MIN(35,(C250-D250)))*(O250/(O250+P250))*(S250/(S250+T250)),(MAX(-35,(C250-D250)))*(IF(P250=0,0.1,(P250/(O250+P250))))*(T250/(S250+T250)))</f>
        <v>-10.9846153846154</v>
      </c>
      <c r="V250" s="0" t="n">
        <f aca="false">IF(L250=1,(MIN(35,(D250-C250)))*(M250/(M250+N250))*(Q250/(Q250+R250)),(MAX(-35,(D250-C250)))*(IF(N250=0,0.1,(N250/(M250+N250))))*(R250/(R250+Q250)))</f>
        <v>1.2276688453159</v>
      </c>
    </row>
    <row r="251" customFormat="false" ht="15" hidden="false" customHeight="false" outlineLevel="0" collapsed="false">
      <c r="A251" s="0" t="s">
        <v>198</v>
      </c>
      <c r="B251" s="0" t="s">
        <v>14</v>
      </c>
      <c r="C251" s="0" t="n">
        <v>10</v>
      </c>
      <c r="D251" s="0" t="n">
        <v>49</v>
      </c>
      <c r="E251" s="0" t="n">
        <v>173</v>
      </c>
      <c r="F251" s="0" t="n">
        <v>472</v>
      </c>
      <c r="G251" s="0" t="n">
        <v>74</v>
      </c>
      <c r="H251" s="0" t="n">
        <v>0</v>
      </c>
      <c r="I251" s="0" t="n">
        <v>2</v>
      </c>
      <c r="J251" s="0" t="n">
        <v>0</v>
      </c>
      <c r="K251" s="0" t="n">
        <v>0</v>
      </c>
      <c r="L251" s="0" t="n">
        <v>1</v>
      </c>
      <c r="M251" s="0" t="n">
        <f aca="false">VLOOKUP(A251,'Team Data'!$A$1:$P$133,2,FALSE())</f>
        <v>8</v>
      </c>
      <c r="N251" s="0" t="n">
        <f aca="false">VLOOKUP(A251,'Team Data'!$A$1:$P$133,3,FALSE())</f>
        <v>112</v>
      </c>
      <c r="O251" s="0" t="n">
        <f aca="false">VLOOKUP(B251,'Team Data'!$A$1:$P$133,2,FALSE())</f>
        <v>6</v>
      </c>
      <c r="P251" s="0" t="n">
        <f aca="false">VLOOKUP(B251,'Team Data'!$A$1:$P$133,3,FALSE())</f>
        <v>6</v>
      </c>
      <c r="Q251" s="0" t="n">
        <f aca="false">VLOOKUP(A251,'Team Data'!$A$1:$P$133,4,FALSE())</f>
        <v>805</v>
      </c>
      <c r="R251" s="0" t="n">
        <f aca="false">VLOOKUP(A251,'Team Data'!$A$1:$P$133,5,FALSE())</f>
        <v>725</v>
      </c>
      <c r="S251" s="0" t="n">
        <f aca="false">VLOOKUP(B251,'Team Data'!$A$1:$P$133,4,FALSE())</f>
        <v>85</v>
      </c>
      <c r="T251" s="0" t="n">
        <f aca="false">VLOOKUP(B251,'Team Data'!$A$1:$P$133,5,FALSE())</f>
        <v>283</v>
      </c>
      <c r="U251" s="0" t="n">
        <f aca="false">IF(K251=1,(MIN(35,(C251-D251)))*(O251/(O251+P251))*(S251/(S251+T251)),(MAX(-35,(C251-D251)))*(IF(P251=0,0.1,(P251/(O251+P251))))*(T251/(S251+T251)))</f>
        <v>-13.4578804347826</v>
      </c>
      <c r="V251" s="0" t="n">
        <f aca="false">IF(L251=1,(MIN(35,(D251-C251)))*(M251/(M251+N251))*(Q251/(Q251+R251)),(MAX(-35,(D251-C251)))*(IF(N251=0,0.1,(N251/(M251+N251))))*(R251/(R251+Q251)))</f>
        <v>1.2276688453159</v>
      </c>
    </row>
    <row r="252" customFormat="false" ht="15" hidden="false" customHeight="false" outlineLevel="0" collapsed="false">
      <c r="A252" s="0" t="s">
        <v>117</v>
      </c>
      <c r="B252" s="0" t="s">
        <v>65</v>
      </c>
      <c r="C252" s="0" t="n">
        <v>0</v>
      </c>
      <c r="D252" s="0" t="n">
        <v>59</v>
      </c>
      <c r="E252" s="0" t="n">
        <v>86</v>
      </c>
      <c r="F252" s="0" t="n">
        <v>192</v>
      </c>
      <c r="G252" s="0" t="n">
        <v>24</v>
      </c>
      <c r="H252" s="0" t="n">
        <v>273</v>
      </c>
      <c r="I252" s="0" t="n">
        <v>1</v>
      </c>
      <c r="J252" s="0" t="n">
        <v>0</v>
      </c>
      <c r="K252" s="0" t="n">
        <v>0</v>
      </c>
      <c r="L252" s="0" t="n">
        <v>1</v>
      </c>
      <c r="M252" s="0" t="n">
        <f aca="false">VLOOKUP(A252,'Team Data'!$A$1:$P$133,2,FALSE())</f>
        <v>6</v>
      </c>
      <c r="N252" s="0" t="n">
        <f aca="false">VLOOKUP(A252,'Team Data'!$A$1:$P$133,3,FALSE())</f>
        <v>7</v>
      </c>
      <c r="O252" s="0" t="n">
        <f aca="false">VLOOKUP(B252,'Team Data'!$A$1:$P$133,2,FALSE())</f>
        <v>13</v>
      </c>
      <c r="P252" s="0" t="n">
        <f aca="false">VLOOKUP(B252,'Team Data'!$A$1:$P$133,3,FALSE())</f>
        <v>1</v>
      </c>
      <c r="Q252" s="0" t="n">
        <f aca="false">VLOOKUP(A252,'Team Data'!$A$1:$P$133,4,FALSE())</f>
        <v>88</v>
      </c>
      <c r="R252" s="0" t="n">
        <f aca="false">VLOOKUP(A252,'Team Data'!$A$1:$P$133,5,FALSE())</f>
        <v>185</v>
      </c>
      <c r="S252" s="0" t="n">
        <f aca="false">VLOOKUP(B252,'Team Data'!$A$1:$P$133,4,FALSE())</f>
        <v>96</v>
      </c>
      <c r="T252" s="0" t="n">
        <f aca="false">VLOOKUP(B252,'Team Data'!$A$1:$P$133,5,FALSE())</f>
        <v>84</v>
      </c>
      <c r="U252" s="0" t="n">
        <f aca="false">IF(K252=1,(MIN(35,(C252-D252)))*(O252/(O252+P252))*(S252/(S252+T252)),(MAX(-35,(C252-D252)))*(IF(P252=0,0.1,(P252/(O252+P252))))*(T252/(S252+T252)))</f>
        <v>-1.16666666666667</v>
      </c>
      <c r="V252" s="0" t="n">
        <f aca="false">IF(L252=1,(MIN(35,(D252-C252)))*(M252/(M252+N252))*(Q252/(Q252+R252)),(MAX(-35,(D252-C252)))*(IF(N252=0,0.1,(N252/(M252+N252))))*(R252/(R252+Q252)))</f>
        <v>5.20710059171598</v>
      </c>
    </row>
    <row r="253" customFormat="false" ht="15" hidden="false" customHeight="false" outlineLevel="0" collapsed="false">
      <c r="A253" s="0" t="s">
        <v>55</v>
      </c>
      <c r="B253" s="0" t="s">
        <v>129</v>
      </c>
      <c r="C253" s="0" t="n">
        <v>36</v>
      </c>
      <c r="D253" s="0" t="n">
        <v>37</v>
      </c>
      <c r="E253" s="0" t="n">
        <v>172</v>
      </c>
      <c r="F253" s="0" t="n">
        <v>21</v>
      </c>
      <c r="G253" s="0" t="n">
        <v>256</v>
      </c>
      <c r="H253" s="0" t="n">
        <v>325</v>
      </c>
      <c r="I253" s="0" t="n">
        <v>4</v>
      </c>
      <c r="J253" s="0" t="n">
        <v>2</v>
      </c>
      <c r="K253" s="0" t="n">
        <v>0</v>
      </c>
      <c r="L253" s="0" t="n">
        <v>1</v>
      </c>
      <c r="M253" s="0" t="n">
        <f aca="false">VLOOKUP(A253,'Team Data'!$A$1:$P$133,2,FALSE())</f>
        <v>8</v>
      </c>
      <c r="N253" s="0" t="n">
        <f aca="false">VLOOKUP(A253,'Team Data'!$A$1:$P$133,3,FALSE())</f>
        <v>5</v>
      </c>
      <c r="O253" s="0" t="n">
        <f aca="false">VLOOKUP(B253,'Team Data'!$A$1:$P$133,2,FALSE())</f>
        <v>8</v>
      </c>
      <c r="P253" s="0" t="n">
        <f aca="false">VLOOKUP(B253,'Team Data'!$A$1:$P$133,3,FALSE())</f>
        <v>5</v>
      </c>
      <c r="Q253" s="0" t="n">
        <f aca="false">VLOOKUP(A253,'Team Data'!$A$1:$P$133,4,FALSE())</f>
        <v>76</v>
      </c>
      <c r="R253" s="0" t="n">
        <f aca="false">VLOOKUP(A253,'Team Data'!$A$1:$P$133,5,FALSE())</f>
        <v>196</v>
      </c>
      <c r="S253" s="0" t="n">
        <f aca="false">VLOOKUP(B253,'Team Data'!$A$1:$P$133,4,FALSE())</f>
        <v>98</v>
      </c>
      <c r="T253" s="0" t="n">
        <f aca="false">VLOOKUP(B253,'Team Data'!$A$1:$P$133,5,FALSE())</f>
        <v>177</v>
      </c>
      <c r="U253" s="0" t="n">
        <f aca="false">IF(K253=1,(MIN(35,(C253-D253)))*(O253/(O253+P253))*(S253/(S253+T253)),(MAX(-35,(C253-D253)))*(IF(P253=0,0.1,(P253/(O253+P253))))*(T253/(S253+T253)))</f>
        <v>-0.247552447552448</v>
      </c>
      <c r="V253" s="0" t="n">
        <f aca="false">IF(L253=1,(MIN(35,(D253-C253)))*(M253/(M253+N253))*(Q253/(Q253+R253)),(MAX(-35,(D253-C253)))*(IF(N253=0,0.1,(N253/(M253+N253))))*(R253/(R253+Q253)))</f>
        <v>0.171945701357466</v>
      </c>
    </row>
    <row r="254" customFormat="false" ht="15" hidden="false" customHeight="false" outlineLevel="0" collapsed="false">
      <c r="A254" s="0" t="s">
        <v>74</v>
      </c>
      <c r="B254" s="0" t="s">
        <v>47</v>
      </c>
      <c r="C254" s="0" t="n">
        <v>0</v>
      </c>
      <c r="D254" s="0" t="n">
        <v>27</v>
      </c>
      <c r="E254" s="0" t="n">
        <v>69</v>
      </c>
      <c r="F254" s="0" t="n">
        <v>162</v>
      </c>
      <c r="G254" s="0" t="n">
        <v>82</v>
      </c>
      <c r="H254" s="0" t="n">
        <v>175</v>
      </c>
      <c r="I254" s="0" t="n">
        <v>1</v>
      </c>
      <c r="J254" s="0" t="n">
        <v>0</v>
      </c>
      <c r="K254" s="0" t="n">
        <v>0</v>
      </c>
      <c r="L254" s="0" t="n">
        <v>1</v>
      </c>
      <c r="M254" s="0" t="n">
        <f aca="false">VLOOKUP(A254,'Team Data'!$A$1:$P$133,2,FALSE())</f>
        <v>2</v>
      </c>
      <c r="N254" s="0" t="n">
        <f aca="false">VLOOKUP(A254,'Team Data'!$A$1:$P$133,3,FALSE())</f>
        <v>10</v>
      </c>
      <c r="O254" s="0" t="n">
        <f aca="false">VLOOKUP(B254,'Team Data'!$A$1:$P$133,2,FALSE())</f>
        <v>8</v>
      </c>
      <c r="P254" s="0" t="n">
        <f aca="false">VLOOKUP(B254,'Team Data'!$A$1:$P$133,3,FALSE())</f>
        <v>5</v>
      </c>
      <c r="Q254" s="0" t="n">
        <f aca="false">VLOOKUP(A254,'Team Data'!$A$1:$P$133,4,FALSE())</f>
        <v>82</v>
      </c>
      <c r="R254" s="0" t="n">
        <f aca="false">VLOOKUP(A254,'Team Data'!$A$1:$P$133,5,FALSE())</f>
        <v>179</v>
      </c>
      <c r="S254" s="0" t="n">
        <f aca="false">VLOOKUP(B254,'Team Data'!$A$1:$P$133,4,FALSE())</f>
        <v>86</v>
      </c>
      <c r="T254" s="0" t="n">
        <f aca="false">VLOOKUP(B254,'Team Data'!$A$1:$P$133,5,FALSE())</f>
        <v>187</v>
      </c>
      <c r="U254" s="0" t="n">
        <f aca="false">IF(K254=1,(MIN(35,(C254-D254)))*(O254/(O254+P254))*(S254/(S254+T254)),(MAX(-35,(C254-D254)))*(IF(P254=0,0.1,(P254/(O254+P254))))*(T254/(S254+T254)))</f>
        <v>-7.11327134404058</v>
      </c>
      <c r="V254" s="0" t="n">
        <f aca="false">IF(L254=1,(MIN(35,(D254-C254)))*(M254/(M254+N254))*(Q254/(Q254+R254)),(MAX(-35,(D254-C254)))*(IF(N254=0,0.1,(N254/(M254+N254))))*(R254/(R254+Q254)))</f>
        <v>1.41379310344828</v>
      </c>
    </row>
    <row r="255" customFormat="false" ht="15" hidden="false" customHeight="false" outlineLevel="0" collapsed="false">
      <c r="A255" s="0" t="s">
        <v>198</v>
      </c>
      <c r="B255" s="0" t="s">
        <v>80</v>
      </c>
      <c r="C255" s="0" t="n">
        <v>31</v>
      </c>
      <c r="D255" s="0" t="n">
        <v>24</v>
      </c>
      <c r="E255" s="0" t="n">
        <v>96</v>
      </c>
      <c r="F255" s="0" t="n">
        <v>167</v>
      </c>
      <c r="G255" s="0" t="n">
        <v>261</v>
      </c>
      <c r="H255" s="0" t="n">
        <v>213</v>
      </c>
      <c r="I255" s="0" t="n">
        <v>1</v>
      </c>
      <c r="J255" s="0" t="n">
        <v>4</v>
      </c>
      <c r="K255" s="0" t="n">
        <v>1</v>
      </c>
      <c r="L255" s="0" t="n">
        <v>0</v>
      </c>
      <c r="M255" s="0" t="n">
        <f aca="false">VLOOKUP(A255,'Team Data'!$A$1:$P$133,2,FALSE())</f>
        <v>8</v>
      </c>
      <c r="N255" s="0" t="n">
        <f aca="false">VLOOKUP(A255,'Team Data'!$A$1:$P$133,3,FALSE())</f>
        <v>112</v>
      </c>
      <c r="O255" s="0" t="n">
        <f aca="false">VLOOKUP(B255,'Team Data'!$A$1:$P$133,2,FALSE())</f>
        <v>1</v>
      </c>
      <c r="P255" s="0" t="n">
        <f aca="false">VLOOKUP(B255,'Team Data'!$A$1:$P$133,3,FALSE())</f>
        <v>11</v>
      </c>
      <c r="Q255" s="0" t="n">
        <f aca="false">VLOOKUP(A255,'Team Data'!$A$1:$P$133,4,FALSE())</f>
        <v>805</v>
      </c>
      <c r="R255" s="0" t="n">
        <f aca="false">VLOOKUP(A255,'Team Data'!$A$1:$P$133,5,FALSE())</f>
        <v>725</v>
      </c>
      <c r="S255" s="0" t="n">
        <f aca="false">VLOOKUP(B255,'Team Data'!$A$1:$P$133,4,FALSE())</f>
        <v>97</v>
      </c>
      <c r="T255" s="0" t="n">
        <f aca="false">VLOOKUP(B255,'Team Data'!$A$1:$P$133,5,FALSE())</f>
        <v>166</v>
      </c>
      <c r="U255" s="0" t="n">
        <f aca="false">IF(K255=1,(MIN(35,(C255-D255)))*(O255/(O255+P255))*(S255/(S255+T255)),(MAX(-35,(C255-D255)))*(IF(P255=0,0.1,(P255/(O255+P255))))*(T255/(S255+T255)))</f>
        <v>0.215145754119138</v>
      </c>
      <c r="V255" s="0" t="n">
        <f aca="false">IF(L255=1,(MIN(35,(D255-C255)))*(M255/(M255+N255))*(Q255/(Q255+R255)),(MAX(-35,(D255-C255)))*(IF(N255=0,0.1,(N255/(M255+N255))))*(R255/(R255+Q255)))</f>
        <v>-3.0958605664488</v>
      </c>
    </row>
    <row r="256" customFormat="false" ht="15" hidden="false" customHeight="false" outlineLevel="0" collapsed="false">
      <c r="A256" s="0" t="s">
        <v>92</v>
      </c>
      <c r="B256" s="0" t="s">
        <v>102</v>
      </c>
      <c r="C256" s="0" t="n">
        <v>29</v>
      </c>
      <c r="D256" s="0" t="n">
        <v>32</v>
      </c>
      <c r="E256" s="0" t="n">
        <v>61</v>
      </c>
      <c r="F256" s="0" t="n">
        <v>125</v>
      </c>
      <c r="G256" s="0" t="n">
        <v>424</v>
      </c>
      <c r="H256" s="0" t="n">
        <v>181</v>
      </c>
      <c r="I256" s="0" t="n">
        <v>1</v>
      </c>
      <c r="J256" s="0" t="n">
        <v>0</v>
      </c>
      <c r="K256" s="0" t="n">
        <v>0</v>
      </c>
      <c r="L256" s="0" t="n">
        <v>1</v>
      </c>
      <c r="M256" s="0" t="n">
        <f aca="false">VLOOKUP(A256,'Team Data'!$A$1:$P$133,2,FALSE())</f>
        <v>8</v>
      </c>
      <c r="N256" s="0" t="n">
        <f aca="false">VLOOKUP(A256,'Team Data'!$A$1:$P$133,3,FALSE())</f>
        <v>6</v>
      </c>
      <c r="O256" s="0" t="n">
        <f aca="false">VLOOKUP(B256,'Team Data'!$A$1:$P$133,2,FALSE())</f>
        <v>7</v>
      </c>
      <c r="P256" s="0" t="n">
        <f aca="false">VLOOKUP(B256,'Team Data'!$A$1:$P$133,3,FALSE())</f>
        <v>6</v>
      </c>
      <c r="Q256" s="0" t="n">
        <f aca="false">VLOOKUP(A256,'Team Data'!$A$1:$P$133,4,FALSE())</f>
        <v>103</v>
      </c>
      <c r="R256" s="0" t="n">
        <f aca="false">VLOOKUP(A256,'Team Data'!$A$1:$P$133,5,FALSE())</f>
        <v>184</v>
      </c>
      <c r="S256" s="0" t="n">
        <f aca="false">VLOOKUP(B256,'Team Data'!$A$1:$P$133,4,FALSE())</f>
        <v>100</v>
      </c>
      <c r="T256" s="0" t="n">
        <f aca="false">VLOOKUP(B256,'Team Data'!$A$1:$P$133,5,FALSE())</f>
        <v>174</v>
      </c>
      <c r="U256" s="0" t="n">
        <f aca="false">IF(K256=1,(MIN(35,(C256-D256)))*(O256/(O256+P256))*(S256/(S256+T256)),(MAX(-35,(C256-D256)))*(IF(P256=0,0.1,(P256/(O256+P256))))*(T256/(S256+T256)))</f>
        <v>-0.879281302638967</v>
      </c>
      <c r="V256" s="0" t="n">
        <f aca="false">IF(L256=1,(MIN(35,(D256-C256)))*(M256/(M256+N256))*(Q256/(Q256+R256)),(MAX(-35,(D256-C256)))*(IF(N256=0,0.1,(N256/(M256+N256))))*(R256/(R256+Q256)))</f>
        <v>0.615231458437033</v>
      </c>
    </row>
    <row r="257" customFormat="false" ht="15" hidden="false" customHeight="false" outlineLevel="0" collapsed="false">
      <c r="A257" s="0" t="s">
        <v>76</v>
      </c>
      <c r="B257" s="0" t="s">
        <v>135</v>
      </c>
      <c r="C257" s="0" t="n">
        <v>7</v>
      </c>
      <c r="D257" s="0" t="n">
        <v>66</v>
      </c>
      <c r="E257" s="0" t="n">
        <v>118</v>
      </c>
      <c r="F257" s="0" t="n">
        <v>260</v>
      </c>
      <c r="G257" s="0" t="n">
        <v>124</v>
      </c>
      <c r="H257" s="0" t="n">
        <v>335</v>
      </c>
      <c r="I257" s="0" t="n">
        <v>3</v>
      </c>
      <c r="J257" s="0" t="n">
        <v>1</v>
      </c>
      <c r="K257" s="0" t="n">
        <v>0</v>
      </c>
      <c r="L257" s="0" t="n">
        <v>1</v>
      </c>
      <c r="M257" s="0" t="n">
        <f aca="false">VLOOKUP(A257,'Team Data'!$A$1:$P$133,2,FALSE())</f>
        <v>7</v>
      </c>
      <c r="N257" s="0" t="n">
        <f aca="false">VLOOKUP(A257,'Team Data'!$A$1:$P$133,3,FALSE())</f>
        <v>6</v>
      </c>
      <c r="O257" s="0" t="n">
        <f aca="false">VLOOKUP(B257,'Team Data'!$A$1:$P$133,2,FALSE())</f>
        <v>7</v>
      </c>
      <c r="P257" s="0" t="n">
        <f aca="false">VLOOKUP(B257,'Team Data'!$A$1:$P$133,3,FALSE())</f>
        <v>6</v>
      </c>
      <c r="Q257" s="0" t="n">
        <f aca="false">VLOOKUP(A257,'Team Data'!$A$1:$P$133,4,FALSE())</f>
        <v>69</v>
      </c>
      <c r="R257" s="0" t="n">
        <f aca="false">VLOOKUP(A257,'Team Data'!$A$1:$P$133,5,FALSE())</f>
        <v>309</v>
      </c>
      <c r="S257" s="0" t="n">
        <f aca="false">VLOOKUP(B257,'Team Data'!$A$1:$P$133,4,FALSE())</f>
        <v>91</v>
      </c>
      <c r="T257" s="0" t="n">
        <f aca="false">VLOOKUP(B257,'Team Data'!$A$1:$P$133,5,FALSE())</f>
        <v>183</v>
      </c>
      <c r="U257" s="0" t="n">
        <f aca="false">IF(K257=1,(MIN(35,(C257-D257)))*(O257/(O257+P257))*(S257/(S257+T257)),(MAX(-35,(C257-D257)))*(IF(P257=0,0.1,(P257/(O257+P257))))*(T257/(S257+T257)))</f>
        <v>-10.7888826501965</v>
      </c>
      <c r="V257" s="0" t="n">
        <f aca="false">IF(L257=1,(MIN(35,(D257-C257)))*(M257/(M257+N257))*(Q257/(Q257+R257)),(MAX(-35,(D257-C257)))*(IF(N257=0,0.1,(N257/(M257+N257))))*(R257/(R257+Q257)))</f>
        <v>3.44017094017094</v>
      </c>
    </row>
    <row r="258" customFormat="false" ht="15" hidden="false" customHeight="false" outlineLevel="0" collapsed="false">
      <c r="A258" s="0" t="s">
        <v>95</v>
      </c>
      <c r="B258" s="0" t="s">
        <v>61</v>
      </c>
      <c r="C258" s="0" t="n">
        <v>27</v>
      </c>
      <c r="D258" s="0" t="n">
        <v>34</v>
      </c>
      <c r="E258" s="0" t="n">
        <v>151</v>
      </c>
      <c r="F258" s="0" t="n">
        <v>225</v>
      </c>
      <c r="G258" s="0" t="n">
        <v>369</v>
      </c>
      <c r="H258" s="0" t="n">
        <v>214</v>
      </c>
      <c r="I258" s="0" t="n">
        <v>3</v>
      </c>
      <c r="J258" s="0" t="n">
        <v>2</v>
      </c>
      <c r="K258" s="0" t="n">
        <v>0</v>
      </c>
      <c r="L258" s="0" t="n">
        <v>1</v>
      </c>
      <c r="M258" s="0" t="n">
        <f aca="false">VLOOKUP(A258,'Team Data'!$A$1:$P$133,2,FALSE())</f>
        <v>7</v>
      </c>
      <c r="N258" s="0" t="n">
        <f aca="false">VLOOKUP(A258,'Team Data'!$A$1:$P$133,3,FALSE())</f>
        <v>6</v>
      </c>
      <c r="O258" s="0" t="n">
        <f aca="false">VLOOKUP(B258,'Team Data'!$A$1:$P$133,2,FALSE())</f>
        <v>8</v>
      </c>
      <c r="P258" s="0" t="n">
        <f aca="false">VLOOKUP(B258,'Team Data'!$A$1:$P$133,3,FALSE())</f>
        <v>5</v>
      </c>
      <c r="Q258" s="0" t="n">
        <f aca="false">VLOOKUP(A258,'Team Data'!$A$1:$P$133,4,FALSE())</f>
        <v>99</v>
      </c>
      <c r="R258" s="0" t="n">
        <f aca="false">VLOOKUP(A258,'Team Data'!$A$1:$P$133,5,FALSE())</f>
        <v>179</v>
      </c>
      <c r="S258" s="0" t="n">
        <f aca="false">VLOOKUP(B258,'Team Data'!$A$1:$P$133,4,FALSE())</f>
        <v>89</v>
      </c>
      <c r="T258" s="0" t="n">
        <f aca="false">VLOOKUP(B258,'Team Data'!$A$1:$P$133,5,FALSE())</f>
        <v>77</v>
      </c>
      <c r="U258" s="0" t="n">
        <f aca="false">IF(K258=1,(MIN(35,(C258-D258)))*(O258/(O258+P258))*(S258/(S258+T258)),(MAX(-35,(C258-D258)))*(IF(P258=0,0.1,(P258/(O258+P258))))*(T258/(S258+T258)))</f>
        <v>-1.24884151992586</v>
      </c>
      <c r="V258" s="0" t="n">
        <f aca="false">IF(L258=1,(MIN(35,(D258-C258)))*(M258/(M258+N258))*(Q258/(Q258+R258)),(MAX(-35,(D258-C258)))*(IF(N258=0,0.1,(N258/(M258+N258))))*(R258/(R258+Q258)))</f>
        <v>1.34228002213614</v>
      </c>
    </row>
    <row r="259" customFormat="false" ht="15" hidden="false" customHeight="false" outlineLevel="0" collapsed="false">
      <c r="A259" s="0" t="s">
        <v>110</v>
      </c>
      <c r="B259" s="0" t="s">
        <v>83</v>
      </c>
      <c r="C259" s="0" t="n">
        <v>21</v>
      </c>
      <c r="D259" s="0" t="n">
        <v>77</v>
      </c>
      <c r="E259" s="0" t="n">
        <v>124</v>
      </c>
      <c r="F259" s="0" t="n">
        <v>281</v>
      </c>
      <c r="G259" s="0" t="n">
        <v>183</v>
      </c>
      <c r="H259" s="0" t="n">
        <v>482</v>
      </c>
      <c r="I259" s="0" t="n">
        <v>2</v>
      </c>
      <c r="J259" s="0" t="n">
        <v>0</v>
      </c>
      <c r="K259" s="0" t="n">
        <v>0</v>
      </c>
      <c r="L259" s="0" t="n">
        <v>1</v>
      </c>
      <c r="M259" s="0" t="n">
        <f aca="false">VLOOKUP(A259,'Team Data'!$A$1:$P$133,2,FALSE())</f>
        <v>9</v>
      </c>
      <c r="N259" s="0" t="n">
        <f aca="false">VLOOKUP(A259,'Team Data'!$A$1:$P$133,3,FALSE())</f>
        <v>5</v>
      </c>
      <c r="O259" s="0" t="n">
        <f aca="false">VLOOKUP(B259,'Team Data'!$A$1:$P$133,2,FALSE())</f>
        <v>11</v>
      </c>
      <c r="P259" s="0" t="n">
        <f aca="false">VLOOKUP(B259,'Team Data'!$A$1:$P$133,3,FALSE())</f>
        <v>2</v>
      </c>
      <c r="Q259" s="0" t="n">
        <f aca="false">VLOOKUP(A259,'Team Data'!$A$1:$P$133,4,FALSE())</f>
        <v>89</v>
      </c>
      <c r="R259" s="0" t="n">
        <f aca="false">VLOOKUP(A259,'Team Data'!$A$1:$P$133,5,FALSE())</f>
        <v>195</v>
      </c>
      <c r="S259" s="0" t="n">
        <f aca="false">VLOOKUP(B259,'Team Data'!$A$1:$P$133,4,FALSE())</f>
        <v>97</v>
      </c>
      <c r="T259" s="0" t="n">
        <f aca="false">VLOOKUP(B259,'Team Data'!$A$1:$P$133,5,FALSE())</f>
        <v>71</v>
      </c>
      <c r="U259" s="0" t="n">
        <f aca="false">IF(K259=1,(MIN(35,(C259-D259)))*(O259/(O259+P259))*(S259/(S259+T259)),(MAX(-35,(C259-D259)))*(IF(P259=0,0.1,(P259/(O259+P259))))*(T259/(S259+T259)))</f>
        <v>-2.27564102564103</v>
      </c>
      <c r="V259" s="0" t="n">
        <f aca="false">IF(L259=1,(MIN(35,(D259-C259)))*(M259/(M259+N259))*(Q259/(Q259+R259)),(MAX(-35,(D259-C259)))*(IF(N259=0,0.1,(N259/(M259+N259))))*(R259/(R259+Q259)))</f>
        <v>7.05105633802817</v>
      </c>
    </row>
    <row r="260" customFormat="false" ht="15" hidden="false" customHeight="false" outlineLevel="0" collapsed="false">
      <c r="A260" s="0" t="s">
        <v>94</v>
      </c>
      <c r="B260" s="0" t="s">
        <v>104</v>
      </c>
      <c r="C260" s="0" t="n">
        <v>16</v>
      </c>
      <c r="D260" s="0" t="n">
        <v>14</v>
      </c>
      <c r="E260" s="0" t="n">
        <v>142</v>
      </c>
      <c r="F260" s="0" t="n">
        <v>49</v>
      </c>
      <c r="G260" s="0" t="n">
        <v>59</v>
      </c>
      <c r="H260" s="0" t="n">
        <v>215</v>
      </c>
      <c r="I260" s="0" t="n">
        <v>0</v>
      </c>
      <c r="J260" s="0" t="n">
        <v>1</v>
      </c>
      <c r="K260" s="0" t="n">
        <v>1</v>
      </c>
      <c r="L260" s="0" t="n">
        <v>0</v>
      </c>
      <c r="M260" s="0" t="n">
        <f aca="false">VLOOKUP(A260,'Team Data'!$A$1:$P$133,2,FALSE())</f>
        <v>4</v>
      </c>
      <c r="N260" s="0" t="n">
        <f aca="false">VLOOKUP(A260,'Team Data'!$A$1:$P$133,3,FALSE())</f>
        <v>8</v>
      </c>
      <c r="O260" s="0" t="n">
        <f aca="false">VLOOKUP(B260,'Team Data'!$A$1:$P$133,2,FALSE())</f>
        <v>3</v>
      </c>
      <c r="P260" s="0" t="n">
        <f aca="false">VLOOKUP(B260,'Team Data'!$A$1:$P$133,3,FALSE())</f>
        <v>9</v>
      </c>
      <c r="Q260" s="0" t="n">
        <f aca="false">VLOOKUP(A260,'Team Data'!$A$1:$P$133,4,FALSE())</f>
        <v>87</v>
      </c>
      <c r="R260" s="0" t="n">
        <f aca="false">VLOOKUP(A260,'Team Data'!$A$1:$P$133,5,FALSE())</f>
        <v>172</v>
      </c>
      <c r="S260" s="0" t="n">
        <f aca="false">VLOOKUP(B260,'Team Data'!$A$1:$P$133,4,FALSE())</f>
        <v>73</v>
      </c>
      <c r="T260" s="0" t="n">
        <f aca="false">VLOOKUP(B260,'Team Data'!$A$1:$P$133,5,FALSE())</f>
        <v>186</v>
      </c>
      <c r="U260" s="0" t="n">
        <f aca="false">IF(K260=1,(MIN(35,(C260-D260)))*(O260/(O260+P260))*(S260/(S260+T260)),(MAX(-35,(C260-D260)))*(IF(P260=0,0.1,(P260/(O260+P260))))*(T260/(S260+T260)))</f>
        <v>0.140926640926641</v>
      </c>
      <c r="V260" s="0" t="n">
        <f aca="false">IF(L260=1,(MIN(35,(D260-C260)))*(M260/(M260+N260))*(Q260/(Q260+R260)),(MAX(-35,(D260-C260)))*(IF(N260=0,0.1,(N260/(M260+N260))))*(R260/(R260+Q260)))</f>
        <v>-0.885456885456885</v>
      </c>
    </row>
    <row r="261" customFormat="false" ht="15" hidden="false" customHeight="false" outlineLevel="0" collapsed="false">
      <c r="A261" s="0" t="s">
        <v>37</v>
      </c>
      <c r="B261" s="0" t="s">
        <v>59</v>
      </c>
      <c r="C261" s="0" t="n">
        <v>35</v>
      </c>
      <c r="D261" s="0" t="n">
        <v>31</v>
      </c>
      <c r="E261" s="0" t="n">
        <v>189</v>
      </c>
      <c r="F261" s="0" t="n">
        <v>252</v>
      </c>
      <c r="G261" s="0" t="n">
        <v>266</v>
      </c>
      <c r="H261" s="0" t="n">
        <v>243</v>
      </c>
      <c r="I261" s="0" t="n">
        <v>2</v>
      </c>
      <c r="J261" s="0" t="n">
        <v>3</v>
      </c>
      <c r="K261" s="0" t="n">
        <v>1</v>
      </c>
      <c r="L261" s="0" t="n">
        <v>0</v>
      </c>
      <c r="M261" s="0" t="n">
        <f aca="false">VLOOKUP(A261,'Team Data'!$A$1:$P$133,2,FALSE())</f>
        <v>10</v>
      </c>
      <c r="N261" s="0" t="n">
        <f aca="false">VLOOKUP(A261,'Team Data'!$A$1:$P$133,3,FALSE())</f>
        <v>3</v>
      </c>
      <c r="O261" s="0" t="n">
        <f aca="false">VLOOKUP(B261,'Team Data'!$A$1:$P$133,2,FALSE())</f>
        <v>8</v>
      </c>
      <c r="P261" s="0" t="n">
        <f aca="false">VLOOKUP(B261,'Team Data'!$A$1:$P$133,3,FALSE())</f>
        <v>5</v>
      </c>
      <c r="Q261" s="0" t="n">
        <f aca="false">VLOOKUP(A261,'Team Data'!$A$1:$P$133,4,FALSE())</f>
        <v>91</v>
      </c>
      <c r="R261" s="0" t="n">
        <f aca="false">VLOOKUP(A261,'Team Data'!$A$1:$P$133,5,FALSE())</f>
        <v>184</v>
      </c>
      <c r="S261" s="0" t="n">
        <f aca="false">VLOOKUP(B261,'Team Data'!$A$1:$P$133,4,FALSE())</f>
        <v>93</v>
      </c>
      <c r="T261" s="0" t="n">
        <f aca="false">VLOOKUP(B261,'Team Data'!$A$1:$P$133,5,FALSE())</f>
        <v>71</v>
      </c>
      <c r="U261" s="0" t="n">
        <f aca="false">IF(K261=1,(MIN(35,(C261-D261)))*(O261/(O261+P261))*(S261/(S261+T261)),(MAX(-35,(C261-D261)))*(IF(P261=0,0.1,(P261/(O261+P261))))*(T261/(S261+T261)))</f>
        <v>1.39587242026266</v>
      </c>
      <c r="V261" s="0" t="n">
        <f aca="false">IF(L261=1,(MIN(35,(D261-C261)))*(M261/(M261+N261))*(Q261/(Q261+R261)),(MAX(-35,(D261-C261)))*(IF(N261=0,0.1,(N261/(M261+N261))))*(R261/(R261+Q261)))</f>
        <v>-0.617622377622378</v>
      </c>
    </row>
    <row r="262" customFormat="false" ht="15" hidden="false" customHeight="false" outlineLevel="0" collapsed="false">
      <c r="A262" s="0" t="s">
        <v>198</v>
      </c>
      <c r="B262" s="0" t="s">
        <v>20</v>
      </c>
      <c r="C262" s="0" t="n">
        <v>17</v>
      </c>
      <c r="D262" s="0" t="n">
        <v>38</v>
      </c>
      <c r="E262" s="0" t="n">
        <v>89</v>
      </c>
      <c r="F262" s="0" t="n">
        <v>111</v>
      </c>
      <c r="G262" s="0" t="n">
        <v>289</v>
      </c>
      <c r="H262" s="0" t="n">
        <v>320</v>
      </c>
      <c r="I262" s="0" t="n">
        <v>3</v>
      </c>
      <c r="J262" s="0" t="n">
        <v>0</v>
      </c>
      <c r="K262" s="0" t="n">
        <v>0</v>
      </c>
      <c r="L262" s="0" t="n">
        <v>1</v>
      </c>
      <c r="M262" s="0" t="n">
        <f aca="false">VLOOKUP(A262,'Team Data'!$A$1:$P$133,2,FALSE())</f>
        <v>8</v>
      </c>
      <c r="N262" s="0" t="n">
        <f aca="false">VLOOKUP(A262,'Team Data'!$A$1:$P$133,3,FALSE())</f>
        <v>112</v>
      </c>
      <c r="O262" s="0" t="n">
        <f aca="false">VLOOKUP(B262,'Team Data'!$A$1:$P$133,2,FALSE())</f>
        <v>3</v>
      </c>
      <c r="P262" s="0" t="n">
        <f aca="false">VLOOKUP(B262,'Team Data'!$A$1:$P$133,3,FALSE())</f>
        <v>9</v>
      </c>
      <c r="Q262" s="0" t="n">
        <f aca="false">VLOOKUP(A262,'Team Data'!$A$1:$P$133,4,FALSE())</f>
        <v>805</v>
      </c>
      <c r="R262" s="0" t="n">
        <f aca="false">VLOOKUP(A262,'Team Data'!$A$1:$P$133,5,FALSE())</f>
        <v>725</v>
      </c>
      <c r="S262" s="0" t="n">
        <f aca="false">VLOOKUP(B262,'Team Data'!$A$1:$P$133,4,FALSE())</f>
        <v>91</v>
      </c>
      <c r="T262" s="0" t="n">
        <f aca="false">VLOOKUP(B262,'Team Data'!$A$1:$P$133,5,FALSE())</f>
        <v>170</v>
      </c>
      <c r="U262" s="0" t="n">
        <f aca="false">IF(K262=1,(MIN(35,(C262-D262)))*(O262/(O262+P262))*(S262/(S262+T262)),(MAX(-35,(C262-D262)))*(IF(P262=0,0.1,(P262/(O262+P262))))*(T262/(S262+T262)))</f>
        <v>-10.2586206896552</v>
      </c>
      <c r="V262" s="0" t="n">
        <f aca="false">IF(L262=1,(MIN(35,(D262-C262)))*(M262/(M262+N262))*(Q262/(Q262+R262)),(MAX(-35,(D262-C262)))*(IF(N262=0,0.1,(N262/(M262+N262))))*(R262/(R262+Q262)))</f>
        <v>0.736601307189542</v>
      </c>
    </row>
    <row r="263" customFormat="false" ht="15" hidden="false" customHeight="false" outlineLevel="0" collapsed="false">
      <c r="A263" s="0" t="s">
        <v>198</v>
      </c>
      <c r="B263" s="0" t="s">
        <v>31</v>
      </c>
      <c r="C263" s="0" t="n">
        <v>20</v>
      </c>
      <c r="D263" s="0" t="n">
        <v>49</v>
      </c>
      <c r="E263" s="0" t="n">
        <v>217</v>
      </c>
      <c r="F263" s="0" t="n">
        <v>222</v>
      </c>
      <c r="G263" s="0" t="n">
        <v>137</v>
      </c>
      <c r="H263" s="0" t="n">
        <v>198</v>
      </c>
      <c r="I263" s="0" t="n">
        <v>0</v>
      </c>
      <c r="J263" s="0" t="n">
        <v>1</v>
      </c>
      <c r="K263" s="0" t="n">
        <v>0</v>
      </c>
      <c r="L263" s="0" t="n">
        <v>1</v>
      </c>
      <c r="M263" s="0" t="n">
        <f aca="false">VLOOKUP(A263,'Team Data'!$A$1:$P$133,2,FALSE())</f>
        <v>8</v>
      </c>
      <c r="N263" s="0" t="n">
        <f aca="false">VLOOKUP(A263,'Team Data'!$A$1:$P$133,3,FALSE())</f>
        <v>112</v>
      </c>
      <c r="O263" s="0" t="n">
        <f aca="false">VLOOKUP(B263,'Team Data'!$A$1:$P$133,2,FALSE())</f>
        <v>9</v>
      </c>
      <c r="P263" s="0" t="n">
        <f aca="false">VLOOKUP(B263,'Team Data'!$A$1:$P$133,3,FALSE())</f>
        <v>4</v>
      </c>
      <c r="Q263" s="0" t="n">
        <f aca="false">VLOOKUP(A263,'Team Data'!$A$1:$P$133,4,FALSE())</f>
        <v>805</v>
      </c>
      <c r="R263" s="0" t="n">
        <f aca="false">VLOOKUP(A263,'Team Data'!$A$1:$P$133,5,FALSE())</f>
        <v>725</v>
      </c>
      <c r="S263" s="0" t="n">
        <f aca="false">VLOOKUP(B263,'Team Data'!$A$1:$P$133,4,FALSE())</f>
        <v>72</v>
      </c>
      <c r="T263" s="0" t="n">
        <f aca="false">VLOOKUP(B263,'Team Data'!$A$1:$P$133,5,FALSE())</f>
        <v>196</v>
      </c>
      <c r="U263" s="0" t="n">
        <f aca="false">IF(K263=1,(MIN(35,(C263-D263)))*(O263/(O263+P263))*(S263/(S263+T263)),(MAX(-35,(C263-D263)))*(IF(P263=0,0.1,(P263/(O263+P263))))*(T263/(S263+T263)))</f>
        <v>-6.52583237657865</v>
      </c>
      <c r="V263" s="0" t="n">
        <f aca="false">IF(L263=1,(MIN(35,(D263-C263)))*(M263/(M263+N263))*(Q263/(Q263+R263)),(MAX(-35,(D263-C263)))*(IF(N263=0,0.1,(N263/(M263+N263))))*(R263/(R263+Q263)))</f>
        <v>1.01721132897604</v>
      </c>
    </row>
    <row r="264" customFormat="false" ht="15" hidden="false" customHeight="false" outlineLevel="0" collapsed="false">
      <c r="A264" s="0" t="s">
        <v>86</v>
      </c>
      <c r="B264" s="0" t="s">
        <v>127</v>
      </c>
      <c r="C264" s="0" t="n">
        <v>14</v>
      </c>
      <c r="D264" s="0" t="n">
        <v>16</v>
      </c>
      <c r="E264" s="0" t="n">
        <v>89</v>
      </c>
      <c r="F264" s="0" t="n">
        <v>229</v>
      </c>
      <c r="G264" s="0" t="n">
        <v>235</v>
      </c>
      <c r="H264" s="0" t="n">
        <v>284</v>
      </c>
      <c r="I264" s="0" t="n">
        <v>1</v>
      </c>
      <c r="J264" s="0" t="n">
        <v>3</v>
      </c>
      <c r="K264" s="0" t="n">
        <v>0</v>
      </c>
      <c r="L264" s="0" t="n">
        <v>1</v>
      </c>
      <c r="M264" s="0" t="n">
        <f aca="false">VLOOKUP(A264,'Team Data'!$A$1:$P$133,2,FALSE())</f>
        <v>3</v>
      </c>
      <c r="N264" s="0" t="n">
        <f aca="false">VLOOKUP(A264,'Team Data'!$A$1:$P$133,3,FALSE())</f>
        <v>9</v>
      </c>
      <c r="O264" s="0" t="n">
        <f aca="false">VLOOKUP(B264,'Team Data'!$A$1:$P$133,2,FALSE())</f>
        <v>3</v>
      </c>
      <c r="P264" s="0" t="n">
        <f aca="false">VLOOKUP(B264,'Team Data'!$A$1:$P$133,3,FALSE())</f>
        <v>7</v>
      </c>
      <c r="Q264" s="0" t="n">
        <f aca="false">VLOOKUP(A264,'Team Data'!$A$1:$P$133,4,FALSE())</f>
        <v>77</v>
      </c>
      <c r="R264" s="0" t="n">
        <f aca="false">VLOOKUP(A264,'Team Data'!$A$1:$P$133,5,FALSE())</f>
        <v>69</v>
      </c>
      <c r="S264" s="0" t="n">
        <f aca="false">VLOOKUP(B264,'Team Data'!$A$1:$P$133,4,FALSE())</f>
        <v>71</v>
      </c>
      <c r="T264" s="0" t="n">
        <f aca="false">VLOOKUP(B264,'Team Data'!$A$1:$P$133,5,FALSE())</f>
        <v>164</v>
      </c>
      <c r="U264" s="0" t="n">
        <f aca="false">IF(K264=1,(MIN(35,(C264-D264)))*(O264/(O264+P264))*(S264/(S264+T264)),(MAX(-35,(C264-D264)))*(IF(P264=0,0.1,(P264/(O264+P264))))*(T264/(S264+T264)))</f>
        <v>-0.977021276595745</v>
      </c>
      <c r="V264" s="0" t="n">
        <f aca="false">IF(L264=1,(MIN(35,(D264-C264)))*(M264/(M264+N264))*(Q264/(Q264+R264)),(MAX(-35,(D264-C264)))*(IF(N264=0,0.1,(N264/(M264+N264))))*(R264/(R264+Q264)))</f>
        <v>0.263698630136986</v>
      </c>
    </row>
    <row r="265" customFormat="false" ht="15" hidden="false" customHeight="false" outlineLevel="0" collapsed="false">
      <c r="A265" s="0" t="s">
        <v>198</v>
      </c>
      <c r="B265" s="0" t="s">
        <v>128</v>
      </c>
      <c r="C265" s="0" t="n">
        <v>7</v>
      </c>
      <c r="D265" s="0" t="n">
        <v>27</v>
      </c>
      <c r="E265" s="0" t="n">
        <v>38</v>
      </c>
      <c r="F265" s="0" t="n">
        <v>133</v>
      </c>
      <c r="G265" s="0" t="n">
        <v>161</v>
      </c>
      <c r="H265" s="0" t="n">
        <v>342</v>
      </c>
      <c r="I265" s="0" t="n">
        <v>0</v>
      </c>
      <c r="J265" s="0" t="n">
        <v>0</v>
      </c>
      <c r="K265" s="0" t="n">
        <v>0</v>
      </c>
      <c r="L265" s="0" t="n">
        <v>1</v>
      </c>
      <c r="M265" s="0" t="n">
        <f aca="false">VLOOKUP(A265,'Team Data'!$A$1:$P$133,2,FALSE())</f>
        <v>8</v>
      </c>
      <c r="N265" s="0" t="n">
        <f aca="false">VLOOKUP(A265,'Team Data'!$A$1:$P$133,3,FALSE())</f>
        <v>112</v>
      </c>
      <c r="O265" s="0" t="n">
        <f aca="false">VLOOKUP(B265,'Team Data'!$A$1:$P$133,2,FALSE())</f>
        <v>3</v>
      </c>
      <c r="P265" s="0" t="n">
        <f aca="false">VLOOKUP(B265,'Team Data'!$A$1:$P$133,3,FALSE())</f>
        <v>8</v>
      </c>
      <c r="Q265" s="0" t="n">
        <f aca="false">VLOOKUP(A265,'Team Data'!$A$1:$P$133,4,FALSE())</f>
        <v>805</v>
      </c>
      <c r="R265" s="0" t="n">
        <f aca="false">VLOOKUP(A265,'Team Data'!$A$1:$P$133,5,FALSE())</f>
        <v>725</v>
      </c>
      <c r="S265" s="0" t="n">
        <f aca="false">VLOOKUP(B265,'Team Data'!$A$1:$P$133,4,FALSE())</f>
        <v>72</v>
      </c>
      <c r="T265" s="0" t="n">
        <f aca="false">VLOOKUP(B265,'Team Data'!$A$1:$P$133,5,FALSE())</f>
        <v>174</v>
      </c>
      <c r="U265" s="0" t="n">
        <f aca="false">IF(K265=1,(MIN(35,(C265-D265)))*(O265/(O265+P265))*(S265/(S265+T265)),(MAX(-35,(C265-D265)))*(IF(P265=0,0.1,(P265/(O265+P265))))*(T265/(S265+T265)))</f>
        <v>-10.2882483370288</v>
      </c>
      <c r="V265" s="0" t="n">
        <f aca="false">IF(L265=1,(MIN(35,(D265-C265)))*(M265/(M265+N265))*(Q265/(Q265+R265)),(MAX(-35,(D265-C265)))*(IF(N265=0,0.1,(N265/(M265+N265))))*(R265/(R265+Q265)))</f>
        <v>0.701525054466231</v>
      </c>
    </row>
    <row r="266" customFormat="false" ht="15" hidden="false" customHeight="false" outlineLevel="0" collapsed="false">
      <c r="A266" s="0" t="s">
        <v>91</v>
      </c>
      <c r="B266" s="0" t="s">
        <v>134</v>
      </c>
      <c r="C266" s="0" t="n">
        <v>34</v>
      </c>
      <c r="D266" s="0" t="n">
        <v>13</v>
      </c>
      <c r="E266" s="0" t="n">
        <v>238</v>
      </c>
      <c r="F266" s="0" t="n">
        <v>50</v>
      </c>
      <c r="G266" s="0" t="n">
        <v>179</v>
      </c>
      <c r="H266" s="0" t="n">
        <v>130</v>
      </c>
      <c r="I266" s="0" t="n">
        <v>1</v>
      </c>
      <c r="J266" s="0" t="n">
        <v>3</v>
      </c>
      <c r="K266" s="0" t="n">
        <v>1</v>
      </c>
      <c r="L266" s="0" t="n">
        <v>0</v>
      </c>
      <c r="M266" s="0" t="n">
        <f aca="false">VLOOKUP(A266,'Team Data'!$A$1:$P$133,2,FALSE())</f>
        <v>9</v>
      </c>
      <c r="N266" s="0" t="n">
        <f aca="false">VLOOKUP(A266,'Team Data'!$A$1:$P$133,3,FALSE())</f>
        <v>4</v>
      </c>
      <c r="O266" s="0" t="n">
        <f aca="false">VLOOKUP(B266,'Team Data'!$A$1:$P$133,2,FALSE())</f>
        <v>5</v>
      </c>
      <c r="P266" s="0" t="n">
        <f aca="false">VLOOKUP(B266,'Team Data'!$A$1:$P$133,3,FALSE())</f>
        <v>7</v>
      </c>
      <c r="Q266" s="0" t="n">
        <f aca="false">VLOOKUP(A266,'Team Data'!$A$1:$P$133,4,FALSE())</f>
        <v>87</v>
      </c>
      <c r="R266" s="0" t="n">
        <f aca="false">VLOOKUP(A266,'Team Data'!$A$1:$P$133,5,FALSE())</f>
        <v>181</v>
      </c>
      <c r="S266" s="0" t="n">
        <f aca="false">VLOOKUP(B266,'Team Data'!$A$1:$P$133,4,FALSE())</f>
        <v>81</v>
      </c>
      <c r="T266" s="0" t="n">
        <f aca="false">VLOOKUP(B266,'Team Data'!$A$1:$P$133,5,FALSE())</f>
        <v>179</v>
      </c>
      <c r="U266" s="0" t="n">
        <f aca="false">IF(K266=1,(MIN(35,(C266-D266)))*(O266/(O266+P266))*(S266/(S266+T266)),(MAX(-35,(C266-D266)))*(IF(P266=0,0.1,(P266/(O266+P266))))*(T266/(S266+T266)))</f>
        <v>2.72596153846154</v>
      </c>
      <c r="V266" s="0" t="n">
        <f aca="false">IF(L266=1,(MIN(35,(D266-C266)))*(M266/(M266+N266))*(Q266/(Q266+R266)),(MAX(-35,(D266-C266)))*(IF(N266=0,0.1,(N266/(M266+N266))))*(R266/(R266+Q266)))</f>
        <v>-4.36394948335247</v>
      </c>
    </row>
    <row r="267" customFormat="false" ht="15" hidden="false" customHeight="false" outlineLevel="0" collapsed="false">
      <c r="A267" s="0" t="s">
        <v>198</v>
      </c>
      <c r="B267" s="0" t="s">
        <v>113</v>
      </c>
      <c r="C267" s="0" t="n">
        <v>17</v>
      </c>
      <c r="D267" s="0" t="n">
        <v>54</v>
      </c>
      <c r="E267" s="0" t="n">
        <v>208</v>
      </c>
      <c r="F267" s="0" t="n">
        <v>164</v>
      </c>
      <c r="G267" s="0" t="n">
        <v>87</v>
      </c>
      <c r="H267" s="0" t="n">
        <v>457</v>
      </c>
      <c r="I267" s="0" t="n">
        <v>3</v>
      </c>
      <c r="J267" s="0" t="n">
        <v>0</v>
      </c>
      <c r="K267" s="0" t="n">
        <v>0</v>
      </c>
      <c r="L267" s="0" t="n">
        <v>1</v>
      </c>
      <c r="M267" s="0" t="n">
        <f aca="false">VLOOKUP(A267,'Team Data'!$A$1:$P$133,2,FALSE())</f>
        <v>8</v>
      </c>
      <c r="N267" s="0" t="n">
        <f aca="false">VLOOKUP(A267,'Team Data'!$A$1:$P$133,3,FALSE())</f>
        <v>112</v>
      </c>
      <c r="O267" s="0" t="n">
        <f aca="false">VLOOKUP(B267,'Team Data'!$A$1:$P$133,2,FALSE())</f>
        <v>5</v>
      </c>
      <c r="P267" s="0" t="n">
        <f aca="false">VLOOKUP(B267,'Team Data'!$A$1:$P$133,3,FALSE())</f>
        <v>7</v>
      </c>
      <c r="Q267" s="0" t="n">
        <f aca="false">VLOOKUP(A267,'Team Data'!$A$1:$P$133,4,FALSE())</f>
        <v>805</v>
      </c>
      <c r="R267" s="0" t="n">
        <f aca="false">VLOOKUP(A267,'Team Data'!$A$1:$P$133,5,FALSE())</f>
        <v>725</v>
      </c>
      <c r="S267" s="0" t="n">
        <f aca="false">VLOOKUP(B267,'Team Data'!$A$1:$P$133,4,FALSE())</f>
        <v>77</v>
      </c>
      <c r="T267" s="0" t="n">
        <f aca="false">VLOOKUP(B267,'Team Data'!$A$1:$P$133,5,FALSE())</f>
        <v>183</v>
      </c>
      <c r="U267" s="0" t="n">
        <f aca="false">IF(K267=1,(MIN(35,(C267-D267)))*(O267/(O267+P267))*(S267/(S267+T267)),(MAX(-35,(C267-D267)))*(IF(P267=0,0.1,(P267/(O267+P267))))*(T267/(S267+T267)))</f>
        <v>-14.3701923076923</v>
      </c>
      <c r="V267" s="0" t="n">
        <f aca="false">IF(L267=1,(MIN(35,(D267-C267)))*(M267/(M267+N267))*(Q267/(Q267+R267)),(MAX(-35,(D267-C267)))*(IF(N267=0,0.1,(N267/(M267+N267))))*(R267/(R267+Q267)))</f>
        <v>1.2276688453159</v>
      </c>
    </row>
    <row r="268" customFormat="false" ht="15" hidden="false" customHeight="false" outlineLevel="0" collapsed="false">
      <c r="A268" s="0" t="s">
        <v>198</v>
      </c>
      <c r="B268" s="0" t="s">
        <v>118</v>
      </c>
      <c r="C268" s="0" t="n">
        <v>3</v>
      </c>
      <c r="D268" s="0" t="n">
        <v>20</v>
      </c>
      <c r="E268" s="0" t="n">
        <v>127</v>
      </c>
      <c r="F268" s="0" t="n">
        <v>159</v>
      </c>
      <c r="G268" s="0" t="n">
        <v>206</v>
      </c>
      <c r="H268" s="0" t="n">
        <v>105</v>
      </c>
      <c r="I268" s="0" t="n">
        <v>2</v>
      </c>
      <c r="J268" s="0" t="n">
        <v>1</v>
      </c>
      <c r="K268" s="0" t="n">
        <v>0</v>
      </c>
      <c r="L268" s="0" t="n">
        <v>1</v>
      </c>
      <c r="M268" s="0" t="n">
        <f aca="false">VLOOKUP(A268,'Team Data'!$A$1:$P$133,2,FALSE())</f>
        <v>8</v>
      </c>
      <c r="N268" s="0" t="n">
        <f aca="false">VLOOKUP(A268,'Team Data'!$A$1:$P$133,3,FALSE())</f>
        <v>112</v>
      </c>
      <c r="O268" s="0" t="n">
        <f aca="false">VLOOKUP(B268,'Team Data'!$A$1:$P$133,2,FALSE())</f>
        <v>1</v>
      </c>
      <c r="P268" s="0" t="n">
        <f aca="false">VLOOKUP(B268,'Team Data'!$A$1:$P$133,3,FALSE())</f>
        <v>11</v>
      </c>
      <c r="Q268" s="0" t="n">
        <f aca="false">VLOOKUP(A268,'Team Data'!$A$1:$P$133,4,FALSE())</f>
        <v>805</v>
      </c>
      <c r="R268" s="0" t="n">
        <f aca="false">VLOOKUP(A268,'Team Data'!$A$1:$P$133,5,FALSE())</f>
        <v>725</v>
      </c>
      <c r="S268" s="0" t="n">
        <f aca="false">VLOOKUP(B268,'Team Data'!$A$1:$P$133,4,FALSE())</f>
        <v>83</v>
      </c>
      <c r="T268" s="0" t="n">
        <f aca="false">VLOOKUP(B268,'Team Data'!$A$1:$P$133,5,FALSE())</f>
        <v>178</v>
      </c>
      <c r="U268" s="0" t="n">
        <f aca="false">IF(K268=1,(MIN(35,(C268-D268)))*(O268/(O268+P268))*(S268/(S268+T268)),(MAX(-35,(C268-D268)))*(IF(P268=0,0.1,(P268/(O268+P268))))*(T268/(S268+T268)))</f>
        <v>-10.6277139208174</v>
      </c>
      <c r="V268" s="0" t="n">
        <f aca="false">IF(L268=1,(MIN(35,(D268-C268)))*(M268/(M268+N268))*(Q268/(Q268+R268)),(MAX(-35,(D268-C268)))*(IF(N268=0,0.1,(N268/(M268+N268))))*(R268/(R268+Q268)))</f>
        <v>0.596296296296296</v>
      </c>
    </row>
    <row r="269" customFormat="false" ht="15" hidden="false" customHeight="false" outlineLevel="0" collapsed="false">
      <c r="A269" s="0" t="s">
        <v>60</v>
      </c>
      <c r="B269" s="0" t="s">
        <v>21</v>
      </c>
      <c r="C269" s="0" t="n">
        <v>31</v>
      </c>
      <c r="D269" s="0" t="n">
        <v>34</v>
      </c>
      <c r="E269" s="0" t="n">
        <v>191</v>
      </c>
      <c r="F269" s="0" t="n">
        <v>77</v>
      </c>
      <c r="G269" s="0" t="n">
        <v>356</v>
      </c>
      <c r="H269" s="0" t="n">
        <v>300</v>
      </c>
      <c r="I269" s="0" t="n">
        <v>3</v>
      </c>
      <c r="J269" s="0" t="n">
        <v>0</v>
      </c>
      <c r="K269" s="0" t="n">
        <v>0</v>
      </c>
      <c r="L269" s="0" t="n">
        <v>1</v>
      </c>
      <c r="M269" s="0" t="n">
        <f aca="false">VLOOKUP(A269,'Team Data'!$A$1:$P$133,2,FALSE())</f>
        <v>9</v>
      </c>
      <c r="N269" s="0" t="n">
        <f aca="false">VLOOKUP(A269,'Team Data'!$A$1:$P$133,3,FALSE())</f>
        <v>4</v>
      </c>
      <c r="O269" s="0" t="n">
        <f aca="false">VLOOKUP(B269,'Team Data'!$A$1:$P$133,2,FALSE())</f>
        <v>6</v>
      </c>
      <c r="P269" s="0" t="n">
        <f aca="false">VLOOKUP(B269,'Team Data'!$A$1:$P$133,3,FALSE())</f>
        <v>7</v>
      </c>
      <c r="Q269" s="0" t="n">
        <f aca="false">VLOOKUP(A269,'Team Data'!$A$1:$P$133,4,FALSE())</f>
        <v>91</v>
      </c>
      <c r="R269" s="0" t="n">
        <f aca="false">VLOOKUP(A269,'Team Data'!$A$1:$P$133,5,FALSE())</f>
        <v>288</v>
      </c>
      <c r="S269" s="0" t="n">
        <f aca="false">VLOOKUP(B269,'Team Data'!$A$1:$P$133,4,FALSE())</f>
        <v>90</v>
      </c>
      <c r="T269" s="0" t="n">
        <f aca="false">VLOOKUP(B269,'Team Data'!$A$1:$P$133,5,FALSE())</f>
        <v>184</v>
      </c>
      <c r="U269" s="0" t="n">
        <f aca="false">IF(K269=1,(MIN(35,(C269-D269)))*(O269/(O269+P269))*(S269/(S269+T269)),(MAX(-35,(C269-D269)))*(IF(P269=0,0.1,(P269/(O269+P269))))*(T269/(S269+T269)))</f>
        <v>-1.08478382930938</v>
      </c>
      <c r="V269" s="0" t="n">
        <f aca="false">IF(L269=1,(MIN(35,(D269-C269)))*(M269/(M269+N269))*(Q269/(Q269+R269)),(MAX(-35,(D269-C269)))*(IF(N269=0,0.1,(N269/(M269+N269))))*(R269/(R269+Q269)))</f>
        <v>0.49868073878628</v>
      </c>
    </row>
    <row r="270" customFormat="false" ht="15" hidden="false" customHeight="false" outlineLevel="0" collapsed="false">
      <c r="A270" s="0" t="s">
        <v>198</v>
      </c>
      <c r="B270" s="0" t="s">
        <v>100</v>
      </c>
      <c r="C270" s="0" t="n">
        <v>10</v>
      </c>
      <c r="D270" s="0" t="n">
        <v>64</v>
      </c>
      <c r="E270" s="0" t="n">
        <v>16</v>
      </c>
      <c r="F270" s="0" t="n">
        <v>188</v>
      </c>
      <c r="G270" s="0" t="n">
        <v>218</v>
      </c>
      <c r="H270" s="0" t="n">
        <v>400</v>
      </c>
      <c r="I270" s="0" t="n">
        <v>2</v>
      </c>
      <c r="J270" s="0" t="n">
        <v>0</v>
      </c>
      <c r="K270" s="0" t="n">
        <v>0</v>
      </c>
      <c r="L270" s="0" t="n">
        <v>1</v>
      </c>
      <c r="M270" s="0" t="n">
        <f aca="false">VLOOKUP(A270,'Team Data'!$A$1:$P$133,2,FALSE())</f>
        <v>8</v>
      </c>
      <c r="N270" s="0" t="n">
        <f aca="false">VLOOKUP(A270,'Team Data'!$A$1:$P$133,3,FALSE())</f>
        <v>112</v>
      </c>
      <c r="O270" s="0" t="n">
        <f aca="false">VLOOKUP(B270,'Team Data'!$A$1:$P$133,2,FALSE())</f>
        <v>7</v>
      </c>
      <c r="P270" s="0" t="n">
        <f aca="false">VLOOKUP(B270,'Team Data'!$A$1:$P$133,3,FALSE())</f>
        <v>6</v>
      </c>
      <c r="Q270" s="0" t="n">
        <f aca="false">VLOOKUP(A270,'Team Data'!$A$1:$P$133,4,FALSE())</f>
        <v>805</v>
      </c>
      <c r="R270" s="0" t="n">
        <f aca="false">VLOOKUP(A270,'Team Data'!$A$1:$P$133,5,FALSE())</f>
        <v>725</v>
      </c>
      <c r="S270" s="0" t="n">
        <f aca="false">VLOOKUP(B270,'Team Data'!$A$1:$P$133,4,FALSE())</f>
        <v>90</v>
      </c>
      <c r="T270" s="0" t="n">
        <f aca="false">VLOOKUP(B270,'Team Data'!$A$1:$P$133,5,FALSE())</f>
        <v>183</v>
      </c>
      <c r="U270" s="0" t="n">
        <f aca="false">IF(K270=1,(MIN(35,(C270-D270)))*(O270/(O270+P270))*(S270/(S270+T270)),(MAX(-35,(C270-D270)))*(IF(P270=0,0.1,(P270/(O270+P270))))*(T270/(S270+T270)))</f>
        <v>-10.8284023668639</v>
      </c>
      <c r="V270" s="0" t="n">
        <f aca="false">IF(L270=1,(MIN(35,(D270-C270)))*(M270/(M270+N270))*(Q270/(Q270+R270)),(MAX(-35,(D270-C270)))*(IF(N270=0,0.1,(N270/(M270+N270))))*(R270/(R270+Q270)))</f>
        <v>1.2276688453159</v>
      </c>
    </row>
    <row r="271" customFormat="false" ht="15" hidden="false" customHeight="false" outlineLevel="0" collapsed="false">
      <c r="A271" s="0" t="s">
        <v>6</v>
      </c>
      <c r="B271" s="0" t="s">
        <v>136</v>
      </c>
      <c r="C271" s="0" t="n">
        <v>14</v>
      </c>
      <c r="D271" s="0" t="n">
        <v>17</v>
      </c>
      <c r="E271" s="0" t="n">
        <v>171</v>
      </c>
      <c r="F271" s="0" t="n">
        <v>180</v>
      </c>
      <c r="G271" s="0" t="n">
        <v>101</v>
      </c>
      <c r="H271" s="0" t="n">
        <v>162</v>
      </c>
      <c r="I271" s="0" t="n">
        <v>0</v>
      </c>
      <c r="J271" s="0" t="n">
        <v>1</v>
      </c>
      <c r="K271" s="0" t="n">
        <v>0</v>
      </c>
      <c r="L271" s="0" t="n">
        <v>1</v>
      </c>
      <c r="M271" s="0" t="n">
        <f aca="false">VLOOKUP(A271,'Team Data'!$A$1:$P$133,2,FALSE())</f>
        <v>10</v>
      </c>
      <c r="N271" s="0" t="n">
        <f aca="false">VLOOKUP(A271,'Team Data'!$A$1:$P$133,3,FALSE())</f>
        <v>3</v>
      </c>
      <c r="O271" s="0" t="n">
        <f aca="false">VLOOKUP(B271,'Team Data'!$A$1:$P$133,2,FALSE())</f>
        <v>7</v>
      </c>
      <c r="P271" s="0" t="n">
        <f aca="false">VLOOKUP(B271,'Team Data'!$A$1:$P$133,3,FALSE())</f>
        <v>6</v>
      </c>
      <c r="Q271" s="0" t="n">
        <f aca="false">VLOOKUP(A271,'Team Data'!$A$1:$P$133,4,FALSE())</f>
        <v>67</v>
      </c>
      <c r="R271" s="0" t="n">
        <f aca="false">VLOOKUP(A271,'Team Data'!$A$1:$P$133,5,FALSE())</f>
        <v>203</v>
      </c>
      <c r="S271" s="0" t="n">
        <f aca="false">VLOOKUP(B271,'Team Data'!$A$1:$P$133,4,FALSE())</f>
        <v>90</v>
      </c>
      <c r="T271" s="0" t="n">
        <f aca="false">VLOOKUP(B271,'Team Data'!$A$1:$P$133,5,FALSE())</f>
        <v>185</v>
      </c>
      <c r="U271" s="0" t="n">
        <f aca="false">IF(K271=1,(MIN(35,(C271-D271)))*(O271/(O271+P271))*(S271/(S271+T271)),(MAX(-35,(C271-D271)))*(IF(P271=0,0.1,(P271/(O271+P271))))*(T271/(S271+T271)))</f>
        <v>-0.931468531468532</v>
      </c>
      <c r="V271" s="0" t="n">
        <f aca="false">IF(L271=1,(MIN(35,(D271-C271)))*(M271/(M271+N271))*(Q271/(Q271+R271)),(MAX(-35,(D271-C271)))*(IF(N271=0,0.1,(N271/(M271+N271))))*(R271/(R271+Q271)))</f>
        <v>0.572649572649573</v>
      </c>
    </row>
    <row r="272" customFormat="false" ht="15" hidden="false" customHeight="false" outlineLevel="0" collapsed="false">
      <c r="A272" s="0" t="s">
        <v>198</v>
      </c>
      <c r="B272" s="0" t="s">
        <v>19</v>
      </c>
      <c r="C272" s="0" t="n">
        <v>7</v>
      </c>
      <c r="D272" s="0" t="n">
        <v>30</v>
      </c>
      <c r="E272" s="0" t="n">
        <v>26</v>
      </c>
      <c r="F272" s="0" t="n">
        <v>123</v>
      </c>
      <c r="G272" s="0" t="n">
        <v>126</v>
      </c>
      <c r="H272" s="0" t="n">
        <v>204</v>
      </c>
      <c r="I272" s="0" t="n">
        <v>1</v>
      </c>
      <c r="J272" s="0" t="n">
        <v>1</v>
      </c>
      <c r="K272" s="0" t="n">
        <v>0</v>
      </c>
      <c r="L272" s="0" t="n">
        <v>1</v>
      </c>
      <c r="M272" s="0" t="n">
        <f aca="false">VLOOKUP(A272,'Team Data'!$A$1:$P$133,2,FALSE())</f>
        <v>8</v>
      </c>
      <c r="N272" s="0" t="n">
        <f aca="false">VLOOKUP(A272,'Team Data'!$A$1:$P$133,3,FALSE())</f>
        <v>112</v>
      </c>
      <c r="O272" s="0" t="n">
        <f aca="false">VLOOKUP(B272,'Team Data'!$A$1:$P$133,2,FALSE())</f>
        <v>10</v>
      </c>
      <c r="P272" s="0" t="n">
        <f aca="false">VLOOKUP(B272,'Team Data'!$A$1:$P$133,3,FALSE())</f>
        <v>4</v>
      </c>
      <c r="Q272" s="0" t="n">
        <f aca="false">VLOOKUP(A272,'Team Data'!$A$1:$P$133,4,FALSE())</f>
        <v>805</v>
      </c>
      <c r="R272" s="0" t="n">
        <f aca="false">VLOOKUP(A272,'Team Data'!$A$1:$P$133,5,FALSE())</f>
        <v>725</v>
      </c>
      <c r="S272" s="0" t="n">
        <f aca="false">VLOOKUP(B272,'Team Data'!$A$1:$P$133,4,FALSE())</f>
        <v>95</v>
      </c>
      <c r="T272" s="0" t="n">
        <f aca="false">VLOOKUP(B272,'Team Data'!$A$1:$P$133,5,FALSE())</f>
        <v>193</v>
      </c>
      <c r="U272" s="0" t="n">
        <f aca="false">IF(K272=1,(MIN(35,(C272-D272)))*(O272/(O272+P272))*(S272/(S272+T272)),(MAX(-35,(C272-D272)))*(IF(P272=0,0.1,(P272/(O272+P272))))*(T272/(S272+T272)))</f>
        <v>-4.40376984126984</v>
      </c>
      <c r="V272" s="0" t="n">
        <f aca="false">IF(L272=1,(MIN(35,(D272-C272)))*(M272/(M272+N272))*(Q272/(Q272+R272)),(MAX(-35,(D272-C272)))*(IF(N272=0,0.1,(N272/(M272+N272))))*(R272/(R272+Q272)))</f>
        <v>0.806753812636166</v>
      </c>
    </row>
    <row r="273" customFormat="false" ht="15" hidden="false" customHeight="false" outlineLevel="0" collapsed="false">
      <c r="A273" s="0" t="s">
        <v>198</v>
      </c>
      <c r="B273" s="0" t="s">
        <v>43</v>
      </c>
      <c r="C273" s="0" t="n">
        <v>14</v>
      </c>
      <c r="D273" s="0" t="n">
        <v>24</v>
      </c>
      <c r="E273" s="0" t="n">
        <v>134</v>
      </c>
      <c r="F273" s="0" t="n">
        <v>91</v>
      </c>
      <c r="G273" s="0" t="n">
        <v>230</v>
      </c>
      <c r="H273" s="0" t="n">
        <v>93</v>
      </c>
      <c r="I273" s="0" t="n">
        <v>3</v>
      </c>
      <c r="J273" s="0" t="n">
        <v>2</v>
      </c>
      <c r="K273" s="0" t="n">
        <v>0</v>
      </c>
      <c r="L273" s="0" t="n">
        <v>1</v>
      </c>
      <c r="M273" s="0" t="n">
        <f aca="false">VLOOKUP(A273,'Team Data'!$A$1:$P$133,2,FALSE())</f>
        <v>8</v>
      </c>
      <c r="N273" s="0" t="n">
        <f aca="false">VLOOKUP(A273,'Team Data'!$A$1:$P$133,3,FALSE())</f>
        <v>112</v>
      </c>
      <c r="O273" s="0" t="n">
        <f aca="false">VLOOKUP(B273,'Team Data'!$A$1:$P$133,2,FALSE())</f>
        <v>3</v>
      </c>
      <c r="P273" s="0" t="n">
        <f aca="false">VLOOKUP(B273,'Team Data'!$A$1:$P$133,3,FALSE())</f>
        <v>10</v>
      </c>
      <c r="Q273" s="0" t="n">
        <f aca="false">VLOOKUP(A273,'Team Data'!$A$1:$P$133,4,FALSE())</f>
        <v>805</v>
      </c>
      <c r="R273" s="0" t="n">
        <f aca="false">VLOOKUP(A273,'Team Data'!$A$1:$P$133,5,FALSE())</f>
        <v>725</v>
      </c>
      <c r="S273" s="0" t="n">
        <f aca="false">VLOOKUP(B273,'Team Data'!$A$1:$P$133,4,FALSE())</f>
        <v>89</v>
      </c>
      <c r="T273" s="0" t="n">
        <f aca="false">VLOOKUP(B273,'Team Data'!$A$1:$P$133,5,FALSE())</f>
        <v>185</v>
      </c>
      <c r="U273" s="0" t="n">
        <f aca="false">IF(K273=1,(MIN(35,(C273-D273)))*(O273/(O273+P273))*(S273/(S273+T273)),(MAX(-35,(C273-D273)))*(IF(P273=0,0.1,(P273/(O273+P273))))*(T273/(S273+T273)))</f>
        <v>-5.19371139809096</v>
      </c>
      <c r="V273" s="0" t="n">
        <f aca="false">IF(L273=1,(MIN(35,(D273-C273)))*(M273/(M273+N273))*(Q273/(Q273+R273)),(MAX(-35,(D273-C273)))*(IF(N273=0,0.1,(N273/(M273+N273))))*(R273/(R273+Q273)))</f>
        <v>0.350762527233115</v>
      </c>
    </row>
    <row r="274" customFormat="false" ht="15" hidden="false" customHeight="false" outlineLevel="0" collapsed="false">
      <c r="A274" s="0" t="s">
        <v>198</v>
      </c>
      <c r="B274" s="0" t="s">
        <v>32</v>
      </c>
      <c r="C274" s="0" t="n">
        <v>10</v>
      </c>
      <c r="D274" s="0" t="n">
        <v>49</v>
      </c>
      <c r="E274" s="0" t="n">
        <v>103</v>
      </c>
      <c r="F274" s="0" t="n">
        <v>270</v>
      </c>
      <c r="G274" s="0" t="n">
        <v>300</v>
      </c>
      <c r="H274" s="0" t="n">
        <v>302</v>
      </c>
      <c r="I274" s="0" t="n">
        <v>1</v>
      </c>
      <c r="J274" s="0" t="n">
        <v>0</v>
      </c>
      <c r="K274" s="0" t="n">
        <v>0</v>
      </c>
      <c r="L274" s="0" t="n">
        <v>1</v>
      </c>
      <c r="M274" s="0" t="n">
        <f aca="false">VLOOKUP(A274,'Team Data'!$A$1:$P$133,2,FALSE())</f>
        <v>8</v>
      </c>
      <c r="N274" s="0" t="n">
        <f aca="false">VLOOKUP(A274,'Team Data'!$A$1:$P$133,3,FALSE())</f>
        <v>112</v>
      </c>
      <c r="O274" s="0" t="n">
        <f aca="false">VLOOKUP(B274,'Team Data'!$A$1:$P$133,2,FALSE())</f>
        <v>8</v>
      </c>
      <c r="P274" s="0" t="n">
        <f aca="false">VLOOKUP(B274,'Team Data'!$A$1:$P$133,3,FALSE())</f>
        <v>5</v>
      </c>
      <c r="Q274" s="0" t="n">
        <f aca="false">VLOOKUP(A274,'Team Data'!$A$1:$P$133,4,FALSE())</f>
        <v>805</v>
      </c>
      <c r="R274" s="0" t="n">
        <f aca="false">VLOOKUP(A274,'Team Data'!$A$1:$P$133,5,FALSE())</f>
        <v>725</v>
      </c>
      <c r="S274" s="0" t="n">
        <f aca="false">VLOOKUP(B274,'Team Data'!$A$1:$P$133,4,FALSE())</f>
        <v>89</v>
      </c>
      <c r="T274" s="0" t="n">
        <f aca="false">VLOOKUP(B274,'Team Data'!$A$1:$P$133,5,FALSE())</f>
        <v>185</v>
      </c>
      <c r="U274" s="0" t="n">
        <f aca="false">IF(K274=1,(MIN(35,(C274-D274)))*(O274/(O274+P274))*(S274/(S274+T274)),(MAX(-35,(C274-D274)))*(IF(P274=0,0.1,(P274/(O274+P274))))*(T274/(S274+T274)))</f>
        <v>-9.08899494665918</v>
      </c>
      <c r="V274" s="0" t="n">
        <f aca="false">IF(L274=1,(MIN(35,(D274-C274)))*(M274/(M274+N274))*(Q274/(Q274+R274)),(MAX(-35,(D274-C274)))*(IF(N274=0,0.1,(N274/(M274+N274))))*(R274/(R274+Q274)))</f>
        <v>1.2276688453159</v>
      </c>
    </row>
    <row r="275" customFormat="false" ht="15" hidden="false" customHeight="false" outlineLevel="0" collapsed="false">
      <c r="A275" s="0" t="s">
        <v>13</v>
      </c>
      <c r="B275" s="0" t="s">
        <v>62</v>
      </c>
      <c r="C275" s="0" t="n">
        <v>32</v>
      </c>
      <c r="D275" s="0" t="n">
        <v>44</v>
      </c>
      <c r="E275" s="0" t="n">
        <v>95</v>
      </c>
      <c r="F275" s="0" t="n">
        <v>187</v>
      </c>
      <c r="G275" s="0" t="n">
        <v>275</v>
      </c>
      <c r="H275" s="0" t="n">
        <v>360</v>
      </c>
      <c r="I275" s="0" t="n">
        <v>1</v>
      </c>
      <c r="J275" s="0" t="n">
        <v>0</v>
      </c>
      <c r="K275" s="0" t="n">
        <v>0</v>
      </c>
      <c r="L275" s="0" t="n">
        <v>1</v>
      </c>
      <c r="M275" s="0" t="n">
        <f aca="false">VLOOKUP(A275,'Team Data'!$A$1:$P$133,2,FALSE())</f>
        <v>3</v>
      </c>
      <c r="N275" s="0" t="n">
        <f aca="false">VLOOKUP(A275,'Team Data'!$A$1:$P$133,3,FALSE())</f>
        <v>9</v>
      </c>
      <c r="O275" s="0" t="n">
        <f aca="false">VLOOKUP(B275,'Team Data'!$A$1:$P$133,2,FALSE())</f>
        <v>7</v>
      </c>
      <c r="P275" s="0" t="n">
        <f aca="false">VLOOKUP(B275,'Team Data'!$A$1:$P$133,3,FALSE())</f>
        <v>6</v>
      </c>
      <c r="Q275" s="0" t="n">
        <f aca="false">VLOOKUP(A275,'Team Data'!$A$1:$P$133,4,FALSE())</f>
        <v>81</v>
      </c>
      <c r="R275" s="0" t="n">
        <f aca="false">VLOOKUP(A275,'Team Data'!$A$1:$P$133,5,FALSE())</f>
        <v>177</v>
      </c>
      <c r="S275" s="0" t="n">
        <f aca="false">VLOOKUP(B275,'Team Data'!$A$1:$P$133,4,FALSE())</f>
        <v>89</v>
      </c>
      <c r="T275" s="0" t="n">
        <f aca="false">VLOOKUP(B275,'Team Data'!$A$1:$P$133,5,FALSE())</f>
        <v>186</v>
      </c>
      <c r="U275" s="0" t="n">
        <f aca="false">IF(K275=1,(MIN(35,(C275-D275)))*(O275/(O275+P275))*(S275/(S275+T275)),(MAX(-35,(C275-D275)))*(IF(P275=0,0.1,(P275/(O275+P275))))*(T275/(S275+T275)))</f>
        <v>-3.74601398601399</v>
      </c>
      <c r="V275" s="0" t="n">
        <f aca="false">IF(L275=1,(MIN(35,(D275-C275)))*(M275/(M275+N275))*(Q275/(Q275+R275)),(MAX(-35,(D275-C275)))*(IF(N275=0,0.1,(N275/(M275+N275))))*(R275/(R275+Q275)))</f>
        <v>0.941860465116279</v>
      </c>
    </row>
    <row r="276" customFormat="false" ht="15" hidden="false" customHeight="false" outlineLevel="0" collapsed="false">
      <c r="A276" s="0" t="s">
        <v>26</v>
      </c>
      <c r="B276" s="0" t="s">
        <v>64</v>
      </c>
      <c r="C276" s="0" t="n">
        <v>38</v>
      </c>
      <c r="D276" s="0" t="n">
        <v>17</v>
      </c>
      <c r="E276" s="0" t="n">
        <v>137</v>
      </c>
      <c r="F276" s="0" t="n">
        <v>67</v>
      </c>
      <c r="G276" s="0" t="n">
        <v>341</v>
      </c>
      <c r="H276" s="0" t="n">
        <v>116</v>
      </c>
      <c r="I276" s="0" t="n">
        <v>3</v>
      </c>
      <c r="J276" s="0" t="n">
        <v>1</v>
      </c>
      <c r="K276" s="0" t="n">
        <v>1</v>
      </c>
      <c r="L276" s="0" t="n">
        <v>0</v>
      </c>
      <c r="M276" s="0" t="n">
        <f aca="false">VLOOKUP(A276,'Team Data'!$A$1:$P$133,2,FALSE())</f>
        <v>9</v>
      </c>
      <c r="N276" s="0" t="n">
        <f aca="false">VLOOKUP(A276,'Team Data'!$A$1:$P$133,3,FALSE())</f>
        <v>4</v>
      </c>
      <c r="O276" s="0" t="n">
        <f aca="false">VLOOKUP(B276,'Team Data'!$A$1:$P$133,2,FALSE())</f>
        <v>6</v>
      </c>
      <c r="P276" s="0" t="n">
        <f aca="false">VLOOKUP(B276,'Team Data'!$A$1:$P$133,3,FALSE())</f>
        <v>7</v>
      </c>
      <c r="Q276" s="0" t="n">
        <f aca="false">VLOOKUP(A276,'Team Data'!$A$1:$P$133,4,FALSE())</f>
        <v>82</v>
      </c>
      <c r="R276" s="0" t="n">
        <f aca="false">VLOOKUP(A276,'Team Data'!$A$1:$P$133,5,FALSE())</f>
        <v>191</v>
      </c>
      <c r="S276" s="0" t="n">
        <f aca="false">VLOOKUP(B276,'Team Data'!$A$1:$P$133,4,FALSE())</f>
        <v>75</v>
      </c>
      <c r="T276" s="0" t="n">
        <f aca="false">VLOOKUP(B276,'Team Data'!$A$1:$P$133,5,FALSE())</f>
        <v>196</v>
      </c>
      <c r="U276" s="0" t="n">
        <f aca="false">IF(K276=1,(MIN(35,(C276-D276)))*(O276/(O276+P276))*(S276/(S276+T276)),(MAX(-35,(C276-D276)))*(IF(P276=0,0.1,(P276/(O276+P276))))*(T276/(S276+T276)))</f>
        <v>2.68237297757593</v>
      </c>
      <c r="V276" s="0" t="n">
        <f aca="false">IF(L276=1,(MIN(35,(D276-C276)))*(M276/(M276+N276))*(Q276/(Q276+R276)),(MAX(-35,(D276-C276)))*(IF(N276=0,0.1,(N276/(M276+N276))))*(R276/(R276+Q276)))</f>
        <v>-4.5207100591716</v>
      </c>
    </row>
    <row r="277" customFormat="false" ht="15" hidden="false" customHeight="false" outlineLevel="0" collapsed="false">
      <c r="A277" s="0" t="s">
        <v>198</v>
      </c>
      <c r="B277" s="0" t="s">
        <v>17</v>
      </c>
      <c r="C277" s="0" t="n">
        <v>0</v>
      </c>
      <c r="D277" s="0" t="n">
        <v>31</v>
      </c>
      <c r="E277" s="0" t="n">
        <v>87</v>
      </c>
      <c r="F277" s="0" t="n">
        <v>249</v>
      </c>
      <c r="G277" s="0" t="n">
        <v>68</v>
      </c>
      <c r="H277" s="0" t="n">
        <v>227</v>
      </c>
      <c r="I277" s="0" t="n">
        <v>3</v>
      </c>
      <c r="J277" s="0" t="n">
        <v>1</v>
      </c>
      <c r="K277" s="0" t="n">
        <v>0</v>
      </c>
      <c r="L277" s="0" t="n">
        <v>1</v>
      </c>
      <c r="M277" s="0" t="n">
        <f aca="false">VLOOKUP(A277,'Team Data'!$A$1:$P$133,2,FALSE())</f>
        <v>8</v>
      </c>
      <c r="N277" s="0" t="n">
        <f aca="false">VLOOKUP(A277,'Team Data'!$A$1:$P$133,3,FALSE())</f>
        <v>112</v>
      </c>
      <c r="O277" s="0" t="n">
        <f aca="false">VLOOKUP(B277,'Team Data'!$A$1:$P$133,2,FALSE())</f>
        <v>5</v>
      </c>
      <c r="P277" s="0" t="n">
        <f aca="false">VLOOKUP(B277,'Team Data'!$A$1:$P$133,3,FALSE())</f>
        <v>7</v>
      </c>
      <c r="Q277" s="0" t="n">
        <f aca="false">VLOOKUP(A277,'Team Data'!$A$1:$P$133,4,FALSE())</f>
        <v>805</v>
      </c>
      <c r="R277" s="0" t="n">
        <f aca="false">VLOOKUP(A277,'Team Data'!$A$1:$P$133,5,FALSE())</f>
        <v>725</v>
      </c>
      <c r="S277" s="0" t="n">
        <f aca="false">VLOOKUP(B277,'Team Data'!$A$1:$P$133,4,FALSE())</f>
        <v>82</v>
      </c>
      <c r="T277" s="0" t="n">
        <f aca="false">VLOOKUP(B277,'Team Data'!$A$1:$P$133,5,FALSE())</f>
        <v>179</v>
      </c>
      <c r="U277" s="0" t="n">
        <f aca="false">IF(K277=1,(MIN(35,(C277-D277)))*(O277/(O277+P277))*(S277/(S277+T277)),(MAX(-35,(C277-D277)))*(IF(P277=0,0.1,(P277/(O277+P277))))*(T277/(S277+T277)))</f>
        <v>-12.4019795657727</v>
      </c>
      <c r="V277" s="0" t="n">
        <f aca="false">IF(L277=1,(MIN(35,(D277-C277)))*(M277/(M277+N277))*(Q277/(Q277+R277)),(MAX(-35,(D277-C277)))*(IF(N277=0,0.1,(N277/(M277+N277))))*(R277/(R277+Q277)))</f>
        <v>1.08736383442266</v>
      </c>
    </row>
    <row r="278" customFormat="false" ht="15" hidden="false" customHeight="false" outlineLevel="0" collapsed="false">
      <c r="A278" s="0" t="s">
        <v>22</v>
      </c>
      <c r="B278" s="0" t="s">
        <v>28</v>
      </c>
      <c r="C278" s="0" t="n">
        <v>26</v>
      </c>
      <c r="D278" s="0" t="n">
        <v>38</v>
      </c>
      <c r="E278" s="0" t="n">
        <v>59</v>
      </c>
      <c r="F278" s="0" t="n">
        <v>221</v>
      </c>
      <c r="G278" s="0" t="n">
        <v>278</v>
      </c>
      <c r="H278" s="0" t="n">
        <v>283</v>
      </c>
      <c r="I278" s="0" t="n">
        <v>4</v>
      </c>
      <c r="J278" s="0" t="n">
        <v>4</v>
      </c>
      <c r="K278" s="0" t="n">
        <v>0</v>
      </c>
      <c r="L278" s="0" t="n">
        <v>1</v>
      </c>
      <c r="M278" s="0" t="n">
        <f aca="false">VLOOKUP(A278,'Team Data'!$A$1:$P$133,2,FALSE())</f>
        <v>7</v>
      </c>
      <c r="N278" s="0" t="n">
        <f aca="false">VLOOKUP(A278,'Team Data'!$A$1:$P$133,3,FALSE())</f>
        <v>6</v>
      </c>
      <c r="O278" s="0" t="n">
        <f aca="false">VLOOKUP(B278,'Team Data'!$A$1:$P$133,2,FALSE())</f>
        <v>9</v>
      </c>
      <c r="P278" s="0" t="n">
        <f aca="false">VLOOKUP(B278,'Team Data'!$A$1:$P$133,3,FALSE())</f>
        <v>4</v>
      </c>
      <c r="Q278" s="0" t="n">
        <f aca="false">VLOOKUP(A278,'Team Data'!$A$1:$P$133,4,FALSE())</f>
        <v>83</v>
      </c>
      <c r="R278" s="0" t="n">
        <f aca="false">VLOOKUP(A278,'Team Data'!$A$1:$P$133,5,FALSE())</f>
        <v>191</v>
      </c>
      <c r="S278" s="0" t="n">
        <f aca="false">VLOOKUP(B278,'Team Data'!$A$1:$P$133,4,FALSE())</f>
        <v>88</v>
      </c>
      <c r="T278" s="0" t="n">
        <f aca="false">VLOOKUP(B278,'Team Data'!$A$1:$P$133,5,FALSE())</f>
        <v>182</v>
      </c>
      <c r="U278" s="0" t="n">
        <f aca="false">IF(K278=1,(MIN(35,(C278-D278)))*(O278/(O278+P278))*(S278/(S278+T278)),(MAX(-35,(C278-D278)))*(IF(P278=0,0.1,(P278/(O278+P278))))*(T278/(S278+T278)))</f>
        <v>-2.48888888888889</v>
      </c>
      <c r="V278" s="0" t="n">
        <f aca="false">IF(L278=1,(MIN(35,(D278-C278)))*(M278/(M278+N278))*(Q278/(Q278+R278)),(MAX(-35,(D278-C278)))*(IF(N278=0,0.1,(N278/(M278+N278))))*(R278/(R278+Q278)))</f>
        <v>1.95732734418866</v>
      </c>
    </row>
    <row r="279" customFormat="false" ht="15" hidden="false" customHeight="false" outlineLevel="0" collapsed="false">
      <c r="A279" s="0" t="s">
        <v>198</v>
      </c>
      <c r="B279" s="0" t="s">
        <v>24</v>
      </c>
      <c r="C279" s="0" t="n">
        <v>0</v>
      </c>
      <c r="D279" s="0" t="n">
        <v>41</v>
      </c>
      <c r="E279" s="0" t="n">
        <v>21</v>
      </c>
      <c r="F279" s="0" t="n">
        <v>287</v>
      </c>
      <c r="G279" s="0" t="n">
        <v>153</v>
      </c>
      <c r="H279" s="0" t="n">
        <v>242</v>
      </c>
      <c r="I279" s="0" t="n">
        <v>2</v>
      </c>
      <c r="J279" s="0" t="n">
        <v>2</v>
      </c>
      <c r="K279" s="0" t="n">
        <v>0</v>
      </c>
      <c r="L279" s="0" t="n">
        <v>1</v>
      </c>
      <c r="M279" s="0" t="n">
        <f aca="false">VLOOKUP(A279,'Team Data'!$A$1:$P$133,2,FALSE())</f>
        <v>8</v>
      </c>
      <c r="N279" s="0" t="n">
        <f aca="false">VLOOKUP(A279,'Team Data'!$A$1:$P$133,3,FALSE())</f>
        <v>112</v>
      </c>
      <c r="O279" s="0" t="n">
        <f aca="false">VLOOKUP(B279,'Team Data'!$A$1:$P$133,2,FALSE())</f>
        <v>4</v>
      </c>
      <c r="P279" s="0" t="n">
        <f aca="false">VLOOKUP(B279,'Team Data'!$A$1:$P$133,3,FALSE())</f>
        <v>8</v>
      </c>
      <c r="Q279" s="0" t="n">
        <f aca="false">VLOOKUP(A279,'Team Data'!$A$1:$P$133,4,FALSE())</f>
        <v>805</v>
      </c>
      <c r="R279" s="0" t="n">
        <f aca="false">VLOOKUP(A279,'Team Data'!$A$1:$P$133,5,FALSE())</f>
        <v>725</v>
      </c>
      <c r="S279" s="0" t="n">
        <f aca="false">VLOOKUP(B279,'Team Data'!$A$1:$P$133,4,FALSE())</f>
        <v>82</v>
      </c>
      <c r="T279" s="0" t="n">
        <f aca="false">VLOOKUP(B279,'Team Data'!$A$1:$P$133,5,FALSE())</f>
        <v>178</v>
      </c>
      <c r="U279" s="0" t="n">
        <f aca="false">IF(K279=1,(MIN(35,(C279-D279)))*(O279/(O279+P279))*(S279/(S279+T279)),(MAX(-35,(C279-D279)))*(IF(P279=0,0.1,(P279/(O279+P279))))*(T279/(S279+T279)))</f>
        <v>-15.974358974359</v>
      </c>
      <c r="V279" s="0" t="n">
        <f aca="false">IF(L279=1,(MIN(35,(D279-C279)))*(M279/(M279+N279))*(Q279/(Q279+R279)),(MAX(-35,(D279-C279)))*(IF(N279=0,0.1,(N279/(M279+N279))))*(R279/(R279+Q279)))</f>
        <v>1.2276688453159</v>
      </c>
    </row>
    <row r="280" customFormat="false" ht="15" hidden="false" customHeight="false" outlineLevel="0" collapsed="false">
      <c r="A280" s="0" t="s">
        <v>198</v>
      </c>
      <c r="B280" s="0" t="s">
        <v>52</v>
      </c>
      <c r="C280" s="0" t="n">
        <v>10</v>
      </c>
      <c r="D280" s="0" t="n">
        <v>63</v>
      </c>
      <c r="E280" s="0" t="n">
        <v>112</v>
      </c>
      <c r="F280" s="0" t="n">
        <v>353</v>
      </c>
      <c r="G280" s="0" t="n">
        <v>195</v>
      </c>
      <c r="H280" s="0" t="n">
        <v>203</v>
      </c>
      <c r="I280" s="0" t="n">
        <v>0</v>
      </c>
      <c r="J280" s="0" t="n">
        <v>0</v>
      </c>
      <c r="K280" s="0" t="n">
        <v>0</v>
      </c>
      <c r="L280" s="0" t="n">
        <v>1</v>
      </c>
      <c r="M280" s="0" t="n">
        <f aca="false">VLOOKUP(A280,'Team Data'!$A$1:$P$133,2,FALSE())</f>
        <v>8</v>
      </c>
      <c r="N280" s="0" t="n">
        <f aca="false">VLOOKUP(A280,'Team Data'!$A$1:$P$133,3,FALSE())</f>
        <v>112</v>
      </c>
      <c r="O280" s="0" t="n">
        <f aca="false">VLOOKUP(B280,'Team Data'!$A$1:$P$133,2,FALSE())</f>
        <v>5</v>
      </c>
      <c r="P280" s="0" t="n">
        <f aca="false">VLOOKUP(B280,'Team Data'!$A$1:$P$133,3,FALSE())</f>
        <v>7</v>
      </c>
      <c r="Q280" s="0" t="n">
        <f aca="false">VLOOKUP(A280,'Team Data'!$A$1:$P$133,4,FALSE())</f>
        <v>805</v>
      </c>
      <c r="R280" s="0" t="n">
        <f aca="false">VLOOKUP(A280,'Team Data'!$A$1:$P$133,5,FALSE())</f>
        <v>725</v>
      </c>
      <c r="S280" s="0" t="n">
        <f aca="false">VLOOKUP(B280,'Team Data'!$A$1:$P$133,4,FALSE())</f>
        <v>94</v>
      </c>
      <c r="T280" s="0" t="n">
        <f aca="false">VLOOKUP(B280,'Team Data'!$A$1:$P$133,5,FALSE())</f>
        <v>171</v>
      </c>
      <c r="U280" s="0" t="n">
        <f aca="false">IF(K280=1,(MIN(35,(C280-D280)))*(O280/(O280+P280))*(S280/(S280+T280)),(MAX(-35,(C280-D280)))*(IF(P280=0,0.1,(P280/(O280+P280))))*(T280/(S280+T280)))</f>
        <v>-13.1745283018868</v>
      </c>
      <c r="V280" s="0" t="n">
        <f aca="false">IF(L280=1,(MIN(35,(D280-C280)))*(M280/(M280+N280))*(Q280/(Q280+R280)),(MAX(-35,(D280-C280)))*(IF(N280=0,0.1,(N280/(M280+N280))))*(R280/(R280+Q280)))</f>
        <v>1.2276688453159</v>
      </c>
    </row>
    <row r="281" customFormat="false" ht="15" hidden="false" customHeight="false" outlineLevel="0" collapsed="false">
      <c r="A281" s="0" t="s">
        <v>111</v>
      </c>
      <c r="B281" s="0" t="s">
        <v>9</v>
      </c>
      <c r="C281" s="0" t="n">
        <v>28</v>
      </c>
      <c r="D281" s="0" t="n">
        <v>32</v>
      </c>
      <c r="E281" s="0" t="n">
        <v>46</v>
      </c>
      <c r="F281" s="0" t="n">
        <v>161</v>
      </c>
      <c r="G281" s="0" t="n">
        <v>302</v>
      </c>
      <c r="H281" s="0" t="n">
        <v>295</v>
      </c>
      <c r="I281" s="0" t="n">
        <v>1</v>
      </c>
      <c r="J281" s="0" t="n">
        <v>0</v>
      </c>
      <c r="K281" s="0" t="n">
        <v>0</v>
      </c>
      <c r="L281" s="0" t="n">
        <v>1</v>
      </c>
      <c r="M281" s="0" t="n">
        <f aca="false">VLOOKUP(A281,'Team Data'!$A$1:$P$133,2,FALSE())</f>
        <v>12</v>
      </c>
      <c r="N281" s="0" t="n">
        <f aca="false">VLOOKUP(A281,'Team Data'!$A$1:$P$133,3,FALSE())</f>
        <v>2</v>
      </c>
      <c r="O281" s="0" t="n">
        <f aca="false">VLOOKUP(B281,'Team Data'!$A$1:$P$133,2,FALSE())</f>
        <v>6</v>
      </c>
      <c r="P281" s="0" t="n">
        <f aca="false">VLOOKUP(B281,'Team Data'!$A$1:$P$133,3,FALSE())</f>
        <v>6</v>
      </c>
      <c r="Q281" s="0" t="n">
        <f aca="false">VLOOKUP(A281,'Team Data'!$A$1:$P$133,4,FALSE())</f>
        <v>100</v>
      </c>
      <c r="R281" s="0" t="n">
        <f aca="false">VLOOKUP(A281,'Team Data'!$A$1:$P$133,5,FALSE())</f>
        <v>186</v>
      </c>
      <c r="S281" s="0" t="n">
        <f aca="false">VLOOKUP(B281,'Team Data'!$A$1:$P$133,4,FALSE())</f>
        <v>85</v>
      </c>
      <c r="T281" s="0" t="n">
        <f aca="false">VLOOKUP(B281,'Team Data'!$A$1:$P$133,5,FALSE())</f>
        <v>281</v>
      </c>
      <c r="U281" s="0" t="n">
        <f aca="false">IF(K281=1,(MIN(35,(C281-D281)))*(O281/(O281+P281))*(S281/(S281+T281)),(MAX(-35,(C281-D281)))*(IF(P281=0,0.1,(P281/(O281+P281))))*(T281/(S281+T281)))</f>
        <v>-1.53551912568306</v>
      </c>
      <c r="V281" s="0" t="n">
        <f aca="false">IF(L281=1,(MIN(35,(D281-C281)))*(M281/(M281+N281))*(Q281/(Q281+R281)),(MAX(-35,(D281-C281)))*(IF(N281=0,0.1,(N281/(M281+N281))))*(R281/(R281+Q281)))</f>
        <v>1.1988011988012</v>
      </c>
    </row>
    <row r="282" customFormat="false" ht="15" hidden="false" customHeight="false" outlineLevel="0" collapsed="false">
      <c r="A282" s="0" t="s">
        <v>25</v>
      </c>
      <c r="B282" s="0" t="s">
        <v>41</v>
      </c>
      <c r="C282" s="0" t="n">
        <v>42</v>
      </c>
      <c r="D282" s="0" t="n">
        <v>41</v>
      </c>
      <c r="E282" s="0" t="n">
        <v>100</v>
      </c>
      <c r="F282" s="0" t="n">
        <v>259</v>
      </c>
      <c r="G282" s="0" t="n">
        <v>401</v>
      </c>
      <c r="H282" s="0" t="n">
        <v>343</v>
      </c>
      <c r="I282" s="0" t="n">
        <v>1</v>
      </c>
      <c r="J282" s="0" t="n">
        <v>2</v>
      </c>
      <c r="K282" s="0" t="n">
        <v>1</v>
      </c>
      <c r="L282" s="0" t="n">
        <v>0</v>
      </c>
      <c r="M282" s="0" t="n">
        <f aca="false">VLOOKUP(A282,'Team Data'!$A$1:$P$133,2,FALSE())</f>
        <v>3</v>
      </c>
      <c r="N282" s="0" t="n">
        <f aca="false">VLOOKUP(A282,'Team Data'!$A$1:$P$133,3,FALSE())</f>
        <v>9</v>
      </c>
      <c r="O282" s="0" t="n">
        <f aca="false">VLOOKUP(B282,'Team Data'!$A$1:$P$133,2,FALSE())</f>
        <v>4</v>
      </c>
      <c r="P282" s="0" t="n">
        <f aca="false">VLOOKUP(B282,'Team Data'!$A$1:$P$133,3,FALSE())</f>
        <v>8</v>
      </c>
      <c r="Q282" s="0" t="n">
        <f aca="false">VLOOKUP(A282,'Team Data'!$A$1:$P$133,4,FALSE())</f>
        <v>74</v>
      </c>
      <c r="R282" s="0" t="n">
        <f aca="false">VLOOKUP(A282,'Team Data'!$A$1:$P$133,5,FALSE())</f>
        <v>185</v>
      </c>
      <c r="S282" s="0" t="n">
        <f aca="false">VLOOKUP(B282,'Team Data'!$A$1:$P$133,4,FALSE())</f>
        <v>78</v>
      </c>
      <c r="T282" s="0" t="n">
        <f aca="false">VLOOKUP(B282,'Team Data'!$A$1:$P$133,5,FALSE())</f>
        <v>72</v>
      </c>
      <c r="U282" s="0" t="n">
        <f aca="false">IF(K282=1,(MIN(35,(C282-D282)))*(O282/(O282+P282))*(S282/(S282+T282)),(MAX(-35,(C282-D282)))*(IF(P282=0,0.1,(P282/(O282+P282))))*(T282/(S282+T282)))</f>
        <v>0.173333333333333</v>
      </c>
      <c r="V282" s="0" t="n">
        <f aca="false">IF(L282=1,(MIN(35,(D282-C282)))*(M282/(M282+N282))*(Q282/(Q282+R282)),(MAX(-35,(D282-C282)))*(IF(N282=0,0.1,(N282/(M282+N282))))*(R282/(R282+Q282)))</f>
        <v>-0.535714285714286</v>
      </c>
    </row>
    <row r="283" customFormat="false" ht="15" hidden="false" customHeight="false" outlineLevel="0" collapsed="false">
      <c r="A283" s="0" t="s">
        <v>115</v>
      </c>
      <c r="B283" s="0" t="s">
        <v>36</v>
      </c>
      <c r="C283" s="0" t="n">
        <v>40</v>
      </c>
      <c r="D283" s="0" t="n">
        <v>14</v>
      </c>
      <c r="E283" s="0" t="n">
        <v>314</v>
      </c>
      <c r="F283" s="0" t="n">
        <v>188</v>
      </c>
      <c r="G283" s="0" t="n">
        <v>339</v>
      </c>
      <c r="H283" s="0" t="n">
        <v>108</v>
      </c>
      <c r="I283" s="0" t="n">
        <v>3</v>
      </c>
      <c r="J283" s="0" t="n">
        <v>1</v>
      </c>
      <c r="K283" s="0" t="n">
        <v>1</v>
      </c>
      <c r="L283" s="0" t="n">
        <v>0</v>
      </c>
      <c r="M283" s="0" t="n">
        <f aca="false">VLOOKUP(A283,'Team Data'!$A$1:$P$133,2,FALSE())</f>
        <v>9</v>
      </c>
      <c r="N283" s="0" t="n">
        <f aca="false">VLOOKUP(A283,'Team Data'!$A$1:$P$133,3,FALSE())</f>
        <v>5</v>
      </c>
      <c r="O283" s="0" t="n">
        <f aca="false">VLOOKUP(B283,'Team Data'!$A$1:$P$133,2,FALSE())</f>
        <v>5</v>
      </c>
      <c r="P283" s="0" t="n">
        <f aca="false">VLOOKUP(B283,'Team Data'!$A$1:$P$133,3,FALSE())</f>
        <v>7</v>
      </c>
      <c r="Q283" s="0" t="n">
        <f aca="false">VLOOKUP(A283,'Team Data'!$A$1:$P$133,4,FALSE())</f>
        <v>98</v>
      </c>
      <c r="R283" s="0" t="n">
        <f aca="false">VLOOKUP(A283,'Team Data'!$A$1:$P$133,5,FALSE())</f>
        <v>188</v>
      </c>
      <c r="S283" s="0" t="n">
        <f aca="false">VLOOKUP(B283,'Team Data'!$A$1:$P$133,4,FALSE())</f>
        <v>83</v>
      </c>
      <c r="T283" s="0" t="n">
        <f aca="false">VLOOKUP(B283,'Team Data'!$A$1:$P$133,5,FALSE())</f>
        <v>182</v>
      </c>
      <c r="U283" s="0" t="n">
        <f aca="false">IF(K283=1,(MIN(35,(C283-D283)))*(O283/(O283+P283))*(S283/(S283+T283)),(MAX(-35,(C283-D283)))*(IF(P283=0,0.1,(P283/(O283+P283))))*(T283/(S283+T283)))</f>
        <v>3.39308176100629</v>
      </c>
      <c r="V283" s="0" t="n">
        <f aca="false">IF(L283=1,(MIN(35,(D283-C283)))*(M283/(M283+N283))*(Q283/(Q283+R283)),(MAX(-35,(D283-C283)))*(IF(N283=0,0.1,(N283/(M283+N283))))*(R283/(R283+Q283)))</f>
        <v>-6.1038961038961</v>
      </c>
    </row>
    <row r="284" customFormat="false" ht="15" hidden="false" customHeight="false" outlineLevel="0" collapsed="false">
      <c r="A284" s="0" t="s">
        <v>57</v>
      </c>
      <c r="B284" s="0" t="s">
        <v>27</v>
      </c>
      <c r="C284" s="0" t="n">
        <v>20</v>
      </c>
      <c r="D284" s="0" t="n">
        <v>48</v>
      </c>
      <c r="E284" s="0" t="n">
        <v>12</v>
      </c>
      <c r="F284" s="0" t="n">
        <v>280</v>
      </c>
      <c r="G284" s="0" t="n">
        <v>311</v>
      </c>
      <c r="H284" s="0" t="n">
        <v>241</v>
      </c>
      <c r="I284" s="0" t="n">
        <v>4</v>
      </c>
      <c r="J284" s="0" t="n">
        <v>1</v>
      </c>
      <c r="K284" s="0" t="n">
        <v>0</v>
      </c>
      <c r="L284" s="0" t="n">
        <v>1</v>
      </c>
      <c r="M284" s="0" t="n">
        <f aca="false">VLOOKUP(A284,'Team Data'!$A$1:$P$133,2,FALSE())</f>
        <v>3</v>
      </c>
      <c r="N284" s="0" t="n">
        <f aca="false">VLOOKUP(A284,'Team Data'!$A$1:$P$133,3,FALSE())</f>
        <v>9</v>
      </c>
      <c r="O284" s="0" t="n">
        <f aca="false">VLOOKUP(B284,'Team Data'!$A$1:$P$133,2,FALSE())</f>
        <v>11</v>
      </c>
      <c r="P284" s="0" t="n">
        <f aca="false">VLOOKUP(B284,'Team Data'!$A$1:$P$133,3,FALSE())</f>
        <v>3</v>
      </c>
      <c r="Q284" s="0" t="n">
        <f aca="false">VLOOKUP(A284,'Team Data'!$A$1:$P$133,4,FALSE())</f>
        <v>85</v>
      </c>
      <c r="R284" s="0" t="n">
        <f aca="false">VLOOKUP(A284,'Team Data'!$A$1:$P$133,5,FALSE())</f>
        <v>178</v>
      </c>
      <c r="S284" s="0" t="n">
        <f aca="false">VLOOKUP(B284,'Team Data'!$A$1:$P$133,4,FALSE())</f>
        <v>102</v>
      </c>
      <c r="T284" s="0" t="n">
        <f aca="false">VLOOKUP(B284,'Team Data'!$A$1:$P$133,5,FALSE())</f>
        <v>184</v>
      </c>
      <c r="U284" s="0" t="n">
        <f aca="false">IF(K284=1,(MIN(35,(C284-D284)))*(O284/(O284+P284))*(S284/(S284+T284)),(MAX(-35,(C284-D284)))*(IF(P284=0,0.1,(P284/(O284+P284))))*(T284/(S284+T284)))</f>
        <v>-3.86013986013986</v>
      </c>
      <c r="V284" s="0" t="n">
        <f aca="false">IF(L284=1,(MIN(35,(D284-C284)))*(M284/(M284+N284))*(Q284/(Q284+R284)),(MAX(-35,(D284-C284)))*(IF(N284=0,0.1,(N284/(M284+N284))))*(R284/(R284+Q284)))</f>
        <v>2.26235741444867</v>
      </c>
    </row>
    <row r="285" customFormat="false" ht="15" hidden="false" customHeight="false" outlineLevel="0" collapsed="false">
      <c r="A285" s="0" t="s">
        <v>198</v>
      </c>
      <c r="B285" s="0" t="s">
        <v>67</v>
      </c>
      <c r="C285" s="0" t="n">
        <v>6</v>
      </c>
      <c r="D285" s="0" t="n">
        <v>49</v>
      </c>
      <c r="E285" s="0" t="n">
        <v>61</v>
      </c>
      <c r="F285" s="0" t="n">
        <v>223</v>
      </c>
      <c r="G285" s="0" t="n">
        <v>149</v>
      </c>
      <c r="H285" s="0" t="n">
        <v>212</v>
      </c>
      <c r="I285" s="0" t="n">
        <v>2</v>
      </c>
      <c r="J285" s="0" t="n">
        <v>1</v>
      </c>
      <c r="K285" s="0" t="n">
        <v>0</v>
      </c>
      <c r="L285" s="0" t="n">
        <v>1</v>
      </c>
      <c r="M285" s="0" t="n">
        <f aca="false">VLOOKUP(A285,'Team Data'!$A$1:$P$133,2,FALSE())</f>
        <v>8</v>
      </c>
      <c r="N285" s="0" t="n">
        <f aca="false">VLOOKUP(A285,'Team Data'!$A$1:$P$133,3,FALSE())</f>
        <v>112</v>
      </c>
      <c r="O285" s="0" t="n">
        <f aca="false">VLOOKUP(B285,'Team Data'!$A$1:$P$133,2,FALSE())</f>
        <v>8</v>
      </c>
      <c r="P285" s="0" t="n">
        <f aca="false">VLOOKUP(B285,'Team Data'!$A$1:$P$133,3,FALSE())</f>
        <v>5</v>
      </c>
      <c r="Q285" s="0" t="n">
        <f aca="false">VLOOKUP(A285,'Team Data'!$A$1:$P$133,4,FALSE())</f>
        <v>805</v>
      </c>
      <c r="R285" s="0" t="n">
        <f aca="false">VLOOKUP(A285,'Team Data'!$A$1:$P$133,5,FALSE())</f>
        <v>725</v>
      </c>
      <c r="S285" s="0" t="n">
        <f aca="false">VLOOKUP(B285,'Team Data'!$A$1:$P$133,4,FALSE())</f>
        <v>78</v>
      </c>
      <c r="T285" s="0" t="n">
        <f aca="false">VLOOKUP(B285,'Team Data'!$A$1:$P$133,5,FALSE())</f>
        <v>191</v>
      </c>
      <c r="U285" s="0" t="n">
        <f aca="false">IF(K285=1,(MIN(35,(C285-D285)))*(O285/(O285+P285))*(S285/(S285+T285)),(MAX(-35,(C285-D285)))*(IF(P285=0,0.1,(P285/(O285+P285))))*(T285/(S285+T285)))</f>
        <v>-9.5581927366314</v>
      </c>
      <c r="V285" s="0" t="n">
        <f aca="false">IF(L285=1,(MIN(35,(D285-C285)))*(M285/(M285+N285))*(Q285/(Q285+R285)),(MAX(-35,(D285-C285)))*(IF(N285=0,0.1,(N285/(M285+N285))))*(R285/(R285+Q285)))</f>
        <v>1.2276688453159</v>
      </c>
    </row>
    <row r="286" customFormat="false" ht="15" hidden="false" customHeight="false" outlineLevel="0" collapsed="false">
      <c r="A286" s="0" t="s">
        <v>78</v>
      </c>
      <c r="B286" s="0" t="s">
        <v>119</v>
      </c>
      <c r="C286" s="0" t="n">
        <v>27</v>
      </c>
      <c r="D286" s="0" t="n">
        <v>58</v>
      </c>
      <c r="E286" s="0" t="n">
        <v>169</v>
      </c>
      <c r="F286" s="0" t="n">
        <v>365</v>
      </c>
      <c r="G286" s="0" t="n">
        <v>305</v>
      </c>
      <c r="H286" s="0" t="n">
        <v>211</v>
      </c>
      <c r="I286" s="0" t="n">
        <v>2</v>
      </c>
      <c r="J286" s="0" t="n">
        <v>0</v>
      </c>
      <c r="K286" s="0" t="n">
        <v>0</v>
      </c>
      <c r="L286" s="0" t="n">
        <v>1</v>
      </c>
      <c r="M286" s="0" t="n">
        <f aca="false">VLOOKUP(A286,'Team Data'!$A$1:$P$133,2,FALSE())</f>
        <v>7</v>
      </c>
      <c r="N286" s="0" t="n">
        <f aca="false">VLOOKUP(A286,'Team Data'!$A$1:$P$133,3,FALSE())</f>
        <v>7</v>
      </c>
      <c r="O286" s="0" t="n">
        <f aca="false">VLOOKUP(B286,'Team Data'!$A$1:$P$133,2,FALSE())</f>
        <v>5</v>
      </c>
      <c r="P286" s="0" t="n">
        <f aca="false">VLOOKUP(B286,'Team Data'!$A$1:$P$133,3,FALSE())</f>
        <v>7</v>
      </c>
      <c r="Q286" s="0" t="n">
        <f aca="false">VLOOKUP(A286,'Team Data'!$A$1:$P$133,4,FALSE())</f>
        <v>97</v>
      </c>
      <c r="R286" s="0" t="n">
        <f aca="false">VLOOKUP(A286,'Team Data'!$A$1:$P$133,5,FALSE())</f>
        <v>191</v>
      </c>
      <c r="S286" s="0" t="n">
        <f aca="false">VLOOKUP(B286,'Team Data'!$A$1:$P$133,4,FALSE())</f>
        <v>75</v>
      </c>
      <c r="T286" s="0" t="n">
        <f aca="false">VLOOKUP(B286,'Team Data'!$A$1:$P$133,5,FALSE())</f>
        <v>186</v>
      </c>
      <c r="U286" s="0" t="n">
        <f aca="false">IF(K286=1,(MIN(35,(C286-D286)))*(O286/(O286+P286))*(S286/(S286+T286)),(MAX(-35,(C286-D286)))*(IF(P286=0,0.1,(P286/(O286+P286))))*(T286/(S286+T286)))</f>
        <v>-12.8869731800766</v>
      </c>
      <c r="V286" s="0" t="n">
        <f aca="false">IF(L286=1,(MIN(35,(D286-C286)))*(M286/(M286+N286))*(Q286/(Q286+R286)),(MAX(-35,(D286-C286)))*(IF(N286=0,0.1,(N286/(M286+N286))))*(R286/(R286+Q286)))</f>
        <v>5.22048611111111</v>
      </c>
    </row>
    <row r="287" customFormat="false" ht="15" hidden="false" customHeight="false" outlineLevel="0" collapsed="false">
      <c r="A287" s="0" t="s">
        <v>56</v>
      </c>
      <c r="B287" s="0" t="s">
        <v>93</v>
      </c>
      <c r="C287" s="0" t="n">
        <v>21</v>
      </c>
      <c r="D287" s="0" t="n">
        <v>33</v>
      </c>
      <c r="E287" s="0" t="n">
        <v>61</v>
      </c>
      <c r="F287" s="0" t="n">
        <v>146</v>
      </c>
      <c r="G287" s="0" t="n">
        <v>114</v>
      </c>
      <c r="H287" s="0" t="n">
        <v>303</v>
      </c>
      <c r="I287" s="0" t="n">
        <v>1</v>
      </c>
      <c r="J287" s="0" t="n">
        <v>3</v>
      </c>
      <c r="K287" s="0" t="n">
        <v>0</v>
      </c>
      <c r="L287" s="0" t="n">
        <v>1</v>
      </c>
      <c r="M287" s="0" t="n">
        <f aca="false">VLOOKUP(A287,'Team Data'!$A$1:$P$133,2,FALSE())</f>
        <v>6</v>
      </c>
      <c r="N287" s="0" t="n">
        <f aca="false">VLOOKUP(A287,'Team Data'!$A$1:$P$133,3,FALSE())</f>
        <v>7</v>
      </c>
      <c r="O287" s="0" t="n">
        <f aca="false">VLOOKUP(B287,'Team Data'!$A$1:$P$133,2,FALSE())</f>
        <v>5</v>
      </c>
      <c r="P287" s="0" t="n">
        <f aca="false">VLOOKUP(B287,'Team Data'!$A$1:$P$133,3,FALSE())</f>
        <v>8</v>
      </c>
      <c r="Q287" s="0" t="n">
        <f aca="false">VLOOKUP(A287,'Team Data'!$A$1:$P$133,4,FALSE())</f>
        <v>95</v>
      </c>
      <c r="R287" s="0" t="n">
        <f aca="false">VLOOKUP(A287,'Team Data'!$A$1:$P$133,5,FALSE())</f>
        <v>179</v>
      </c>
      <c r="S287" s="0" t="n">
        <f aca="false">VLOOKUP(B287,'Team Data'!$A$1:$P$133,4,FALSE())</f>
        <v>90</v>
      </c>
      <c r="T287" s="0" t="n">
        <f aca="false">VLOOKUP(B287,'Team Data'!$A$1:$P$133,5,FALSE())</f>
        <v>186</v>
      </c>
      <c r="U287" s="0" t="n">
        <f aca="false">IF(K287=1,(MIN(35,(C287-D287)))*(O287/(O287+P287))*(S287/(S287+T287)),(MAX(-35,(C287-D287)))*(IF(P287=0,0.1,(P287/(O287+P287))))*(T287/(S287+T287)))</f>
        <v>-4.97658862876254</v>
      </c>
      <c r="V287" s="0" t="n">
        <f aca="false">IF(L287=1,(MIN(35,(D287-C287)))*(M287/(M287+N287))*(Q287/(Q287+R287)),(MAX(-35,(D287-C287)))*(IF(N287=0,0.1,(N287/(M287+N287))))*(R287/(R287+Q287)))</f>
        <v>1.92026951151039</v>
      </c>
    </row>
    <row r="288" customFormat="false" ht="15" hidden="false" customHeight="false" outlineLevel="0" collapsed="false">
      <c r="A288" s="0" t="s">
        <v>40</v>
      </c>
      <c r="B288" s="0" t="s">
        <v>114</v>
      </c>
      <c r="C288" s="0" t="n">
        <v>21</v>
      </c>
      <c r="D288" s="0" t="n">
        <v>35</v>
      </c>
      <c r="E288" s="0" t="n">
        <v>214</v>
      </c>
      <c r="F288" s="0" t="n">
        <v>288</v>
      </c>
      <c r="G288" s="0" t="n">
        <v>204</v>
      </c>
      <c r="H288" s="0" t="n">
        <v>125</v>
      </c>
      <c r="I288" s="0" t="n">
        <v>3</v>
      </c>
      <c r="J288" s="0" t="n">
        <v>0</v>
      </c>
      <c r="K288" s="0" t="n">
        <v>0</v>
      </c>
      <c r="L288" s="0" t="n">
        <v>1</v>
      </c>
      <c r="M288" s="0" t="n">
        <f aca="false">VLOOKUP(A288,'Team Data'!$A$1:$P$133,2,FALSE())</f>
        <v>6</v>
      </c>
      <c r="N288" s="0" t="n">
        <f aca="false">VLOOKUP(A288,'Team Data'!$A$1:$P$133,3,FALSE())</f>
        <v>7</v>
      </c>
      <c r="O288" s="0" t="n">
        <f aca="false">VLOOKUP(B288,'Team Data'!$A$1:$P$133,2,FALSE())</f>
        <v>7</v>
      </c>
      <c r="P288" s="0" t="n">
        <f aca="false">VLOOKUP(B288,'Team Data'!$A$1:$P$133,3,FALSE())</f>
        <v>6</v>
      </c>
      <c r="Q288" s="0" t="n">
        <f aca="false">VLOOKUP(A288,'Team Data'!$A$1:$P$133,4,FALSE())</f>
        <v>86</v>
      </c>
      <c r="R288" s="0" t="n">
        <f aca="false">VLOOKUP(A288,'Team Data'!$A$1:$P$133,5,FALSE())</f>
        <v>183</v>
      </c>
      <c r="S288" s="0" t="n">
        <f aca="false">VLOOKUP(B288,'Team Data'!$A$1:$P$133,4,FALSE())</f>
        <v>89</v>
      </c>
      <c r="T288" s="0" t="n">
        <f aca="false">VLOOKUP(B288,'Team Data'!$A$1:$P$133,5,FALSE())</f>
        <v>188</v>
      </c>
      <c r="U288" s="0" t="n">
        <f aca="false">IF(K288=1,(MIN(35,(C288-D288)))*(O288/(O288+P288))*(S288/(S288+T288)),(MAX(-35,(C288-D288)))*(IF(P288=0,0.1,(P288/(O288+P288))))*(T288/(S288+T288)))</f>
        <v>-4.38544848653152</v>
      </c>
      <c r="V288" s="0" t="n">
        <f aca="false">IF(L288=1,(MIN(35,(D288-C288)))*(M288/(M288+N288))*(Q288/(Q288+R288)),(MAX(-35,(D288-C288)))*(IF(N288=0,0.1,(N288/(M288+N288))))*(R288/(R288+Q288)))</f>
        <v>2.0657706605662</v>
      </c>
    </row>
    <row r="289" customFormat="false" ht="15" hidden="false" customHeight="false" outlineLevel="0" collapsed="false">
      <c r="A289" s="0" t="s">
        <v>122</v>
      </c>
      <c r="B289" s="0" t="s">
        <v>75</v>
      </c>
      <c r="C289" s="0" t="n">
        <v>10</v>
      </c>
      <c r="D289" s="0" t="n">
        <v>27</v>
      </c>
      <c r="E289" s="0" t="n">
        <v>54</v>
      </c>
      <c r="F289" s="0" t="n">
        <v>188</v>
      </c>
      <c r="G289" s="0" t="n">
        <v>299</v>
      </c>
      <c r="H289" s="0" t="n">
        <v>111</v>
      </c>
      <c r="I289" s="0" t="n">
        <v>7</v>
      </c>
      <c r="J289" s="0" t="n">
        <v>2</v>
      </c>
      <c r="K289" s="0" t="n">
        <v>0</v>
      </c>
      <c r="L289" s="0" t="n">
        <v>1</v>
      </c>
      <c r="M289" s="0" t="n">
        <f aca="false">VLOOKUP(A289,'Team Data'!$A$1:$P$133,2,FALSE())</f>
        <v>5</v>
      </c>
      <c r="N289" s="0" t="n">
        <f aca="false">VLOOKUP(A289,'Team Data'!$A$1:$P$133,3,FALSE())</f>
        <v>7</v>
      </c>
      <c r="O289" s="0" t="n">
        <f aca="false">VLOOKUP(B289,'Team Data'!$A$1:$P$133,2,FALSE())</f>
        <v>2</v>
      </c>
      <c r="P289" s="0" t="n">
        <f aca="false">VLOOKUP(B289,'Team Data'!$A$1:$P$133,3,FALSE())</f>
        <v>10</v>
      </c>
      <c r="Q289" s="0" t="n">
        <f aca="false">VLOOKUP(A289,'Team Data'!$A$1:$P$133,4,FALSE())</f>
        <v>71</v>
      </c>
      <c r="R289" s="0" t="n">
        <f aca="false">VLOOKUP(A289,'Team Data'!$A$1:$P$133,5,FALSE())</f>
        <v>83</v>
      </c>
      <c r="S289" s="0" t="n">
        <f aca="false">VLOOKUP(B289,'Team Data'!$A$1:$P$133,4,FALSE())</f>
        <v>88</v>
      </c>
      <c r="T289" s="0" t="n">
        <f aca="false">VLOOKUP(B289,'Team Data'!$A$1:$P$133,5,FALSE())</f>
        <v>175</v>
      </c>
      <c r="U289" s="0" t="n">
        <f aca="false">IF(K289=1,(MIN(35,(C289-D289)))*(O289/(O289+P289))*(S289/(S289+T289)),(MAX(-35,(C289-D289)))*(IF(P289=0,0.1,(P289/(O289+P289))))*(T289/(S289+T289)))</f>
        <v>-9.42648922686946</v>
      </c>
      <c r="V289" s="0" t="n">
        <f aca="false">IF(L289=1,(MIN(35,(D289-C289)))*(M289/(M289+N289))*(Q289/(Q289+R289)),(MAX(-35,(D289-C289)))*(IF(N289=0,0.1,(N289/(M289+N289))))*(R289/(R289+Q289)))</f>
        <v>3.26569264069264</v>
      </c>
    </row>
    <row r="290" customFormat="false" ht="15" hidden="false" customHeight="false" outlineLevel="0" collapsed="false">
      <c r="A290" s="0" t="s">
        <v>123</v>
      </c>
      <c r="B290" s="0" t="s">
        <v>106</v>
      </c>
      <c r="C290" s="0" t="n">
        <v>20</v>
      </c>
      <c r="D290" s="0" t="n">
        <v>41</v>
      </c>
      <c r="E290" s="0" t="n">
        <v>139</v>
      </c>
      <c r="F290" s="0" t="n">
        <v>298</v>
      </c>
      <c r="G290" s="0" t="n">
        <v>269</v>
      </c>
      <c r="H290" s="0" t="n">
        <v>161</v>
      </c>
      <c r="I290" s="0" t="n">
        <v>1</v>
      </c>
      <c r="J290" s="0" t="n">
        <v>0</v>
      </c>
      <c r="K290" s="0" t="n">
        <v>0</v>
      </c>
      <c r="L290" s="0" t="n">
        <v>1</v>
      </c>
      <c r="M290" s="0" t="n">
        <f aca="false">VLOOKUP(A290,'Team Data'!$A$1:$P$133,2,FALSE())</f>
        <v>11</v>
      </c>
      <c r="N290" s="0" t="n">
        <f aca="false">VLOOKUP(A290,'Team Data'!$A$1:$P$133,3,FALSE())</f>
        <v>3</v>
      </c>
      <c r="O290" s="0" t="n">
        <f aca="false">VLOOKUP(B290,'Team Data'!$A$1:$P$133,2,FALSE())</f>
        <v>8</v>
      </c>
      <c r="P290" s="0" t="n">
        <f aca="false">VLOOKUP(B290,'Team Data'!$A$1:$P$133,3,FALSE())</f>
        <v>5</v>
      </c>
      <c r="Q290" s="0" t="n">
        <f aca="false">VLOOKUP(A290,'Team Data'!$A$1:$P$133,4,FALSE())</f>
        <v>97</v>
      </c>
      <c r="R290" s="0" t="n">
        <f aca="false">VLOOKUP(A290,'Team Data'!$A$1:$P$133,5,FALSE())</f>
        <v>192</v>
      </c>
      <c r="S290" s="0" t="n">
        <f aca="false">VLOOKUP(B290,'Team Data'!$A$1:$P$133,4,FALSE())</f>
        <v>102</v>
      </c>
      <c r="T290" s="0" t="n">
        <f aca="false">VLOOKUP(B290,'Team Data'!$A$1:$P$133,5,FALSE())</f>
        <v>68</v>
      </c>
      <c r="U290" s="0" t="n">
        <f aca="false">IF(K290=1,(MIN(35,(C290-D290)))*(O290/(O290+P290))*(S290/(S290+T290)),(MAX(-35,(C290-D290)))*(IF(P290=0,0.1,(P290/(O290+P290))))*(T290/(S290+T290)))</f>
        <v>-3.23076923076923</v>
      </c>
      <c r="V290" s="0" t="n">
        <f aca="false">IF(L290=1,(MIN(35,(D290-C290)))*(M290/(M290+N290))*(Q290/(Q290+R290)),(MAX(-35,(D290-C290)))*(IF(N290=0,0.1,(N290/(M290+N290))))*(R290/(R290+Q290)))</f>
        <v>5.53806228373702</v>
      </c>
    </row>
    <row r="291" customFormat="false" ht="15" hidden="false" customHeight="false" outlineLevel="0" collapsed="false">
      <c r="A291" s="0" t="s">
        <v>133</v>
      </c>
      <c r="B291" s="0" t="s">
        <v>46</v>
      </c>
      <c r="C291" s="0" t="n">
        <v>30</v>
      </c>
      <c r="D291" s="0" t="n">
        <v>33</v>
      </c>
      <c r="E291" s="0" t="n">
        <v>216</v>
      </c>
      <c r="F291" s="0" t="n">
        <v>120</v>
      </c>
      <c r="G291" s="0" t="n">
        <v>329</v>
      </c>
      <c r="H291" s="0" t="n">
        <v>364</v>
      </c>
      <c r="I291" s="0" t="n">
        <v>2</v>
      </c>
      <c r="J291" s="0" t="n">
        <v>1</v>
      </c>
      <c r="K291" s="0" t="n">
        <v>0</v>
      </c>
      <c r="L291" s="0" t="n">
        <v>1</v>
      </c>
      <c r="M291" s="0" t="n">
        <f aca="false">VLOOKUP(A291,'Team Data'!$A$1:$P$133,2,FALSE())</f>
        <v>9</v>
      </c>
      <c r="N291" s="0" t="n">
        <f aca="false">VLOOKUP(A291,'Team Data'!$A$1:$P$133,3,FALSE())</f>
        <v>5</v>
      </c>
      <c r="O291" s="0" t="n">
        <f aca="false">VLOOKUP(B291,'Team Data'!$A$1:$P$133,2,FALSE())</f>
        <v>4</v>
      </c>
      <c r="P291" s="0" t="n">
        <f aca="false">VLOOKUP(B291,'Team Data'!$A$1:$P$133,3,FALSE())</f>
        <v>8</v>
      </c>
      <c r="Q291" s="0" t="n">
        <f aca="false">VLOOKUP(A291,'Team Data'!$A$1:$P$133,4,FALSE())</f>
        <v>92</v>
      </c>
      <c r="R291" s="0" t="n">
        <f aca="false">VLOOKUP(A291,'Team Data'!$A$1:$P$133,5,FALSE())</f>
        <v>195</v>
      </c>
      <c r="S291" s="0" t="n">
        <f aca="false">VLOOKUP(B291,'Team Data'!$A$1:$P$133,4,FALSE())</f>
        <v>98</v>
      </c>
      <c r="T291" s="0" t="n">
        <f aca="false">VLOOKUP(B291,'Team Data'!$A$1:$P$133,5,FALSE())</f>
        <v>165</v>
      </c>
      <c r="U291" s="0" t="n">
        <f aca="false">IF(K291=1,(MIN(35,(C291-D291)))*(O291/(O291+P291))*(S291/(S291+T291)),(MAX(-35,(C291-D291)))*(IF(P291=0,0.1,(P291/(O291+P291))))*(T291/(S291+T291)))</f>
        <v>-1.25475285171103</v>
      </c>
      <c r="V291" s="0" t="n">
        <f aca="false">IF(L291=1,(MIN(35,(D291-C291)))*(M291/(M291+N291))*(Q291/(Q291+R291)),(MAX(-35,(D291-C291)))*(IF(N291=0,0.1,(N291/(M291+N291))))*(R291/(R291+Q291)))</f>
        <v>0.618218018914883</v>
      </c>
    </row>
    <row r="292" customFormat="false" ht="15" hidden="false" customHeight="false" outlineLevel="0" collapsed="false">
      <c r="A292" s="0" t="s">
        <v>126</v>
      </c>
      <c r="B292" s="0" t="s">
        <v>8</v>
      </c>
      <c r="C292" s="0" t="n">
        <v>3</v>
      </c>
      <c r="D292" s="0" t="n">
        <v>55</v>
      </c>
      <c r="E292" s="0" t="n">
        <v>14</v>
      </c>
      <c r="F292" s="0" t="n">
        <v>228</v>
      </c>
      <c r="G292" s="0" t="n">
        <v>115</v>
      </c>
      <c r="H292" s="0" t="n">
        <v>400</v>
      </c>
      <c r="I292" s="0" t="n">
        <v>0</v>
      </c>
      <c r="J292" s="0" t="n">
        <v>1</v>
      </c>
      <c r="K292" s="0" t="n">
        <v>0</v>
      </c>
      <c r="L292" s="0" t="n">
        <v>1</v>
      </c>
      <c r="M292" s="0" t="n">
        <f aca="false">VLOOKUP(A292,'Team Data'!$A$1:$P$133,2,FALSE())</f>
        <v>5</v>
      </c>
      <c r="N292" s="0" t="n">
        <f aca="false">VLOOKUP(A292,'Team Data'!$A$1:$P$133,3,FALSE())</f>
        <v>7</v>
      </c>
      <c r="O292" s="0" t="n">
        <f aca="false">VLOOKUP(B292,'Team Data'!$A$1:$P$133,2,FALSE())</f>
        <v>11</v>
      </c>
      <c r="P292" s="0" t="n">
        <f aca="false">VLOOKUP(B292,'Team Data'!$A$1:$P$133,3,FALSE())</f>
        <v>2</v>
      </c>
      <c r="Q292" s="0" t="n">
        <f aca="false">VLOOKUP(A292,'Team Data'!$A$1:$P$133,4,FALSE())</f>
        <v>94</v>
      </c>
      <c r="R292" s="0" t="n">
        <f aca="false">VLOOKUP(A292,'Team Data'!$A$1:$P$133,5,FALSE())</f>
        <v>170</v>
      </c>
      <c r="S292" s="0" t="n">
        <f aca="false">VLOOKUP(B292,'Team Data'!$A$1:$P$133,4,FALSE())</f>
        <v>96</v>
      </c>
      <c r="T292" s="0" t="n">
        <f aca="false">VLOOKUP(B292,'Team Data'!$A$1:$P$133,5,FALSE())</f>
        <v>178</v>
      </c>
      <c r="U292" s="0" t="n">
        <f aca="false">IF(K292=1,(MIN(35,(C292-D292)))*(O292/(O292+P292))*(S292/(S292+T292)),(MAX(-35,(C292-D292)))*(IF(P292=0,0.1,(P292/(O292+P292))))*(T292/(S292+T292)))</f>
        <v>-3.49803481190343</v>
      </c>
      <c r="V292" s="0" t="n">
        <f aca="false">IF(L292=1,(MIN(35,(D292-C292)))*(M292/(M292+N292))*(Q292/(Q292+R292)),(MAX(-35,(D292-C292)))*(IF(N292=0,0.1,(N292/(M292+N292))))*(R292/(R292+Q292)))</f>
        <v>5.19255050505051</v>
      </c>
    </row>
    <row r="293" customFormat="false" ht="15" hidden="false" customHeight="false" outlineLevel="0" collapsed="false">
      <c r="A293" s="0" t="s">
        <v>12</v>
      </c>
      <c r="B293" s="0" t="s">
        <v>107</v>
      </c>
      <c r="C293" s="0" t="n">
        <v>21</v>
      </c>
      <c r="D293" s="0" t="n">
        <v>23</v>
      </c>
      <c r="E293" s="0" t="n">
        <v>244</v>
      </c>
      <c r="F293" s="0" t="n">
        <v>192</v>
      </c>
      <c r="G293" s="0" t="n">
        <v>171</v>
      </c>
      <c r="H293" s="0" t="n">
        <v>151</v>
      </c>
      <c r="I293" s="0" t="n">
        <v>1</v>
      </c>
      <c r="J293" s="0" t="n">
        <v>0</v>
      </c>
      <c r="K293" s="0" t="n">
        <v>0</v>
      </c>
      <c r="L293" s="0" t="n">
        <v>1</v>
      </c>
      <c r="M293" s="0" t="n">
        <f aca="false">VLOOKUP(A293,'Team Data'!$A$1:$P$133,2,FALSE())</f>
        <v>7</v>
      </c>
      <c r="N293" s="0" t="n">
        <f aca="false">VLOOKUP(A293,'Team Data'!$A$1:$P$133,3,FALSE())</f>
        <v>6</v>
      </c>
      <c r="O293" s="0" t="n">
        <f aca="false">VLOOKUP(B293,'Team Data'!$A$1:$P$133,2,FALSE())</f>
        <v>5</v>
      </c>
      <c r="P293" s="0" t="n">
        <f aca="false">VLOOKUP(B293,'Team Data'!$A$1:$P$133,3,FALSE())</f>
        <v>7</v>
      </c>
      <c r="Q293" s="0" t="n">
        <f aca="false">VLOOKUP(A293,'Team Data'!$A$1:$P$133,4,FALSE())</f>
        <v>101</v>
      </c>
      <c r="R293" s="0" t="n">
        <f aca="false">VLOOKUP(A293,'Team Data'!$A$1:$P$133,5,FALSE())</f>
        <v>174</v>
      </c>
      <c r="S293" s="0" t="n">
        <f aca="false">VLOOKUP(B293,'Team Data'!$A$1:$P$133,4,FALSE())</f>
        <v>84</v>
      </c>
      <c r="T293" s="0" t="n">
        <f aca="false">VLOOKUP(B293,'Team Data'!$A$1:$P$133,5,FALSE())</f>
        <v>176</v>
      </c>
      <c r="U293" s="0" t="n">
        <f aca="false">IF(K293=1,(MIN(35,(C293-D293)))*(O293/(O293+P293))*(S293/(S293+T293)),(MAX(-35,(C293-D293)))*(IF(P293=0,0.1,(P293/(O293+P293))))*(T293/(S293+T293)))</f>
        <v>-0.78974358974359</v>
      </c>
      <c r="V293" s="0" t="n">
        <f aca="false">IF(L293=1,(MIN(35,(D293-C293)))*(M293/(M293+N293))*(Q293/(Q293+R293)),(MAX(-35,(D293-C293)))*(IF(N293=0,0.1,(N293/(M293+N293))))*(R293/(R293+Q293)))</f>
        <v>0.395524475524476</v>
      </c>
    </row>
    <row r="294" customFormat="false" ht="15" hidden="false" customHeight="false" outlineLevel="0" collapsed="false">
      <c r="A294" s="0" t="s">
        <v>70</v>
      </c>
      <c r="B294" s="0" t="s">
        <v>15</v>
      </c>
      <c r="C294" s="0" t="n">
        <v>14</v>
      </c>
      <c r="D294" s="0" t="n">
        <v>17</v>
      </c>
      <c r="E294" s="0" t="n">
        <v>133</v>
      </c>
      <c r="F294" s="0" t="n">
        <v>82</v>
      </c>
      <c r="G294" s="0" t="n">
        <v>179</v>
      </c>
      <c r="H294" s="0" t="n">
        <v>135</v>
      </c>
      <c r="I294" s="0" t="n">
        <v>2</v>
      </c>
      <c r="J294" s="0" t="n">
        <v>0</v>
      </c>
      <c r="K294" s="0" t="n">
        <v>0</v>
      </c>
      <c r="L294" s="0" t="n">
        <v>1</v>
      </c>
      <c r="M294" s="0" t="n">
        <f aca="false">VLOOKUP(A294,'Team Data'!$A$1:$P$133,2,FALSE())</f>
        <v>6</v>
      </c>
      <c r="N294" s="0" t="n">
        <f aca="false">VLOOKUP(A294,'Team Data'!$A$1:$P$133,3,FALSE())</f>
        <v>7</v>
      </c>
      <c r="O294" s="0" t="n">
        <f aca="false">VLOOKUP(B294,'Team Data'!$A$1:$P$133,2,FALSE())</f>
        <v>5</v>
      </c>
      <c r="P294" s="0" t="n">
        <f aca="false">VLOOKUP(B294,'Team Data'!$A$1:$P$133,3,FALSE())</f>
        <v>7</v>
      </c>
      <c r="Q294" s="0" t="n">
        <f aca="false">VLOOKUP(A294,'Team Data'!$A$1:$P$133,4,FALSE())</f>
        <v>100</v>
      </c>
      <c r="R294" s="0" t="n">
        <f aca="false">VLOOKUP(A294,'Team Data'!$A$1:$P$133,5,FALSE())</f>
        <v>176</v>
      </c>
      <c r="S294" s="0" t="n">
        <f aca="false">VLOOKUP(B294,'Team Data'!$A$1:$P$133,4,FALSE())</f>
        <v>106</v>
      </c>
      <c r="T294" s="0" t="n">
        <f aca="false">VLOOKUP(B294,'Team Data'!$A$1:$P$133,5,FALSE())</f>
        <v>159</v>
      </c>
      <c r="U294" s="0" t="n">
        <f aca="false">IF(K294=1,(MIN(35,(C294-D294)))*(O294/(O294+P294))*(S294/(S294+T294)),(MAX(-35,(C294-D294)))*(IF(P294=0,0.1,(P294/(O294+P294))))*(T294/(S294+T294)))</f>
        <v>-1.05</v>
      </c>
      <c r="V294" s="0" t="n">
        <f aca="false">IF(L294=1,(MIN(35,(D294-C294)))*(M294/(M294+N294))*(Q294/(Q294+R294)),(MAX(-35,(D294-C294)))*(IF(N294=0,0.1,(N294/(M294+N294))))*(R294/(R294+Q294)))</f>
        <v>0.501672240802676</v>
      </c>
    </row>
    <row r="295" customFormat="false" ht="15" hidden="false" customHeight="false" outlineLevel="0" collapsed="false">
      <c r="A295" s="0" t="s">
        <v>52</v>
      </c>
      <c r="B295" s="0" t="s">
        <v>39</v>
      </c>
      <c r="C295" s="0" t="n">
        <v>22</v>
      </c>
      <c r="D295" s="0" t="n">
        <v>39</v>
      </c>
      <c r="E295" s="0" t="n">
        <v>93</v>
      </c>
      <c r="F295" s="0" t="n">
        <v>257</v>
      </c>
      <c r="G295" s="0" t="n">
        <v>188</v>
      </c>
      <c r="H295" s="0" t="n">
        <v>272</v>
      </c>
      <c r="I295" s="0" t="n">
        <v>1</v>
      </c>
      <c r="J295" s="0" t="n">
        <v>3</v>
      </c>
      <c r="K295" s="0" t="n">
        <v>0</v>
      </c>
      <c r="L295" s="0" t="n">
        <v>1</v>
      </c>
      <c r="M295" s="0" t="n">
        <f aca="false">VLOOKUP(A295,'Team Data'!$A$1:$P$133,2,FALSE())</f>
        <v>5</v>
      </c>
      <c r="N295" s="0" t="n">
        <f aca="false">VLOOKUP(A295,'Team Data'!$A$1:$P$133,3,FALSE())</f>
        <v>7</v>
      </c>
      <c r="O295" s="0" t="n">
        <f aca="false">VLOOKUP(B295,'Team Data'!$A$1:$P$133,2,FALSE())</f>
        <v>15</v>
      </c>
      <c r="P295" s="0" t="n">
        <f aca="false">VLOOKUP(B295,'Team Data'!$A$1:$P$133,3,FALSE())</f>
        <v>0</v>
      </c>
      <c r="Q295" s="0" t="n">
        <f aca="false">VLOOKUP(A295,'Team Data'!$A$1:$P$133,4,FALSE())</f>
        <v>94</v>
      </c>
      <c r="R295" s="0" t="n">
        <f aca="false">VLOOKUP(A295,'Team Data'!$A$1:$P$133,5,FALSE())</f>
        <v>171</v>
      </c>
      <c r="S295" s="0" t="n">
        <f aca="false">VLOOKUP(B295,'Team Data'!$A$1:$P$133,4,FALSE())</f>
        <v>119</v>
      </c>
      <c r="T295" s="0" t="n">
        <f aca="false">VLOOKUP(B295,'Team Data'!$A$1:$P$133,5,FALSE())</f>
        <v>182</v>
      </c>
      <c r="U295" s="0" t="n">
        <f aca="false">IF(K295=1,(MIN(35,(C295-D295)))*(O295/(O295+P295))*(S295/(S295+T295)),(MAX(-35,(C295-D295)))*(IF(P295=0,0.1,(P295/(O295+P295))))*(T295/(S295+T295)))</f>
        <v>-1.02790697674419</v>
      </c>
      <c r="V295" s="0" t="n">
        <f aca="false">IF(L295=1,(MIN(35,(D295-C295)))*(M295/(M295+N295))*(Q295/(Q295+R295)),(MAX(-35,(D295-C295)))*(IF(N295=0,0.1,(N295/(M295+N295))))*(R295/(R295+Q295)))</f>
        <v>2.5125786163522</v>
      </c>
    </row>
    <row r="296" customFormat="false" ht="15" hidden="false" customHeight="false" outlineLevel="0" collapsed="false">
      <c r="A296" s="0" t="s">
        <v>79</v>
      </c>
      <c r="B296" s="0" t="s">
        <v>53</v>
      </c>
      <c r="C296" s="0" t="n">
        <v>23</v>
      </c>
      <c r="D296" s="0" t="n">
        <v>31</v>
      </c>
      <c r="E296" s="0" t="n">
        <v>128</v>
      </c>
      <c r="F296" s="0" t="n">
        <v>103</v>
      </c>
      <c r="G296" s="0" t="n">
        <v>199</v>
      </c>
      <c r="H296" s="0" t="n">
        <v>303</v>
      </c>
      <c r="I296" s="0" t="n">
        <v>0</v>
      </c>
      <c r="J296" s="0" t="n">
        <v>1</v>
      </c>
      <c r="K296" s="0" t="n">
        <v>0</v>
      </c>
      <c r="L296" s="0" t="n">
        <v>1</v>
      </c>
      <c r="M296" s="0" t="n">
        <f aca="false">VLOOKUP(A296,'Team Data'!$A$1:$P$133,2,FALSE())</f>
        <v>3</v>
      </c>
      <c r="N296" s="0" t="n">
        <f aca="false">VLOOKUP(A296,'Team Data'!$A$1:$P$133,3,FALSE())</f>
        <v>9</v>
      </c>
      <c r="O296" s="0" t="n">
        <f aca="false">VLOOKUP(B296,'Team Data'!$A$1:$P$133,2,FALSE())</f>
        <v>7</v>
      </c>
      <c r="P296" s="0" t="n">
        <f aca="false">VLOOKUP(B296,'Team Data'!$A$1:$P$133,3,FALSE())</f>
        <v>6</v>
      </c>
      <c r="Q296" s="0" t="n">
        <f aca="false">VLOOKUP(A296,'Team Data'!$A$1:$P$133,4,FALSE())</f>
        <v>75</v>
      </c>
      <c r="R296" s="0" t="n">
        <f aca="false">VLOOKUP(A296,'Team Data'!$A$1:$P$133,5,FALSE())</f>
        <v>184</v>
      </c>
      <c r="S296" s="0" t="n">
        <f aca="false">VLOOKUP(B296,'Team Data'!$A$1:$P$133,4,FALSE())</f>
        <v>101</v>
      </c>
      <c r="T296" s="0" t="n">
        <f aca="false">VLOOKUP(B296,'Team Data'!$A$1:$P$133,5,FALSE())</f>
        <v>175</v>
      </c>
      <c r="U296" s="0" t="n">
        <f aca="false">IF(K296=1,(MIN(35,(C296-D296)))*(O296/(O296+P296))*(S296/(S296+T296)),(MAX(-35,(C296-D296)))*(IF(P296=0,0.1,(P296/(O296+P296))))*(T296/(S296+T296)))</f>
        <v>-2.34113712374582</v>
      </c>
      <c r="V296" s="0" t="n">
        <f aca="false">IF(L296=1,(MIN(35,(D296-C296)))*(M296/(M296+N296))*(Q296/(Q296+R296)),(MAX(-35,(D296-C296)))*(IF(N296=0,0.1,(N296/(M296+N296))))*(R296/(R296+Q296)))</f>
        <v>0.579150579150579</v>
      </c>
    </row>
    <row r="297" customFormat="false" ht="15" hidden="false" customHeight="false" outlineLevel="0" collapsed="false">
      <c r="A297" s="0" t="s">
        <v>75</v>
      </c>
      <c r="B297" s="0" t="s">
        <v>54</v>
      </c>
      <c r="C297" s="0" t="n">
        <v>0</v>
      </c>
      <c r="D297" s="0" t="n">
        <v>38</v>
      </c>
      <c r="E297" s="0" t="n">
        <v>41</v>
      </c>
      <c r="F297" s="0" t="n">
        <v>219</v>
      </c>
      <c r="G297" s="0" t="n">
        <v>47</v>
      </c>
      <c r="H297" s="0" t="n">
        <v>414</v>
      </c>
      <c r="I297" s="0" t="n">
        <v>0</v>
      </c>
      <c r="J297" s="0" t="n">
        <v>1</v>
      </c>
      <c r="K297" s="0" t="n">
        <v>0</v>
      </c>
      <c r="L297" s="0" t="n">
        <v>1</v>
      </c>
      <c r="M297" s="0" t="n">
        <f aca="false">VLOOKUP(A297,'Team Data'!$A$1:$P$133,2,FALSE())</f>
        <v>2</v>
      </c>
      <c r="N297" s="0" t="n">
        <f aca="false">VLOOKUP(A297,'Team Data'!$A$1:$P$133,3,FALSE())</f>
        <v>10</v>
      </c>
      <c r="O297" s="0" t="n">
        <f aca="false">VLOOKUP(B297,'Team Data'!$A$1:$P$133,2,FALSE())</f>
        <v>10</v>
      </c>
      <c r="P297" s="0" t="n">
        <f aca="false">VLOOKUP(B297,'Team Data'!$A$1:$P$133,3,FALSE())</f>
        <v>4</v>
      </c>
      <c r="Q297" s="0" t="n">
        <f aca="false">VLOOKUP(A297,'Team Data'!$A$1:$P$133,4,FALSE())</f>
        <v>88</v>
      </c>
      <c r="R297" s="0" t="n">
        <f aca="false">VLOOKUP(A297,'Team Data'!$A$1:$P$133,5,FALSE())</f>
        <v>175</v>
      </c>
      <c r="S297" s="0" t="n">
        <f aca="false">VLOOKUP(B297,'Team Data'!$A$1:$P$133,4,FALSE())</f>
        <v>112</v>
      </c>
      <c r="T297" s="0" t="n">
        <f aca="false">VLOOKUP(B297,'Team Data'!$A$1:$P$133,5,FALSE())</f>
        <v>177</v>
      </c>
      <c r="U297" s="0" t="n">
        <f aca="false">IF(K297=1,(MIN(35,(C297-D297)))*(O297/(O297+P297))*(S297/(S297+T297)),(MAX(-35,(C297-D297)))*(IF(P297=0,0.1,(P297/(O297+P297))))*(T297/(S297+T297)))</f>
        <v>-6.12456747404844</v>
      </c>
      <c r="V297" s="0" t="n">
        <f aca="false">IF(L297=1,(MIN(35,(D297-C297)))*(M297/(M297+N297))*(Q297/(Q297+R297)),(MAX(-35,(D297-C297)))*(IF(N297=0,0.1,(N297/(M297+N297))))*(R297/(R297+Q297)))</f>
        <v>1.95183776932826</v>
      </c>
    </row>
    <row r="298" customFormat="false" ht="15" hidden="false" customHeight="false" outlineLevel="0" collapsed="false">
      <c r="A298" s="0" t="s">
        <v>113</v>
      </c>
      <c r="B298" s="0" t="s">
        <v>87</v>
      </c>
      <c r="C298" s="0" t="n">
        <v>27</v>
      </c>
      <c r="D298" s="0" t="n">
        <v>35</v>
      </c>
      <c r="E298" s="0" t="n">
        <v>262</v>
      </c>
      <c r="F298" s="0" t="n">
        <v>308</v>
      </c>
      <c r="G298" s="0" t="n">
        <v>195</v>
      </c>
      <c r="H298" s="0" t="n">
        <v>154</v>
      </c>
      <c r="I298" s="0" t="n">
        <v>1</v>
      </c>
      <c r="J298" s="0" t="n">
        <v>1</v>
      </c>
      <c r="K298" s="0" t="n">
        <v>0</v>
      </c>
      <c r="L298" s="0" t="n">
        <v>1</v>
      </c>
      <c r="M298" s="0" t="n">
        <f aca="false">VLOOKUP(A298,'Team Data'!$A$1:$P$133,2,FALSE())</f>
        <v>5</v>
      </c>
      <c r="N298" s="0" t="n">
        <f aca="false">VLOOKUP(A298,'Team Data'!$A$1:$P$133,3,FALSE())</f>
        <v>7</v>
      </c>
      <c r="O298" s="0" t="n">
        <f aca="false">VLOOKUP(B298,'Team Data'!$A$1:$P$133,2,FALSE())</f>
        <v>8</v>
      </c>
      <c r="P298" s="0" t="n">
        <f aca="false">VLOOKUP(B298,'Team Data'!$A$1:$P$133,3,FALSE())</f>
        <v>5</v>
      </c>
      <c r="Q298" s="0" t="n">
        <f aca="false">VLOOKUP(A298,'Team Data'!$A$1:$P$133,4,FALSE())</f>
        <v>77</v>
      </c>
      <c r="R298" s="0" t="n">
        <f aca="false">VLOOKUP(A298,'Team Data'!$A$1:$P$133,5,FALSE())</f>
        <v>183</v>
      </c>
      <c r="S298" s="0" t="n">
        <f aca="false">VLOOKUP(B298,'Team Data'!$A$1:$P$133,4,FALSE())</f>
        <v>97</v>
      </c>
      <c r="T298" s="0" t="n">
        <f aca="false">VLOOKUP(B298,'Team Data'!$A$1:$P$133,5,FALSE())</f>
        <v>176</v>
      </c>
      <c r="U298" s="0" t="n">
        <f aca="false">IF(K298=1,(MIN(35,(C298-D298)))*(O298/(O298+P298))*(S298/(S298+T298)),(MAX(-35,(C298-D298)))*(IF(P298=0,0.1,(P298/(O298+P298))))*(T298/(S298+T298)))</f>
        <v>-1.98365736827275</v>
      </c>
      <c r="V298" s="0" t="n">
        <f aca="false">IF(L298=1,(MIN(35,(D298-C298)))*(M298/(M298+N298))*(Q298/(Q298+R298)),(MAX(-35,(D298-C298)))*(IF(N298=0,0.1,(N298/(M298+N298))))*(R298/(R298+Q298)))</f>
        <v>0.987179487179487</v>
      </c>
    </row>
    <row r="299" customFormat="false" ht="15" hidden="false" customHeight="false" outlineLevel="0" collapsed="false">
      <c r="A299" s="0" t="s">
        <v>21</v>
      </c>
      <c r="B299" s="0" t="s">
        <v>69</v>
      </c>
      <c r="C299" s="0" t="n">
        <v>14</v>
      </c>
      <c r="D299" s="0" t="n">
        <v>45</v>
      </c>
      <c r="E299" s="0" t="n">
        <v>78</v>
      </c>
      <c r="F299" s="0" t="n">
        <v>45</v>
      </c>
      <c r="G299" s="0" t="n">
        <v>172</v>
      </c>
      <c r="H299" s="0" t="n">
        <v>420</v>
      </c>
      <c r="I299" s="0" t="n">
        <v>1</v>
      </c>
      <c r="J299" s="0" t="n">
        <v>0</v>
      </c>
      <c r="K299" s="0" t="n">
        <v>0</v>
      </c>
      <c r="L299" s="0" t="n">
        <v>1</v>
      </c>
      <c r="M299" s="0" t="n">
        <f aca="false">VLOOKUP(A299,'Team Data'!$A$1:$P$133,2,FALSE())</f>
        <v>6</v>
      </c>
      <c r="N299" s="0" t="n">
        <f aca="false">VLOOKUP(A299,'Team Data'!$A$1:$P$133,3,FALSE())</f>
        <v>7</v>
      </c>
      <c r="O299" s="0" t="n">
        <f aca="false">VLOOKUP(B299,'Team Data'!$A$1:$P$133,2,FALSE())</f>
        <v>9</v>
      </c>
      <c r="P299" s="0" t="n">
        <f aca="false">VLOOKUP(B299,'Team Data'!$A$1:$P$133,3,FALSE())</f>
        <v>4</v>
      </c>
      <c r="Q299" s="0" t="n">
        <f aca="false">VLOOKUP(A299,'Team Data'!$A$1:$P$133,4,FALSE())</f>
        <v>90</v>
      </c>
      <c r="R299" s="0" t="n">
        <f aca="false">VLOOKUP(A299,'Team Data'!$A$1:$P$133,5,FALSE())</f>
        <v>184</v>
      </c>
      <c r="S299" s="0" t="n">
        <f aca="false">VLOOKUP(B299,'Team Data'!$A$1:$P$133,4,FALSE())</f>
        <v>102</v>
      </c>
      <c r="T299" s="0" t="n">
        <f aca="false">VLOOKUP(B299,'Team Data'!$A$1:$P$133,5,FALSE())</f>
        <v>174</v>
      </c>
      <c r="U299" s="0" t="n">
        <f aca="false">IF(K299=1,(MIN(35,(C299-D299)))*(O299/(O299+P299))*(S299/(S299+T299)),(MAX(-35,(C299-D299)))*(IF(P299=0,0.1,(P299/(O299+P299))))*(T299/(S299+T299)))</f>
        <v>-6.01337792642141</v>
      </c>
      <c r="V299" s="0" t="n">
        <f aca="false">IF(L299=1,(MIN(35,(D299-C299)))*(M299/(M299+N299))*(Q299/(Q299+R299)),(MAX(-35,(D299-C299)))*(IF(N299=0,0.1,(N299/(M299+N299))))*(R299/(R299+Q299)))</f>
        <v>4.69960696238069</v>
      </c>
    </row>
    <row r="300" customFormat="false" ht="15" hidden="false" customHeight="false" outlineLevel="0" collapsed="false">
      <c r="A300" s="0" t="s">
        <v>35</v>
      </c>
      <c r="B300" s="0" t="s">
        <v>105</v>
      </c>
      <c r="C300" s="0" t="n">
        <v>33</v>
      </c>
      <c r="D300" s="0" t="n">
        <v>38</v>
      </c>
      <c r="E300" s="0" t="n">
        <v>141</v>
      </c>
      <c r="F300" s="0" t="n">
        <v>227</v>
      </c>
      <c r="G300" s="0" t="n">
        <v>453</v>
      </c>
      <c r="H300" s="0" t="n">
        <v>349</v>
      </c>
      <c r="I300" s="0" t="n">
        <v>2</v>
      </c>
      <c r="J300" s="0" t="n">
        <v>2</v>
      </c>
      <c r="K300" s="0" t="n">
        <v>0</v>
      </c>
      <c r="L300" s="0" t="n">
        <v>1</v>
      </c>
      <c r="M300" s="0" t="n">
        <f aca="false">VLOOKUP(A300,'Team Data'!$A$1:$P$133,2,FALSE())</f>
        <v>6</v>
      </c>
      <c r="N300" s="0" t="n">
        <f aca="false">VLOOKUP(A300,'Team Data'!$A$1:$P$133,3,FALSE())</f>
        <v>7</v>
      </c>
      <c r="O300" s="0" t="n">
        <f aca="false">VLOOKUP(B300,'Team Data'!$A$1:$P$133,2,FALSE())</f>
        <v>11</v>
      </c>
      <c r="P300" s="0" t="n">
        <f aca="false">VLOOKUP(B300,'Team Data'!$A$1:$P$133,3,FALSE())</f>
        <v>2</v>
      </c>
      <c r="Q300" s="0" t="n">
        <f aca="false">VLOOKUP(A300,'Team Data'!$A$1:$P$133,4,FALSE())</f>
        <v>106</v>
      </c>
      <c r="R300" s="0" t="n">
        <f aca="false">VLOOKUP(A300,'Team Data'!$A$1:$P$133,5,FALSE())</f>
        <v>171</v>
      </c>
      <c r="S300" s="0" t="n">
        <f aca="false">VLOOKUP(B300,'Team Data'!$A$1:$P$133,4,FALSE())</f>
        <v>103</v>
      </c>
      <c r="T300" s="0" t="n">
        <f aca="false">VLOOKUP(B300,'Team Data'!$A$1:$P$133,5,FALSE())</f>
        <v>174</v>
      </c>
      <c r="U300" s="0" t="n">
        <f aca="false">IF(K300=1,(MIN(35,(C300-D300)))*(O300/(O300+P300))*(S300/(S300+T300)),(MAX(-35,(C300-D300)))*(IF(P300=0,0.1,(P300/(O300+P300))))*(T300/(S300+T300)))</f>
        <v>-0.483199111357956</v>
      </c>
      <c r="V300" s="0" t="n">
        <f aca="false">IF(L300=1,(MIN(35,(D300-C300)))*(M300/(M300+N300))*(Q300/(Q300+R300)),(MAX(-35,(D300-C300)))*(IF(N300=0,0.1,(N300/(M300+N300))))*(R300/(R300+Q300)))</f>
        <v>0.883088031102472</v>
      </c>
    </row>
    <row r="301" customFormat="false" ht="15" hidden="false" customHeight="false" outlineLevel="0" collapsed="false">
      <c r="A301" s="0" t="s">
        <v>10</v>
      </c>
      <c r="B301" s="0" t="s">
        <v>23</v>
      </c>
      <c r="C301" s="0" t="n">
        <v>31</v>
      </c>
      <c r="D301" s="0" t="n">
        <v>49</v>
      </c>
      <c r="E301" s="0" t="n">
        <v>135</v>
      </c>
      <c r="F301" s="0" t="n">
        <v>354</v>
      </c>
      <c r="G301" s="0" t="n">
        <v>401</v>
      </c>
      <c r="H301" s="0" t="n">
        <v>245</v>
      </c>
      <c r="I301" s="0" t="n">
        <v>3</v>
      </c>
      <c r="J301" s="0" t="n">
        <v>0</v>
      </c>
      <c r="K301" s="0" t="n">
        <v>0</v>
      </c>
      <c r="L301" s="0" t="n">
        <v>1</v>
      </c>
      <c r="M301" s="0" t="n">
        <f aca="false">VLOOKUP(A301,'Team Data'!$A$1:$P$133,2,FALSE())</f>
        <v>5</v>
      </c>
      <c r="N301" s="0" t="n">
        <f aca="false">VLOOKUP(A301,'Team Data'!$A$1:$P$133,3,FALSE())</f>
        <v>7</v>
      </c>
      <c r="O301" s="0" t="n">
        <f aca="false">VLOOKUP(B301,'Team Data'!$A$1:$P$133,2,FALSE())</f>
        <v>4</v>
      </c>
      <c r="P301" s="0" t="n">
        <f aca="false">VLOOKUP(B301,'Team Data'!$A$1:$P$133,3,FALSE())</f>
        <v>8</v>
      </c>
      <c r="Q301" s="0" t="n">
        <f aca="false">VLOOKUP(A301,'Team Data'!$A$1:$P$133,4,FALSE())</f>
        <v>90</v>
      </c>
      <c r="R301" s="0" t="n">
        <f aca="false">VLOOKUP(A301,'Team Data'!$A$1:$P$133,5,FALSE())</f>
        <v>172</v>
      </c>
      <c r="S301" s="0" t="n">
        <f aca="false">VLOOKUP(B301,'Team Data'!$A$1:$P$133,4,FALSE())</f>
        <v>89</v>
      </c>
      <c r="T301" s="0" t="n">
        <f aca="false">VLOOKUP(B301,'Team Data'!$A$1:$P$133,5,FALSE())</f>
        <v>171</v>
      </c>
      <c r="U301" s="0" t="n">
        <f aca="false">IF(K301=1,(MIN(35,(C301-D301)))*(O301/(O301+P301))*(S301/(S301+T301)),(MAX(-35,(C301-D301)))*(IF(P301=0,0.1,(P301/(O301+P301))))*(T301/(S301+T301)))</f>
        <v>-7.89230769230769</v>
      </c>
      <c r="V301" s="0" t="n">
        <f aca="false">IF(L301=1,(MIN(35,(D301-C301)))*(M301/(M301+N301))*(Q301/(Q301+R301)),(MAX(-35,(D301-C301)))*(IF(N301=0,0.1,(N301/(M301+N301))))*(R301/(R301+Q301)))</f>
        <v>2.5763358778626</v>
      </c>
    </row>
    <row r="302" customFormat="false" ht="15" hidden="false" customHeight="false" outlineLevel="0" collapsed="false">
      <c r="A302" s="0" t="s">
        <v>124</v>
      </c>
      <c r="B302" s="0" t="s">
        <v>11</v>
      </c>
      <c r="C302" s="0" t="n">
        <v>34</v>
      </c>
      <c r="D302" s="0" t="n">
        <v>13</v>
      </c>
      <c r="E302" s="0" t="n">
        <v>205</v>
      </c>
      <c r="F302" s="0" t="n">
        <v>6</v>
      </c>
      <c r="G302" s="0" t="n">
        <v>260</v>
      </c>
      <c r="H302" s="0" t="n">
        <v>261</v>
      </c>
      <c r="I302" s="0" t="n">
        <v>1</v>
      </c>
      <c r="J302" s="0" t="n">
        <v>3</v>
      </c>
      <c r="K302" s="0" t="n">
        <v>1</v>
      </c>
      <c r="L302" s="0" t="n">
        <v>0</v>
      </c>
      <c r="M302" s="0" t="n">
        <f aca="false">VLOOKUP(A302,'Team Data'!$A$1:$P$133,2,FALSE())</f>
        <v>10</v>
      </c>
      <c r="N302" s="0" t="n">
        <f aca="false">VLOOKUP(A302,'Team Data'!$A$1:$P$133,3,FALSE())</f>
        <v>4</v>
      </c>
      <c r="O302" s="0" t="n">
        <f aca="false">VLOOKUP(B302,'Team Data'!$A$1:$P$133,2,FALSE())</f>
        <v>3</v>
      </c>
      <c r="P302" s="0" t="n">
        <f aca="false">VLOOKUP(B302,'Team Data'!$A$1:$P$133,3,FALSE())</f>
        <v>9</v>
      </c>
      <c r="Q302" s="0" t="n">
        <f aca="false">VLOOKUP(A302,'Team Data'!$A$1:$P$133,4,FALSE())</f>
        <v>102</v>
      </c>
      <c r="R302" s="0" t="n">
        <f aca="false">VLOOKUP(A302,'Team Data'!$A$1:$P$133,5,FALSE())</f>
        <v>185</v>
      </c>
      <c r="S302" s="0" t="n">
        <f aca="false">VLOOKUP(B302,'Team Data'!$A$1:$P$133,4,FALSE())</f>
        <v>91</v>
      </c>
      <c r="T302" s="0" t="n">
        <f aca="false">VLOOKUP(B302,'Team Data'!$A$1:$P$133,5,FALSE())</f>
        <v>171</v>
      </c>
      <c r="U302" s="0" t="n">
        <f aca="false">IF(K302=1,(MIN(35,(C302-D302)))*(O302/(O302+P302))*(S302/(S302+T302)),(MAX(-35,(C302-D302)))*(IF(P302=0,0.1,(P302/(O302+P302))))*(T302/(S302+T302)))</f>
        <v>1.82347328244275</v>
      </c>
      <c r="V302" s="0" t="n">
        <f aca="false">IF(L302=1,(MIN(35,(D302-C302)))*(M302/(M302+N302))*(Q302/(Q302+R302)),(MAX(-35,(D302-C302)))*(IF(N302=0,0.1,(N302/(M302+N302))))*(R302/(R302+Q302)))</f>
        <v>-3.86759581881533</v>
      </c>
    </row>
    <row r="303" customFormat="false" ht="15" hidden="false" customHeight="false" outlineLevel="0" collapsed="false">
      <c r="A303" s="0" t="s">
        <v>116</v>
      </c>
      <c r="B303" s="0" t="s">
        <v>29</v>
      </c>
      <c r="C303" s="0" t="n">
        <v>45</v>
      </c>
      <c r="D303" s="0" t="n">
        <v>17</v>
      </c>
      <c r="E303" s="0" t="n">
        <v>249</v>
      </c>
      <c r="F303" s="0" t="n">
        <v>51</v>
      </c>
      <c r="G303" s="0" t="n">
        <v>266</v>
      </c>
      <c r="H303" s="0" t="n">
        <v>258</v>
      </c>
      <c r="I303" s="0" t="n">
        <v>0</v>
      </c>
      <c r="J303" s="0" t="n">
        <v>2</v>
      </c>
      <c r="K303" s="0" t="n">
        <v>1</v>
      </c>
      <c r="L303" s="0" t="n">
        <v>0</v>
      </c>
      <c r="M303" s="0" t="n">
        <f aca="false">VLOOKUP(A303,'Team Data'!$A$1:$P$133,2,FALSE())</f>
        <v>9</v>
      </c>
      <c r="N303" s="0" t="n">
        <f aca="false">VLOOKUP(A303,'Team Data'!$A$1:$P$133,3,FALSE())</f>
        <v>4</v>
      </c>
      <c r="O303" s="0" t="n">
        <f aca="false">VLOOKUP(B303,'Team Data'!$A$1:$P$133,2,FALSE())</f>
        <v>1</v>
      </c>
      <c r="P303" s="0" t="n">
        <f aca="false">VLOOKUP(B303,'Team Data'!$A$1:$P$133,3,FALSE())</f>
        <v>11</v>
      </c>
      <c r="Q303" s="0" t="n">
        <f aca="false">VLOOKUP(A303,'Team Data'!$A$1:$P$133,4,FALSE())</f>
        <v>91</v>
      </c>
      <c r="R303" s="0" t="n">
        <f aca="false">VLOOKUP(A303,'Team Data'!$A$1:$P$133,5,FALSE())</f>
        <v>182</v>
      </c>
      <c r="S303" s="0" t="n">
        <f aca="false">VLOOKUP(B303,'Team Data'!$A$1:$P$133,4,FALSE())</f>
        <v>105</v>
      </c>
      <c r="T303" s="0" t="n">
        <f aca="false">VLOOKUP(B303,'Team Data'!$A$1:$P$133,5,FALSE())</f>
        <v>52</v>
      </c>
      <c r="U303" s="0" t="n">
        <f aca="false">IF(K303=1,(MIN(35,(C303-D303)))*(O303/(O303+P303))*(S303/(S303+T303)),(MAX(-35,(C303-D303)))*(IF(P303=0,0.1,(P303/(O303+P303))))*(T303/(S303+T303)))</f>
        <v>1.56050955414013</v>
      </c>
      <c r="V303" s="0" t="n">
        <f aca="false">IF(L303=1,(MIN(35,(D303-C303)))*(M303/(M303+N303))*(Q303/(Q303+R303)),(MAX(-35,(D303-C303)))*(IF(N303=0,0.1,(N303/(M303+N303))))*(R303/(R303+Q303)))</f>
        <v>-5.74358974358974</v>
      </c>
    </row>
    <row r="304" customFormat="false" ht="15" hidden="false" customHeight="false" outlineLevel="0" collapsed="false">
      <c r="A304" s="0" t="s">
        <v>88</v>
      </c>
      <c r="B304" s="0" t="s">
        <v>131</v>
      </c>
      <c r="C304" s="0" t="n">
        <v>44</v>
      </c>
      <c r="D304" s="0" t="n">
        <v>41</v>
      </c>
      <c r="E304" s="0" t="n">
        <v>178</v>
      </c>
      <c r="F304" s="0" t="n">
        <v>53</v>
      </c>
      <c r="G304" s="0" t="n">
        <v>446</v>
      </c>
      <c r="H304" s="0" t="n">
        <v>375</v>
      </c>
      <c r="I304" s="0" t="n">
        <v>1</v>
      </c>
      <c r="J304" s="0" t="n">
        <v>2</v>
      </c>
      <c r="K304" s="0" t="n">
        <v>1</v>
      </c>
      <c r="L304" s="0" t="n">
        <v>0</v>
      </c>
      <c r="M304" s="0" t="n">
        <f aca="false">VLOOKUP(A304,'Team Data'!$A$1:$P$133,2,FALSE())</f>
        <v>10</v>
      </c>
      <c r="N304" s="0" t="n">
        <f aca="false">VLOOKUP(A304,'Team Data'!$A$1:$P$133,3,FALSE())</f>
        <v>3</v>
      </c>
      <c r="O304" s="0" t="n">
        <f aca="false">VLOOKUP(B304,'Team Data'!$A$1:$P$133,2,FALSE())</f>
        <v>7</v>
      </c>
      <c r="P304" s="0" t="n">
        <f aca="false">VLOOKUP(B304,'Team Data'!$A$1:$P$133,3,FALSE())</f>
        <v>6</v>
      </c>
      <c r="Q304" s="0" t="n">
        <f aca="false">VLOOKUP(A304,'Team Data'!$A$1:$P$133,4,FALSE())</f>
        <v>100</v>
      </c>
      <c r="R304" s="0" t="n">
        <f aca="false">VLOOKUP(A304,'Team Data'!$A$1:$P$133,5,FALSE())</f>
        <v>176</v>
      </c>
      <c r="S304" s="0" t="n">
        <f aca="false">VLOOKUP(B304,'Team Data'!$A$1:$P$133,4,FALSE())</f>
        <v>95</v>
      </c>
      <c r="T304" s="0" t="n">
        <f aca="false">VLOOKUP(B304,'Team Data'!$A$1:$P$133,5,FALSE())</f>
        <v>179</v>
      </c>
      <c r="U304" s="0" t="n">
        <f aca="false">IF(K304=1,(MIN(35,(C304-D304)))*(O304/(O304+P304))*(S304/(S304+T304)),(MAX(-35,(C304-D304)))*(IF(P304=0,0.1,(P304/(O304+P304))))*(T304/(S304+T304)))</f>
        <v>0.560078607523863</v>
      </c>
      <c r="V304" s="0" t="n">
        <f aca="false">IF(L304=1,(MIN(35,(D304-C304)))*(M304/(M304+N304))*(Q304/(Q304+R304)),(MAX(-35,(D304-C304)))*(IF(N304=0,0.1,(N304/(M304+N304))))*(R304/(R304+Q304)))</f>
        <v>-0.441471571906354</v>
      </c>
    </row>
    <row r="305" customFormat="false" ht="15" hidden="false" customHeight="false" outlineLevel="0" collapsed="false">
      <c r="A305" s="0" t="s">
        <v>120</v>
      </c>
      <c r="B305" s="0" t="s">
        <v>89</v>
      </c>
      <c r="C305" s="0" t="n">
        <v>17</v>
      </c>
      <c r="D305" s="0" t="n">
        <v>14</v>
      </c>
      <c r="E305" s="0" t="n">
        <v>177</v>
      </c>
      <c r="F305" s="0" t="n">
        <v>153</v>
      </c>
      <c r="G305" s="0" t="n">
        <v>180</v>
      </c>
      <c r="H305" s="0" t="n">
        <v>167</v>
      </c>
      <c r="I305" s="0" t="n">
        <v>0</v>
      </c>
      <c r="J305" s="0" t="n">
        <v>4</v>
      </c>
      <c r="K305" s="0" t="n">
        <v>1</v>
      </c>
      <c r="L305" s="0" t="n">
        <v>0</v>
      </c>
      <c r="M305" s="0" t="n">
        <f aca="false">VLOOKUP(A305,'Team Data'!$A$1:$P$133,2,FALSE())</f>
        <v>11</v>
      </c>
      <c r="N305" s="0" t="n">
        <f aca="false">VLOOKUP(A305,'Team Data'!$A$1:$P$133,3,FALSE())</f>
        <v>3</v>
      </c>
      <c r="O305" s="0" t="n">
        <f aca="false">VLOOKUP(B305,'Team Data'!$A$1:$P$133,2,FALSE())</f>
        <v>10</v>
      </c>
      <c r="P305" s="0" t="n">
        <f aca="false">VLOOKUP(B305,'Team Data'!$A$1:$P$133,3,FALSE())</f>
        <v>3</v>
      </c>
      <c r="Q305" s="0" t="n">
        <f aca="false">VLOOKUP(A305,'Team Data'!$A$1:$P$133,4,FALSE())</f>
        <v>98</v>
      </c>
      <c r="R305" s="0" t="n">
        <f aca="false">VLOOKUP(A305,'Team Data'!$A$1:$P$133,5,FALSE())</f>
        <v>83</v>
      </c>
      <c r="S305" s="0" t="n">
        <f aca="false">VLOOKUP(B305,'Team Data'!$A$1:$P$133,4,FALSE())</f>
        <v>94</v>
      </c>
      <c r="T305" s="0" t="n">
        <f aca="false">VLOOKUP(B305,'Team Data'!$A$1:$P$133,5,FALSE())</f>
        <v>182</v>
      </c>
      <c r="U305" s="0" t="n">
        <f aca="false">IF(K305=1,(MIN(35,(C305-D305)))*(O305/(O305+P305))*(S305/(S305+T305)),(MAX(-35,(C305-D305)))*(IF(P305=0,0.1,(P305/(O305+P305))))*(T305/(S305+T305)))</f>
        <v>0.785953177257525</v>
      </c>
      <c r="V305" s="0" t="n">
        <f aca="false">IF(L305=1,(MIN(35,(D305-C305)))*(M305/(M305+N305))*(Q305/(Q305+R305)),(MAX(-35,(D305-C305)))*(IF(N305=0,0.1,(N305/(M305+N305))))*(R305/(R305+Q305)))</f>
        <v>-0.294790844514601</v>
      </c>
    </row>
    <row r="306" customFormat="false" ht="15" hidden="false" customHeight="false" outlineLevel="0" collapsed="false">
      <c r="A306" s="0" t="s">
        <v>101</v>
      </c>
      <c r="B306" s="0" t="s">
        <v>130</v>
      </c>
      <c r="C306" s="0" t="n">
        <v>22</v>
      </c>
      <c r="D306" s="0" t="n">
        <v>40</v>
      </c>
      <c r="E306" s="0" t="n">
        <v>86</v>
      </c>
      <c r="F306" s="0" t="n">
        <v>169</v>
      </c>
      <c r="G306" s="0" t="n">
        <v>286</v>
      </c>
      <c r="H306" s="0" t="n">
        <v>309</v>
      </c>
      <c r="I306" s="0" t="n">
        <v>3</v>
      </c>
      <c r="J306" s="0" t="n">
        <v>0</v>
      </c>
      <c r="K306" s="0" t="n">
        <v>0</v>
      </c>
      <c r="L306" s="0" t="n">
        <v>1</v>
      </c>
      <c r="M306" s="0" t="n">
        <f aca="false">VLOOKUP(A306,'Team Data'!$A$1:$P$133,2,FALSE())</f>
        <v>3</v>
      </c>
      <c r="N306" s="0" t="n">
        <f aca="false">VLOOKUP(A306,'Team Data'!$A$1:$P$133,3,FALSE())</f>
        <v>9</v>
      </c>
      <c r="O306" s="0" t="n">
        <f aca="false">VLOOKUP(B306,'Team Data'!$A$1:$P$133,2,FALSE())</f>
        <v>11</v>
      </c>
      <c r="P306" s="0" t="n">
        <f aca="false">VLOOKUP(B306,'Team Data'!$A$1:$P$133,3,FALSE())</f>
        <v>2</v>
      </c>
      <c r="Q306" s="0" t="n">
        <f aca="false">VLOOKUP(A306,'Team Data'!$A$1:$P$133,4,FALSE())</f>
        <v>100</v>
      </c>
      <c r="R306" s="0" t="n">
        <f aca="false">VLOOKUP(A306,'Team Data'!$A$1:$P$133,5,FALSE())</f>
        <v>163</v>
      </c>
      <c r="S306" s="0" t="n">
        <f aca="false">VLOOKUP(B306,'Team Data'!$A$1:$P$133,4,FALSE())</f>
        <v>78</v>
      </c>
      <c r="T306" s="0" t="n">
        <f aca="false">VLOOKUP(B306,'Team Data'!$A$1:$P$133,5,FALSE())</f>
        <v>191</v>
      </c>
      <c r="U306" s="0" t="n">
        <f aca="false">IF(K306=1,(MIN(35,(C306-D306)))*(O306/(O306+P306))*(S306/(S306+T306)),(MAX(-35,(C306-D306)))*(IF(P306=0,0.1,(P306/(O306+P306))))*(T306/(S306+T306)))</f>
        <v>-1.9662567915356</v>
      </c>
      <c r="V306" s="0" t="n">
        <f aca="false">IF(L306=1,(MIN(35,(D306-C306)))*(M306/(M306+N306))*(Q306/(Q306+R306)),(MAX(-35,(D306-C306)))*(IF(N306=0,0.1,(N306/(M306+N306))))*(R306/(R306+Q306)))</f>
        <v>1.71102661596958</v>
      </c>
    </row>
    <row r="307" customFormat="false" ht="15" hidden="false" customHeight="false" outlineLevel="0" collapsed="false">
      <c r="A307" s="0" t="s">
        <v>103</v>
      </c>
      <c r="B307" s="0" t="s">
        <v>95</v>
      </c>
      <c r="C307" s="0" t="n">
        <v>42</v>
      </c>
      <c r="D307" s="0" t="n">
        <v>34</v>
      </c>
      <c r="E307" s="0" t="n">
        <v>191</v>
      </c>
      <c r="F307" s="0" t="n">
        <v>104</v>
      </c>
      <c r="G307" s="0" t="n">
        <v>296</v>
      </c>
      <c r="H307" s="0" t="n">
        <v>372</v>
      </c>
      <c r="I307" s="0" t="n">
        <v>0</v>
      </c>
      <c r="J307" s="0" t="n">
        <v>2</v>
      </c>
      <c r="K307" s="0" t="n">
        <v>1</v>
      </c>
      <c r="L307" s="0" t="n">
        <v>0</v>
      </c>
      <c r="M307" s="0" t="n">
        <f aca="false">VLOOKUP(A307,'Team Data'!$A$1:$P$133,2,FALSE())</f>
        <v>13</v>
      </c>
      <c r="N307" s="0" t="n">
        <f aca="false">VLOOKUP(A307,'Team Data'!$A$1:$P$133,3,FALSE())</f>
        <v>2</v>
      </c>
      <c r="O307" s="0" t="n">
        <f aca="false">VLOOKUP(B307,'Team Data'!$A$1:$P$133,2,FALSE())</f>
        <v>7</v>
      </c>
      <c r="P307" s="0" t="n">
        <f aca="false">VLOOKUP(B307,'Team Data'!$A$1:$P$133,3,FALSE())</f>
        <v>6</v>
      </c>
      <c r="Q307" s="0" t="n">
        <f aca="false">VLOOKUP(A307,'Team Data'!$A$1:$P$133,4,FALSE())</f>
        <v>114</v>
      </c>
      <c r="R307" s="0" t="n">
        <f aca="false">VLOOKUP(A307,'Team Data'!$A$1:$P$133,5,FALSE())</f>
        <v>190</v>
      </c>
      <c r="S307" s="0" t="n">
        <f aca="false">VLOOKUP(B307,'Team Data'!$A$1:$P$133,4,FALSE())</f>
        <v>99</v>
      </c>
      <c r="T307" s="0" t="n">
        <f aca="false">VLOOKUP(B307,'Team Data'!$A$1:$P$133,5,FALSE())</f>
        <v>179</v>
      </c>
      <c r="U307" s="0" t="n">
        <f aca="false">IF(K307=1,(MIN(35,(C307-D307)))*(O307/(O307+P307))*(S307/(S307+T307)),(MAX(-35,(C307-D307)))*(IF(P307=0,0.1,(P307/(O307+P307))))*(T307/(S307+T307)))</f>
        <v>1.53403431101273</v>
      </c>
      <c r="V307" s="0" t="n">
        <f aca="false">IF(L307=1,(MIN(35,(D307-C307)))*(M307/(M307+N307))*(Q307/(Q307+R307)),(MAX(-35,(D307-C307)))*(IF(N307=0,0.1,(N307/(M307+N307))))*(R307/(R307+Q307)))</f>
        <v>-0.666666666666667</v>
      </c>
    </row>
    <row r="308" customFormat="false" ht="15" hidden="false" customHeight="false" outlineLevel="0" collapsed="false">
      <c r="A308" s="0" t="s">
        <v>31</v>
      </c>
      <c r="B308" s="0" t="s">
        <v>50</v>
      </c>
      <c r="C308" s="0" t="n">
        <v>27</v>
      </c>
      <c r="D308" s="0" t="n">
        <v>35</v>
      </c>
      <c r="E308" s="0" t="n">
        <v>139</v>
      </c>
      <c r="F308" s="0" t="n">
        <v>204</v>
      </c>
      <c r="G308" s="0" t="n">
        <v>324</v>
      </c>
      <c r="H308" s="0" t="n">
        <v>324</v>
      </c>
      <c r="I308" s="0" t="n">
        <v>0</v>
      </c>
      <c r="J308" s="0" t="n">
        <v>1</v>
      </c>
      <c r="K308" s="0" t="n">
        <v>0</v>
      </c>
      <c r="L308" s="0" t="n">
        <v>1</v>
      </c>
      <c r="M308" s="0" t="n">
        <f aca="false">VLOOKUP(A308,'Team Data'!$A$1:$P$133,2,FALSE())</f>
        <v>9</v>
      </c>
      <c r="N308" s="0" t="n">
        <f aca="false">VLOOKUP(A308,'Team Data'!$A$1:$P$133,3,FALSE())</f>
        <v>4</v>
      </c>
      <c r="O308" s="0" t="n">
        <f aca="false">VLOOKUP(B308,'Team Data'!$A$1:$P$133,2,FALSE())</f>
        <v>6</v>
      </c>
      <c r="P308" s="0" t="n">
        <f aca="false">VLOOKUP(B308,'Team Data'!$A$1:$P$133,3,FALSE())</f>
        <v>7</v>
      </c>
      <c r="Q308" s="0" t="n">
        <f aca="false">VLOOKUP(A308,'Team Data'!$A$1:$P$133,4,FALSE())</f>
        <v>72</v>
      </c>
      <c r="R308" s="0" t="n">
        <f aca="false">VLOOKUP(A308,'Team Data'!$A$1:$P$133,5,FALSE())</f>
        <v>196</v>
      </c>
      <c r="S308" s="0" t="n">
        <f aca="false">VLOOKUP(B308,'Team Data'!$A$1:$P$133,4,FALSE())</f>
        <v>99</v>
      </c>
      <c r="T308" s="0" t="n">
        <f aca="false">VLOOKUP(B308,'Team Data'!$A$1:$P$133,5,FALSE())</f>
        <v>178</v>
      </c>
      <c r="U308" s="0" t="n">
        <f aca="false">IF(K308=1,(MIN(35,(C308-D308)))*(O308/(O308+P308))*(S308/(S308+T308)),(MAX(-35,(C308-D308)))*(IF(P308=0,0.1,(P308/(O308+P308))))*(T308/(S308+T308)))</f>
        <v>-2.76811996667592</v>
      </c>
      <c r="V308" s="0" t="n">
        <f aca="false">IF(L308=1,(MIN(35,(D308-C308)))*(M308/(M308+N308))*(Q308/(Q308+R308)),(MAX(-35,(D308-C308)))*(IF(N308=0,0.1,(N308/(M308+N308))))*(R308/(R308+Q308)))</f>
        <v>1.48794489092997</v>
      </c>
    </row>
    <row r="309" customFormat="false" ht="15" hidden="false" customHeight="false" outlineLevel="0" collapsed="false">
      <c r="A309" s="0" t="s">
        <v>18</v>
      </c>
      <c r="B309" s="0" t="s">
        <v>48</v>
      </c>
      <c r="C309" s="0" t="n">
        <v>31</v>
      </c>
      <c r="D309" s="0" t="n">
        <v>24</v>
      </c>
      <c r="E309" s="0" t="n">
        <v>123</v>
      </c>
      <c r="F309" s="0" t="n">
        <v>66</v>
      </c>
      <c r="G309" s="0" t="n">
        <v>238</v>
      </c>
      <c r="H309" s="0" t="n">
        <v>284</v>
      </c>
      <c r="I309" s="0" t="n">
        <v>0</v>
      </c>
      <c r="J309" s="0" t="n">
        <v>2</v>
      </c>
      <c r="K309" s="0" t="n">
        <v>1</v>
      </c>
      <c r="L309" s="0" t="n">
        <v>0</v>
      </c>
      <c r="M309" s="0" t="n">
        <f aca="false">VLOOKUP(A309,'Team Data'!$A$1:$P$133,2,FALSE())</f>
        <v>6</v>
      </c>
      <c r="N309" s="0" t="n">
        <f aca="false">VLOOKUP(A309,'Team Data'!$A$1:$P$133,3,FALSE())</f>
        <v>7</v>
      </c>
      <c r="O309" s="0" t="n">
        <f aca="false">VLOOKUP(B309,'Team Data'!$A$1:$P$133,2,FALSE())</f>
        <v>4</v>
      </c>
      <c r="P309" s="0" t="n">
        <f aca="false">VLOOKUP(B309,'Team Data'!$A$1:$P$133,3,FALSE())</f>
        <v>8</v>
      </c>
      <c r="Q309" s="0" t="n">
        <f aca="false">VLOOKUP(A309,'Team Data'!$A$1:$P$133,4,FALSE())</f>
        <v>97</v>
      </c>
      <c r="R309" s="0" t="n">
        <f aca="false">VLOOKUP(A309,'Team Data'!$A$1:$P$133,5,FALSE())</f>
        <v>179</v>
      </c>
      <c r="S309" s="0" t="n">
        <f aca="false">VLOOKUP(B309,'Team Data'!$A$1:$P$133,4,FALSE())</f>
        <v>95</v>
      </c>
      <c r="T309" s="0" t="n">
        <f aca="false">VLOOKUP(B309,'Team Data'!$A$1:$P$133,5,FALSE())</f>
        <v>171</v>
      </c>
      <c r="U309" s="0" t="n">
        <f aca="false">IF(K309=1,(MIN(35,(C309-D309)))*(O309/(O309+P309))*(S309/(S309+T309)),(MAX(-35,(C309-D309)))*(IF(P309=0,0.1,(P309/(O309+P309))))*(T309/(S309+T309)))</f>
        <v>0.833333333333333</v>
      </c>
      <c r="V309" s="0" t="n">
        <f aca="false">IF(L309=1,(MIN(35,(D309-C309)))*(M309/(M309+N309))*(Q309/(Q309+R309)),(MAX(-35,(D309-C309)))*(IF(N309=0,0.1,(N309/(M309+N309))))*(R309/(R309+Q309)))</f>
        <v>-2.44453734671126</v>
      </c>
    </row>
    <row r="310" customFormat="false" ht="15" hidden="false" customHeight="false" outlineLevel="0" collapsed="false">
      <c r="A310" s="0" t="s">
        <v>51</v>
      </c>
      <c r="B310" s="0" t="s">
        <v>84</v>
      </c>
      <c r="C310" s="0" t="n">
        <v>41</v>
      </c>
      <c r="D310" s="0" t="n">
        <v>34</v>
      </c>
      <c r="E310" s="0" t="n">
        <v>275</v>
      </c>
      <c r="F310" s="0" t="n">
        <v>220</v>
      </c>
      <c r="G310" s="0" t="n">
        <v>234</v>
      </c>
      <c r="H310" s="0" t="n">
        <v>330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f aca="false">VLOOKUP(A310,'Team Data'!$A$1:$P$133,2,FALSE())</f>
        <v>10</v>
      </c>
      <c r="N310" s="0" t="n">
        <f aca="false">VLOOKUP(A310,'Team Data'!$A$1:$P$133,3,FALSE())</f>
        <v>4</v>
      </c>
      <c r="O310" s="0" t="n">
        <f aca="false">VLOOKUP(B310,'Team Data'!$A$1:$P$133,2,FALSE())</f>
        <v>6</v>
      </c>
      <c r="P310" s="0" t="n">
        <f aca="false">VLOOKUP(B310,'Team Data'!$A$1:$P$133,3,FALSE())</f>
        <v>7</v>
      </c>
      <c r="Q310" s="0" t="n">
        <f aca="false">VLOOKUP(A310,'Team Data'!$A$1:$P$133,4,FALSE())</f>
        <v>113</v>
      </c>
      <c r="R310" s="0" t="n">
        <f aca="false">VLOOKUP(A310,'Team Data'!$A$1:$P$133,5,FALSE())</f>
        <v>179</v>
      </c>
      <c r="S310" s="0" t="n">
        <f aca="false">VLOOKUP(B310,'Team Data'!$A$1:$P$133,4,FALSE())</f>
        <v>91</v>
      </c>
      <c r="T310" s="0" t="n">
        <f aca="false">VLOOKUP(B310,'Team Data'!$A$1:$P$133,5,FALSE())</f>
        <v>76</v>
      </c>
      <c r="U310" s="0" t="n">
        <f aca="false">IF(K310=1,(MIN(35,(C310-D310)))*(O310/(O310+P310))*(S310/(S310+T310)),(MAX(-35,(C310-D310)))*(IF(P310=0,0.1,(P310/(O310+P310))))*(T310/(S310+T310)))</f>
        <v>1.76047904191617</v>
      </c>
      <c r="V310" s="0" t="n">
        <f aca="false">IF(L310=1,(MIN(35,(D310-C310)))*(M310/(M310+N310))*(Q310/(Q310+R310)),(MAX(-35,(D310-C310)))*(IF(N310=0,0.1,(N310/(M310+N310))))*(R310/(R310+Q310)))</f>
        <v>-1.22602739726027</v>
      </c>
    </row>
    <row r="311" customFormat="false" ht="15" hidden="false" customHeight="false" outlineLevel="0" collapsed="false">
      <c r="A311" s="0" t="s">
        <v>106</v>
      </c>
      <c r="B311" s="0" t="s">
        <v>109</v>
      </c>
      <c r="C311" s="0" t="n">
        <v>34</v>
      </c>
      <c r="D311" s="0" t="n">
        <v>37</v>
      </c>
      <c r="E311" s="0" t="n">
        <v>149</v>
      </c>
      <c r="F311" s="0" t="n">
        <v>148</v>
      </c>
      <c r="G311" s="0" t="n">
        <v>277</v>
      </c>
      <c r="H311" s="0" t="n">
        <v>331</v>
      </c>
      <c r="I311" s="0" t="n">
        <v>2</v>
      </c>
      <c r="J311" s="0" t="n">
        <v>0</v>
      </c>
      <c r="K311" s="0" t="n">
        <v>0</v>
      </c>
      <c r="L311" s="0" t="n">
        <v>1</v>
      </c>
      <c r="M311" s="0" t="n">
        <f aca="false">VLOOKUP(A311,'Team Data'!$A$1:$P$133,2,FALSE())</f>
        <v>8</v>
      </c>
      <c r="N311" s="0" t="n">
        <f aca="false">VLOOKUP(A311,'Team Data'!$A$1:$P$133,3,FALSE())</f>
        <v>5</v>
      </c>
      <c r="O311" s="0" t="n">
        <f aca="false">VLOOKUP(B311,'Team Data'!$A$1:$P$133,2,FALSE())</f>
        <v>8</v>
      </c>
      <c r="P311" s="0" t="n">
        <f aca="false">VLOOKUP(B311,'Team Data'!$A$1:$P$133,3,FALSE())</f>
        <v>5</v>
      </c>
      <c r="Q311" s="0" t="n">
        <f aca="false">VLOOKUP(A311,'Team Data'!$A$1:$P$133,4,FALSE())</f>
        <v>102</v>
      </c>
      <c r="R311" s="0" t="n">
        <f aca="false">VLOOKUP(A311,'Team Data'!$A$1:$P$133,5,FALSE())</f>
        <v>68</v>
      </c>
      <c r="S311" s="0" t="n">
        <f aca="false">VLOOKUP(B311,'Team Data'!$A$1:$P$133,4,FALSE())</f>
        <v>97</v>
      </c>
      <c r="T311" s="0" t="n">
        <f aca="false">VLOOKUP(B311,'Team Data'!$A$1:$P$133,5,FALSE())</f>
        <v>180</v>
      </c>
      <c r="U311" s="0" t="n">
        <f aca="false">IF(K311=1,(MIN(35,(C311-D311)))*(O311/(O311+P311))*(S311/(S311+T311)),(MAX(-35,(C311-D311)))*(IF(P311=0,0.1,(P311/(O311+P311))))*(T311/(S311+T311)))</f>
        <v>-0.749791724520967</v>
      </c>
      <c r="V311" s="0" t="n">
        <f aca="false">IF(L311=1,(MIN(35,(D311-C311)))*(M311/(M311+N311))*(Q311/(Q311+R311)),(MAX(-35,(D311-C311)))*(IF(N311=0,0.1,(N311/(M311+N311))))*(R311/(R311+Q311)))</f>
        <v>1.10769230769231</v>
      </c>
    </row>
    <row r="312" customFormat="false" ht="15" hidden="false" customHeight="false" outlineLevel="0" collapsed="false">
      <c r="A312" s="0" t="s">
        <v>81</v>
      </c>
      <c r="B312" s="0" t="s">
        <v>77</v>
      </c>
      <c r="C312" s="0" t="n">
        <v>45</v>
      </c>
      <c r="D312" s="0" t="n">
        <v>32</v>
      </c>
      <c r="E312" s="0" t="n">
        <v>287</v>
      </c>
      <c r="F312" s="0" t="n">
        <v>67</v>
      </c>
      <c r="G312" s="0" t="n">
        <v>289</v>
      </c>
      <c r="H312" s="0" t="n">
        <v>301</v>
      </c>
      <c r="I312" s="0" t="n">
        <v>1</v>
      </c>
      <c r="J312" s="0" t="n">
        <v>1</v>
      </c>
      <c r="K312" s="0" t="n">
        <v>1</v>
      </c>
      <c r="L312" s="0" t="n">
        <v>0</v>
      </c>
      <c r="M312" s="0" t="n">
        <f aca="false">VLOOKUP(A312,'Team Data'!$A$1:$P$133,2,FALSE())</f>
        <v>9</v>
      </c>
      <c r="N312" s="0" t="n">
        <f aca="false">VLOOKUP(A312,'Team Data'!$A$1:$P$133,3,FALSE())</f>
        <v>4</v>
      </c>
      <c r="O312" s="0" t="n">
        <f aca="false">VLOOKUP(B312,'Team Data'!$A$1:$P$133,2,FALSE())</f>
        <v>9</v>
      </c>
      <c r="P312" s="0" t="n">
        <f aca="false">VLOOKUP(B312,'Team Data'!$A$1:$P$133,3,FALSE())</f>
        <v>5</v>
      </c>
      <c r="Q312" s="0" t="n">
        <f aca="false">VLOOKUP(A312,'Team Data'!$A$1:$P$133,4,FALSE())</f>
        <v>93</v>
      </c>
      <c r="R312" s="0" t="n">
        <f aca="false">VLOOKUP(A312,'Team Data'!$A$1:$P$133,5,FALSE())</f>
        <v>74</v>
      </c>
      <c r="S312" s="0" t="n">
        <f aca="false">VLOOKUP(B312,'Team Data'!$A$1:$P$133,4,FALSE())</f>
        <v>98</v>
      </c>
      <c r="T312" s="0" t="n">
        <f aca="false">VLOOKUP(B312,'Team Data'!$A$1:$P$133,5,FALSE())</f>
        <v>183</v>
      </c>
      <c r="U312" s="0" t="n">
        <f aca="false">IF(K312=1,(MIN(35,(C312-D312)))*(O312/(O312+P312))*(S312/(S312+T312)),(MAX(-35,(C312-D312)))*(IF(P312=0,0.1,(P312/(O312+P312))))*(T312/(S312+T312)))</f>
        <v>2.91459074733096</v>
      </c>
      <c r="V312" s="0" t="n">
        <f aca="false">IF(L312=1,(MIN(35,(D312-C312)))*(M312/(M312+N312))*(Q312/(Q312+R312)),(MAX(-35,(D312-C312)))*(IF(N312=0,0.1,(N312/(M312+N312))))*(R312/(R312+Q312)))</f>
        <v>-1.77245508982036</v>
      </c>
    </row>
    <row r="313" customFormat="false" ht="15" hidden="false" customHeight="false" outlineLevel="0" collapsed="false">
      <c r="A313" s="0" t="s">
        <v>117</v>
      </c>
      <c r="B313" s="0" t="s">
        <v>71</v>
      </c>
      <c r="C313" s="0" t="n">
        <v>10</v>
      </c>
      <c r="D313" s="0" t="n">
        <v>41</v>
      </c>
      <c r="E313" s="0" t="n">
        <v>121</v>
      </c>
      <c r="F313" s="0" t="n">
        <v>169</v>
      </c>
      <c r="G313" s="0" t="n">
        <v>39</v>
      </c>
      <c r="H313" s="0" t="n">
        <v>323</v>
      </c>
      <c r="I313" s="0" t="n">
        <v>0</v>
      </c>
      <c r="J313" s="0" t="n">
        <v>1</v>
      </c>
      <c r="K313" s="0" t="n">
        <v>0</v>
      </c>
      <c r="L313" s="0" t="n">
        <v>1</v>
      </c>
      <c r="M313" s="0" t="n">
        <f aca="false">VLOOKUP(A313,'Team Data'!$A$1:$P$133,2,FALSE())</f>
        <v>6</v>
      </c>
      <c r="N313" s="0" t="n">
        <f aca="false">VLOOKUP(A313,'Team Data'!$A$1:$P$133,3,FALSE())</f>
        <v>7</v>
      </c>
      <c r="O313" s="0" t="n">
        <f aca="false">VLOOKUP(B313,'Team Data'!$A$1:$P$133,2,FALSE())</f>
        <v>8</v>
      </c>
      <c r="P313" s="0" t="n">
        <f aca="false">VLOOKUP(B313,'Team Data'!$A$1:$P$133,3,FALSE())</f>
        <v>5</v>
      </c>
      <c r="Q313" s="0" t="n">
        <f aca="false">VLOOKUP(A313,'Team Data'!$A$1:$P$133,4,FALSE())</f>
        <v>88</v>
      </c>
      <c r="R313" s="0" t="n">
        <f aca="false">VLOOKUP(A313,'Team Data'!$A$1:$P$133,5,FALSE())</f>
        <v>185</v>
      </c>
      <c r="S313" s="0" t="n">
        <f aca="false">VLOOKUP(B313,'Team Data'!$A$1:$P$133,4,FALSE())</f>
        <v>97</v>
      </c>
      <c r="T313" s="0" t="n">
        <f aca="false">VLOOKUP(B313,'Team Data'!$A$1:$P$133,5,FALSE())</f>
        <v>178</v>
      </c>
      <c r="U313" s="0" t="n">
        <f aca="false">IF(K313=1,(MIN(35,(C313-D313)))*(O313/(O313+P313))*(S313/(S313+T313)),(MAX(-35,(C313-D313)))*(IF(P313=0,0.1,(P313/(O313+P313))))*(T313/(S313+T313)))</f>
        <v>-7.71748251748252</v>
      </c>
      <c r="V313" s="0" t="n">
        <f aca="false">IF(L313=1,(MIN(35,(D313-C313)))*(M313/(M313+N313))*(Q313/(Q313+R313)),(MAX(-35,(D313-C313)))*(IF(N313=0,0.1,(N313/(M313+N313))))*(R313/(R313+Q313)))</f>
        <v>4.61200338123415</v>
      </c>
    </row>
    <row r="314" customFormat="false" ht="15" hidden="false" customHeight="false" outlineLevel="0" collapsed="false">
      <c r="A314" s="0" t="s">
        <v>7</v>
      </c>
      <c r="B314" s="0" t="s">
        <v>55</v>
      </c>
      <c r="C314" s="0" t="n">
        <v>12</v>
      </c>
      <c r="D314" s="0" t="n">
        <v>21</v>
      </c>
      <c r="E314" s="0" t="n">
        <v>52</v>
      </c>
      <c r="F314" s="0" t="n">
        <v>157</v>
      </c>
      <c r="G314" s="0" t="n">
        <v>269</v>
      </c>
      <c r="H314" s="0" t="n">
        <v>152</v>
      </c>
      <c r="I314" s="0" t="n">
        <v>1</v>
      </c>
      <c r="J314" s="0" t="n">
        <v>2</v>
      </c>
      <c r="K314" s="0" t="n">
        <v>0</v>
      </c>
      <c r="L314" s="0" t="n">
        <v>1</v>
      </c>
      <c r="M314" s="0" t="n">
        <f aca="false">VLOOKUP(A314,'Team Data'!$A$1:$P$133,2,FALSE())</f>
        <v>2</v>
      </c>
      <c r="N314" s="0" t="n">
        <f aca="false">VLOOKUP(A314,'Team Data'!$A$1:$P$133,3,FALSE())</f>
        <v>10</v>
      </c>
      <c r="O314" s="0" t="n">
        <f aca="false">VLOOKUP(B314,'Team Data'!$A$1:$P$133,2,FALSE())</f>
        <v>8</v>
      </c>
      <c r="P314" s="0" t="n">
        <f aca="false">VLOOKUP(B314,'Team Data'!$A$1:$P$133,3,FALSE())</f>
        <v>5</v>
      </c>
      <c r="Q314" s="0" t="n">
        <f aca="false">VLOOKUP(A314,'Team Data'!$A$1:$P$133,4,FALSE())</f>
        <v>82</v>
      </c>
      <c r="R314" s="0" t="n">
        <f aca="false">VLOOKUP(A314,'Team Data'!$A$1:$P$133,5,FALSE())</f>
        <v>178</v>
      </c>
      <c r="S314" s="0" t="n">
        <f aca="false">VLOOKUP(B314,'Team Data'!$A$1:$P$133,4,FALSE())</f>
        <v>76</v>
      </c>
      <c r="T314" s="0" t="n">
        <f aca="false">VLOOKUP(B314,'Team Data'!$A$1:$P$133,5,FALSE())</f>
        <v>196</v>
      </c>
      <c r="U314" s="0" t="n">
        <f aca="false">IF(K314=1,(MIN(35,(C314-D314)))*(O314/(O314+P314))*(S314/(S314+T314)),(MAX(-35,(C314-D314)))*(IF(P314=0,0.1,(P314/(O314+P314))))*(T314/(S314+T314)))</f>
        <v>-2.49434389140272</v>
      </c>
      <c r="V314" s="0" t="n">
        <f aca="false">IF(L314=1,(MIN(35,(D314-C314)))*(M314/(M314+N314))*(Q314/(Q314+R314)),(MAX(-35,(D314-C314)))*(IF(N314=0,0.1,(N314/(M314+N314))))*(R314/(R314+Q314)))</f>
        <v>0.473076923076923</v>
      </c>
    </row>
    <row r="315" customFormat="false" ht="15" hidden="false" customHeight="false" outlineLevel="0" collapsed="false">
      <c r="A315" s="0" t="s">
        <v>47</v>
      </c>
      <c r="B315" s="0" t="s">
        <v>94</v>
      </c>
      <c r="C315" s="0" t="n">
        <v>27</v>
      </c>
      <c r="D315" s="0" t="n">
        <v>10</v>
      </c>
      <c r="E315" s="0" t="n">
        <v>129</v>
      </c>
      <c r="F315" s="0" t="n">
        <v>61</v>
      </c>
      <c r="G315" s="0" t="n">
        <v>148</v>
      </c>
      <c r="H315" s="0" t="n">
        <v>300</v>
      </c>
      <c r="I315" s="0" t="n">
        <v>0</v>
      </c>
      <c r="J315" s="0" t="n">
        <v>3</v>
      </c>
      <c r="K315" s="0" t="n">
        <v>1</v>
      </c>
      <c r="L315" s="0" t="n">
        <v>0</v>
      </c>
      <c r="M315" s="0" t="n">
        <f aca="false">VLOOKUP(A315,'Team Data'!$A$1:$P$133,2,FALSE())</f>
        <v>8</v>
      </c>
      <c r="N315" s="0" t="n">
        <f aca="false">VLOOKUP(A315,'Team Data'!$A$1:$P$133,3,FALSE())</f>
        <v>5</v>
      </c>
      <c r="O315" s="0" t="n">
        <f aca="false">VLOOKUP(B315,'Team Data'!$A$1:$P$133,2,FALSE())</f>
        <v>4</v>
      </c>
      <c r="P315" s="0" t="n">
        <f aca="false">VLOOKUP(B315,'Team Data'!$A$1:$P$133,3,FALSE())</f>
        <v>8</v>
      </c>
      <c r="Q315" s="0" t="n">
        <f aca="false">VLOOKUP(A315,'Team Data'!$A$1:$P$133,4,FALSE())</f>
        <v>86</v>
      </c>
      <c r="R315" s="0" t="n">
        <f aca="false">VLOOKUP(A315,'Team Data'!$A$1:$P$133,5,FALSE())</f>
        <v>187</v>
      </c>
      <c r="S315" s="0" t="n">
        <f aca="false">VLOOKUP(B315,'Team Data'!$A$1:$P$133,4,FALSE())</f>
        <v>87</v>
      </c>
      <c r="T315" s="0" t="n">
        <f aca="false">VLOOKUP(B315,'Team Data'!$A$1:$P$133,5,FALSE())</f>
        <v>172</v>
      </c>
      <c r="U315" s="0" t="n">
        <f aca="false">IF(K315=1,(MIN(35,(C315-D315)))*(O315/(O315+P315))*(S315/(S315+T315)),(MAX(-35,(C315-D315)))*(IF(P315=0,0.1,(P315/(O315+P315))))*(T315/(S315+T315)))</f>
        <v>1.9034749034749</v>
      </c>
      <c r="V315" s="0" t="n">
        <f aca="false">IF(L315=1,(MIN(35,(D315-C315)))*(M315/(M315+N315))*(Q315/(Q315+R315)),(MAX(-35,(D315-C315)))*(IF(N315=0,0.1,(N315/(M315+N315))))*(R315/(R315+Q315)))</f>
        <v>-4.47872640180333</v>
      </c>
    </row>
    <row r="316" customFormat="false" ht="15" hidden="false" customHeight="false" outlineLevel="0" collapsed="false">
      <c r="A316" s="0" t="s">
        <v>68</v>
      </c>
      <c r="B316" s="0" t="s">
        <v>66</v>
      </c>
      <c r="C316" s="0" t="n">
        <v>34</v>
      </c>
      <c r="D316" s="0" t="n">
        <v>7</v>
      </c>
      <c r="E316" s="0" t="n">
        <v>240</v>
      </c>
      <c r="F316" s="0" t="n">
        <v>38</v>
      </c>
      <c r="G316" s="0" t="n">
        <v>268</v>
      </c>
      <c r="H316" s="0" t="n">
        <v>202</v>
      </c>
      <c r="I316" s="0" t="n">
        <v>1</v>
      </c>
      <c r="J316" s="0" t="n">
        <v>3</v>
      </c>
      <c r="K316" s="0" t="n">
        <v>1</v>
      </c>
      <c r="L316" s="0" t="n">
        <v>0</v>
      </c>
      <c r="M316" s="0" t="n">
        <f aca="false">VLOOKUP(A316,'Team Data'!$A$1:$P$133,2,FALSE())</f>
        <v>9</v>
      </c>
      <c r="N316" s="0" t="n">
        <f aca="false">VLOOKUP(A316,'Team Data'!$A$1:$P$133,3,FALSE())</f>
        <v>4</v>
      </c>
      <c r="O316" s="0" t="n">
        <f aca="false">VLOOKUP(B316,'Team Data'!$A$1:$P$133,2,FALSE())</f>
        <v>5</v>
      </c>
      <c r="P316" s="0" t="n">
        <f aca="false">VLOOKUP(B316,'Team Data'!$A$1:$P$133,3,FALSE())</f>
        <v>7</v>
      </c>
      <c r="Q316" s="0" t="n">
        <f aca="false">VLOOKUP(A316,'Team Data'!$A$1:$P$133,4,FALSE())</f>
        <v>79</v>
      </c>
      <c r="R316" s="0" t="n">
        <f aca="false">VLOOKUP(A316,'Team Data'!$A$1:$P$133,5,FALSE())</f>
        <v>193</v>
      </c>
      <c r="S316" s="0" t="n">
        <f aca="false">VLOOKUP(B316,'Team Data'!$A$1:$P$133,4,FALSE())</f>
        <v>93</v>
      </c>
      <c r="T316" s="0" t="n">
        <f aca="false">VLOOKUP(B316,'Team Data'!$A$1:$P$133,5,FALSE())</f>
        <v>60</v>
      </c>
      <c r="U316" s="0" t="n">
        <f aca="false">IF(K316=1,(MIN(35,(C316-D316)))*(O316/(O316+P316))*(S316/(S316+T316)),(MAX(-35,(C316-D316)))*(IF(P316=0,0.1,(P316/(O316+P316))))*(T316/(S316+T316)))</f>
        <v>6.83823529411765</v>
      </c>
      <c r="V316" s="0" t="n">
        <f aca="false">IF(L316=1,(MIN(35,(D316-C316)))*(M316/(M316+N316))*(Q316/(Q316+R316)),(MAX(-35,(D316-C316)))*(IF(N316=0,0.1,(N316/(M316+N316))))*(R316/(R316+Q316)))</f>
        <v>-5.8947963800905</v>
      </c>
    </row>
    <row r="317" customFormat="false" ht="15" hidden="false" customHeight="false" outlineLevel="0" collapsed="false">
      <c r="A317" s="0" t="s">
        <v>64</v>
      </c>
      <c r="B317" s="0" t="s">
        <v>80</v>
      </c>
      <c r="C317" s="0" t="n">
        <v>17</v>
      </c>
      <c r="D317" s="0" t="n">
        <v>14</v>
      </c>
      <c r="E317" s="0" t="n">
        <v>216</v>
      </c>
      <c r="F317" s="0" t="n">
        <v>107</v>
      </c>
      <c r="G317" s="0" t="n">
        <v>62</v>
      </c>
      <c r="H317" s="0" t="n">
        <v>257</v>
      </c>
      <c r="I317" s="0" t="n">
        <v>0</v>
      </c>
      <c r="J317" s="0" t="n">
        <v>2</v>
      </c>
      <c r="K317" s="0" t="n">
        <v>1</v>
      </c>
      <c r="L317" s="0" t="n">
        <v>0</v>
      </c>
      <c r="M317" s="0" t="n">
        <f aca="false">VLOOKUP(A317,'Team Data'!$A$1:$P$133,2,FALSE())</f>
        <v>6</v>
      </c>
      <c r="N317" s="0" t="n">
        <f aca="false">VLOOKUP(A317,'Team Data'!$A$1:$P$133,3,FALSE())</f>
        <v>7</v>
      </c>
      <c r="O317" s="0" t="n">
        <f aca="false">VLOOKUP(B317,'Team Data'!$A$1:$P$133,2,FALSE())</f>
        <v>1</v>
      </c>
      <c r="P317" s="0" t="n">
        <f aca="false">VLOOKUP(B317,'Team Data'!$A$1:$P$133,3,FALSE())</f>
        <v>11</v>
      </c>
      <c r="Q317" s="0" t="n">
        <f aca="false">VLOOKUP(A317,'Team Data'!$A$1:$P$133,4,FALSE())</f>
        <v>75</v>
      </c>
      <c r="R317" s="0" t="n">
        <f aca="false">VLOOKUP(A317,'Team Data'!$A$1:$P$133,5,FALSE())</f>
        <v>196</v>
      </c>
      <c r="S317" s="0" t="n">
        <f aca="false">VLOOKUP(B317,'Team Data'!$A$1:$P$133,4,FALSE())</f>
        <v>97</v>
      </c>
      <c r="T317" s="0" t="n">
        <f aca="false">VLOOKUP(B317,'Team Data'!$A$1:$P$133,5,FALSE())</f>
        <v>166</v>
      </c>
      <c r="U317" s="0" t="n">
        <f aca="false">IF(K317=1,(MIN(35,(C317-D317)))*(O317/(O317+P317))*(S317/(S317+T317)),(MAX(-35,(C317-D317)))*(IF(P317=0,0.1,(P317/(O317+P317))))*(T317/(S317+T317)))</f>
        <v>0.0922053231939164</v>
      </c>
      <c r="V317" s="0" t="n">
        <f aca="false">IF(L317=1,(MIN(35,(D317-C317)))*(M317/(M317+N317))*(Q317/(Q317+R317)),(MAX(-35,(D317-C317)))*(IF(N317=0,0.1,(N317/(M317+N317))))*(R317/(R317+Q317)))</f>
        <v>-1.16832245245529</v>
      </c>
    </row>
    <row r="318" customFormat="false" ht="15" hidden="false" customHeight="false" outlineLevel="0" collapsed="false">
      <c r="A318" s="0" t="s">
        <v>135</v>
      </c>
      <c r="B318" s="0" t="s">
        <v>83</v>
      </c>
      <c r="C318" s="0" t="n">
        <v>21</v>
      </c>
      <c r="D318" s="0" t="n">
        <v>52</v>
      </c>
      <c r="E318" s="0" t="n">
        <v>192</v>
      </c>
      <c r="F318" s="0" t="n">
        <v>258</v>
      </c>
      <c r="G318" s="0" t="n">
        <v>104</v>
      </c>
      <c r="H318" s="0" t="n">
        <v>281</v>
      </c>
      <c r="I318" s="0" t="n">
        <v>1</v>
      </c>
      <c r="J318" s="0" t="n">
        <v>1</v>
      </c>
      <c r="K318" s="0" t="n">
        <v>0</v>
      </c>
      <c r="L318" s="0" t="n">
        <v>1</v>
      </c>
      <c r="M318" s="0" t="n">
        <f aca="false">VLOOKUP(A318,'Team Data'!$A$1:$P$133,2,FALSE())</f>
        <v>7</v>
      </c>
      <c r="N318" s="0" t="n">
        <f aca="false">VLOOKUP(A318,'Team Data'!$A$1:$P$133,3,FALSE())</f>
        <v>6</v>
      </c>
      <c r="O318" s="0" t="n">
        <f aca="false">VLOOKUP(B318,'Team Data'!$A$1:$P$133,2,FALSE())</f>
        <v>11</v>
      </c>
      <c r="P318" s="0" t="n">
        <f aca="false">VLOOKUP(B318,'Team Data'!$A$1:$P$133,3,FALSE())</f>
        <v>2</v>
      </c>
      <c r="Q318" s="0" t="n">
        <f aca="false">VLOOKUP(A318,'Team Data'!$A$1:$P$133,4,FALSE())</f>
        <v>91</v>
      </c>
      <c r="R318" s="0" t="n">
        <f aca="false">VLOOKUP(A318,'Team Data'!$A$1:$P$133,5,FALSE())</f>
        <v>183</v>
      </c>
      <c r="S318" s="0" t="n">
        <f aca="false">VLOOKUP(B318,'Team Data'!$A$1:$P$133,4,FALSE())</f>
        <v>97</v>
      </c>
      <c r="T318" s="0" t="n">
        <f aca="false">VLOOKUP(B318,'Team Data'!$A$1:$P$133,5,FALSE())</f>
        <v>71</v>
      </c>
      <c r="U318" s="0" t="n">
        <f aca="false">IF(K318=1,(MIN(35,(C318-D318)))*(O318/(O318+P318))*(S318/(S318+T318)),(MAX(-35,(C318-D318)))*(IF(P318=0,0.1,(P318/(O318+P318))))*(T318/(S318+T318)))</f>
        <v>-2.01556776556777</v>
      </c>
      <c r="V318" s="0" t="n">
        <f aca="false">IF(L318=1,(MIN(35,(D318-C318)))*(M318/(M318+N318))*(Q318/(Q318+R318)),(MAX(-35,(D318-C318)))*(IF(N318=0,0.1,(N318/(M318+N318))))*(R318/(R318+Q318)))</f>
        <v>5.54379562043796</v>
      </c>
    </row>
    <row r="319" customFormat="false" ht="15" hidden="false" customHeight="false" outlineLevel="0" collapsed="false">
      <c r="A319" s="0" t="s">
        <v>46</v>
      </c>
      <c r="B319" s="0" t="s">
        <v>26</v>
      </c>
      <c r="C319" s="0" t="n">
        <v>24</v>
      </c>
      <c r="D319" s="0" t="n">
        <v>45</v>
      </c>
      <c r="E319" s="0" t="n">
        <v>68</v>
      </c>
      <c r="F319" s="0" t="n">
        <v>40</v>
      </c>
      <c r="G319" s="0" t="n">
        <v>280</v>
      </c>
      <c r="H319" s="0" t="n">
        <v>354</v>
      </c>
      <c r="I319" s="0" t="n">
        <v>3</v>
      </c>
      <c r="J319" s="0" t="n">
        <v>1</v>
      </c>
      <c r="K319" s="0" t="n">
        <v>0</v>
      </c>
      <c r="L319" s="0" t="n">
        <v>1</v>
      </c>
      <c r="M319" s="0" t="n">
        <f aca="false">VLOOKUP(A319,'Team Data'!$A$1:$P$133,2,FALSE())</f>
        <v>4</v>
      </c>
      <c r="N319" s="0" t="n">
        <f aca="false">VLOOKUP(A319,'Team Data'!$A$1:$P$133,3,FALSE())</f>
        <v>8</v>
      </c>
      <c r="O319" s="0" t="n">
        <f aca="false">VLOOKUP(B319,'Team Data'!$A$1:$P$133,2,FALSE())</f>
        <v>9</v>
      </c>
      <c r="P319" s="0" t="n">
        <f aca="false">VLOOKUP(B319,'Team Data'!$A$1:$P$133,3,FALSE())</f>
        <v>4</v>
      </c>
      <c r="Q319" s="0" t="n">
        <f aca="false">VLOOKUP(A319,'Team Data'!$A$1:$P$133,4,FALSE())</f>
        <v>98</v>
      </c>
      <c r="R319" s="0" t="n">
        <f aca="false">VLOOKUP(A319,'Team Data'!$A$1:$P$133,5,FALSE())</f>
        <v>165</v>
      </c>
      <c r="S319" s="0" t="n">
        <f aca="false">VLOOKUP(B319,'Team Data'!$A$1:$P$133,4,FALSE())</f>
        <v>82</v>
      </c>
      <c r="T319" s="0" t="n">
        <f aca="false">VLOOKUP(B319,'Team Data'!$A$1:$P$133,5,FALSE())</f>
        <v>191</v>
      </c>
      <c r="U319" s="0" t="n">
        <f aca="false">IF(K319=1,(MIN(35,(C319-D319)))*(O319/(O319+P319))*(S319/(S319+T319)),(MAX(-35,(C319-D319)))*(IF(P319=0,0.1,(P319/(O319+P319))))*(T319/(S319+T319)))</f>
        <v>-4.5207100591716</v>
      </c>
      <c r="V319" s="0" t="n">
        <f aca="false">IF(L319=1,(MIN(35,(D319-C319)))*(M319/(M319+N319))*(Q319/(Q319+R319)),(MAX(-35,(D319-C319)))*(IF(N319=0,0.1,(N319/(M319+N319))))*(R319/(R319+Q319)))</f>
        <v>2.60836501901141</v>
      </c>
    </row>
    <row r="320" customFormat="false" ht="15" hidden="false" customHeight="false" outlineLevel="0" collapsed="false">
      <c r="A320" s="0" t="s">
        <v>61</v>
      </c>
      <c r="B320" s="0" t="s">
        <v>65</v>
      </c>
      <c r="C320" s="0" t="n">
        <v>27</v>
      </c>
      <c r="D320" s="0" t="n">
        <v>34</v>
      </c>
      <c r="E320" s="0" t="n">
        <v>128</v>
      </c>
      <c r="F320" s="0" t="n">
        <v>243</v>
      </c>
      <c r="G320" s="0" t="n">
        <v>269</v>
      </c>
      <c r="H320" s="0" t="n">
        <v>220</v>
      </c>
      <c r="I320" s="0" t="n">
        <v>3</v>
      </c>
      <c r="J320" s="0" t="n">
        <v>1</v>
      </c>
      <c r="K320" s="0" t="n">
        <v>0</v>
      </c>
      <c r="L320" s="0" t="n">
        <v>1</v>
      </c>
      <c r="M320" s="0" t="n">
        <f aca="false">VLOOKUP(A320,'Team Data'!$A$1:$P$133,2,FALSE())</f>
        <v>8</v>
      </c>
      <c r="N320" s="0" t="n">
        <f aca="false">VLOOKUP(A320,'Team Data'!$A$1:$P$133,3,FALSE())</f>
        <v>5</v>
      </c>
      <c r="O320" s="0" t="n">
        <f aca="false">VLOOKUP(B320,'Team Data'!$A$1:$P$133,2,FALSE())</f>
        <v>13</v>
      </c>
      <c r="P320" s="0" t="n">
        <f aca="false">VLOOKUP(B320,'Team Data'!$A$1:$P$133,3,FALSE())</f>
        <v>1</v>
      </c>
      <c r="Q320" s="0" t="n">
        <f aca="false">VLOOKUP(A320,'Team Data'!$A$1:$P$133,4,FALSE())</f>
        <v>89</v>
      </c>
      <c r="R320" s="0" t="n">
        <f aca="false">VLOOKUP(A320,'Team Data'!$A$1:$P$133,5,FALSE())</f>
        <v>77</v>
      </c>
      <c r="S320" s="0" t="n">
        <f aca="false">VLOOKUP(B320,'Team Data'!$A$1:$P$133,4,FALSE())</f>
        <v>96</v>
      </c>
      <c r="T320" s="0" t="n">
        <f aca="false">VLOOKUP(B320,'Team Data'!$A$1:$P$133,5,FALSE())</f>
        <v>84</v>
      </c>
      <c r="U320" s="0" t="n">
        <f aca="false">IF(K320=1,(MIN(35,(C320-D320)))*(O320/(O320+P320))*(S320/(S320+T320)),(MAX(-35,(C320-D320)))*(IF(P320=0,0.1,(P320/(O320+P320))))*(T320/(S320+T320)))</f>
        <v>-0.233333333333333</v>
      </c>
      <c r="V320" s="0" t="n">
        <f aca="false">IF(L320=1,(MIN(35,(D320-C320)))*(M320/(M320+N320))*(Q320/(Q320+R320)),(MAX(-35,(D320-C320)))*(IF(N320=0,0.1,(N320/(M320+N320))))*(R320/(R320+Q320)))</f>
        <v>2.30954587581094</v>
      </c>
    </row>
    <row r="321" customFormat="false" ht="15" hidden="false" customHeight="false" outlineLevel="0" collapsed="false">
      <c r="A321" s="0" t="s">
        <v>24</v>
      </c>
      <c r="B321" s="0" t="s">
        <v>90</v>
      </c>
      <c r="C321" s="0" t="n">
        <v>14</v>
      </c>
      <c r="D321" s="0" t="n">
        <v>33</v>
      </c>
      <c r="E321" s="0" t="n">
        <v>88</v>
      </c>
      <c r="F321" s="0" t="n">
        <v>166</v>
      </c>
      <c r="G321" s="0" t="n">
        <v>275</v>
      </c>
      <c r="H321" s="0" t="n">
        <v>237</v>
      </c>
      <c r="I321" s="0" t="n">
        <v>4</v>
      </c>
      <c r="J321" s="0" t="n">
        <v>0</v>
      </c>
      <c r="K321" s="0" t="n">
        <v>0</v>
      </c>
      <c r="L321" s="0" t="n">
        <v>1</v>
      </c>
      <c r="M321" s="0" t="n">
        <f aca="false">VLOOKUP(A321,'Team Data'!$A$1:$P$133,2,FALSE())</f>
        <v>4</v>
      </c>
      <c r="N321" s="0" t="n">
        <f aca="false">VLOOKUP(A321,'Team Data'!$A$1:$P$133,3,FALSE())</f>
        <v>8</v>
      </c>
      <c r="O321" s="0" t="n">
        <f aca="false">VLOOKUP(B321,'Team Data'!$A$1:$P$133,2,FALSE())</f>
        <v>11</v>
      </c>
      <c r="P321" s="0" t="n">
        <f aca="false">VLOOKUP(B321,'Team Data'!$A$1:$P$133,3,FALSE())</f>
        <v>2</v>
      </c>
      <c r="Q321" s="0" t="n">
        <f aca="false">VLOOKUP(A321,'Team Data'!$A$1:$P$133,4,FALSE())</f>
        <v>82</v>
      </c>
      <c r="R321" s="0" t="n">
        <f aca="false">VLOOKUP(A321,'Team Data'!$A$1:$P$133,5,FALSE())</f>
        <v>178</v>
      </c>
      <c r="S321" s="0" t="n">
        <f aca="false">VLOOKUP(B321,'Team Data'!$A$1:$P$133,4,FALSE())</f>
        <v>92</v>
      </c>
      <c r="T321" s="0" t="n">
        <f aca="false">VLOOKUP(B321,'Team Data'!$A$1:$P$133,5,FALSE())</f>
        <v>75</v>
      </c>
      <c r="U321" s="0" t="n">
        <f aca="false">IF(K321=1,(MIN(35,(C321-D321)))*(O321/(O321+P321))*(S321/(S321+T321)),(MAX(-35,(C321-D321)))*(IF(P321=0,0.1,(P321/(O321+P321))))*(T321/(S321+T321)))</f>
        <v>-1.31275909719024</v>
      </c>
      <c r="V321" s="0" t="n">
        <f aca="false">IF(L321=1,(MIN(35,(D321-C321)))*(M321/(M321+N321))*(Q321/(Q321+R321)),(MAX(-35,(D321-C321)))*(IF(N321=0,0.1,(N321/(M321+N321))))*(R321/(R321+Q321)))</f>
        <v>1.9974358974359</v>
      </c>
    </row>
    <row r="322" customFormat="false" ht="15" hidden="false" customHeight="false" outlineLevel="0" collapsed="false">
      <c r="A322" s="0" t="s">
        <v>43</v>
      </c>
      <c r="B322" s="0" t="s">
        <v>76</v>
      </c>
      <c r="C322" s="0" t="n">
        <v>26</v>
      </c>
      <c r="D322" s="0" t="n">
        <v>45</v>
      </c>
      <c r="E322" s="0" t="n">
        <v>150</v>
      </c>
      <c r="F322" s="0" t="n">
        <v>357</v>
      </c>
      <c r="G322" s="0" t="n">
        <v>261</v>
      </c>
      <c r="H322" s="0" t="n">
        <v>81</v>
      </c>
      <c r="I322" s="0" t="n">
        <v>0</v>
      </c>
      <c r="J322" s="0" t="n">
        <v>1</v>
      </c>
      <c r="K322" s="0" t="n">
        <v>0</v>
      </c>
      <c r="L322" s="0" t="n">
        <v>1</v>
      </c>
      <c r="M322" s="0" t="n">
        <f aca="false">VLOOKUP(A322,'Team Data'!$A$1:$P$133,2,FALSE())</f>
        <v>3</v>
      </c>
      <c r="N322" s="0" t="n">
        <f aca="false">VLOOKUP(A322,'Team Data'!$A$1:$P$133,3,FALSE())</f>
        <v>10</v>
      </c>
      <c r="O322" s="0" t="n">
        <f aca="false">VLOOKUP(B322,'Team Data'!$A$1:$P$133,2,FALSE())</f>
        <v>7</v>
      </c>
      <c r="P322" s="0" t="n">
        <f aca="false">VLOOKUP(B322,'Team Data'!$A$1:$P$133,3,FALSE())</f>
        <v>6</v>
      </c>
      <c r="Q322" s="0" t="n">
        <f aca="false">VLOOKUP(A322,'Team Data'!$A$1:$P$133,4,FALSE())</f>
        <v>89</v>
      </c>
      <c r="R322" s="0" t="n">
        <f aca="false">VLOOKUP(A322,'Team Data'!$A$1:$P$133,5,FALSE())</f>
        <v>185</v>
      </c>
      <c r="S322" s="0" t="n">
        <f aca="false">VLOOKUP(B322,'Team Data'!$A$1:$P$133,4,FALSE())</f>
        <v>69</v>
      </c>
      <c r="T322" s="0" t="n">
        <f aca="false">VLOOKUP(B322,'Team Data'!$A$1:$P$133,5,FALSE())</f>
        <v>309</v>
      </c>
      <c r="U322" s="0" t="n">
        <f aca="false">IF(K322=1,(MIN(35,(C322-D322)))*(O322/(O322+P322))*(S322/(S322+T322)),(MAX(-35,(C322-D322)))*(IF(P322=0,0.1,(P322/(O322+P322))))*(T322/(S322+T322)))</f>
        <v>-7.16849816849817</v>
      </c>
      <c r="V322" s="0" t="n">
        <f aca="false">IF(L322=1,(MIN(35,(D322-C322)))*(M322/(M322+N322))*(Q322/(Q322+R322)),(MAX(-35,(D322-C322)))*(IF(N322=0,0.1,(N322/(M322+N322))))*(R322/(R322+Q322)))</f>
        <v>1.42419988770354</v>
      </c>
    </row>
    <row r="323" customFormat="false" ht="15" hidden="false" customHeight="false" outlineLevel="0" collapsed="false">
      <c r="A323" s="0" t="s">
        <v>132</v>
      </c>
      <c r="B323" s="0" t="s">
        <v>128</v>
      </c>
      <c r="C323" s="0" t="n">
        <v>33</v>
      </c>
      <c r="D323" s="0" t="n">
        <v>10</v>
      </c>
      <c r="E323" s="0" t="n">
        <v>218</v>
      </c>
      <c r="F323" s="0" t="n">
        <v>35</v>
      </c>
      <c r="G323" s="0" t="n">
        <v>203</v>
      </c>
      <c r="H323" s="0" t="n">
        <v>193</v>
      </c>
      <c r="I323" s="0" t="n">
        <v>1</v>
      </c>
      <c r="J323" s="0" t="n">
        <v>1</v>
      </c>
      <c r="K323" s="0" t="n">
        <v>1</v>
      </c>
      <c r="L323" s="0" t="n">
        <v>0</v>
      </c>
      <c r="M323" s="0" t="n">
        <f aca="false">VLOOKUP(A323,'Team Data'!$A$1:$P$133,2,FALSE())</f>
        <v>5</v>
      </c>
      <c r="N323" s="0" t="n">
        <f aca="false">VLOOKUP(A323,'Team Data'!$A$1:$P$133,3,FALSE())</f>
        <v>7</v>
      </c>
      <c r="O323" s="0" t="n">
        <f aca="false">VLOOKUP(B323,'Team Data'!$A$1:$P$133,2,FALSE())</f>
        <v>3</v>
      </c>
      <c r="P323" s="0" t="n">
        <f aca="false">VLOOKUP(B323,'Team Data'!$A$1:$P$133,3,FALSE())</f>
        <v>8</v>
      </c>
      <c r="Q323" s="0" t="n">
        <f aca="false">VLOOKUP(A323,'Team Data'!$A$1:$P$133,4,FALSE())</f>
        <v>88</v>
      </c>
      <c r="R323" s="0" t="n">
        <f aca="false">VLOOKUP(A323,'Team Data'!$A$1:$P$133,5,FALSE())</f>
        <v>175</v>
      </c>
      <c r="S323" s="0" t="n">
        <f aca="false">VLOOKUP(B323,'Team Data'!$A$1:$P$133,4,FALSE())</f>
        <v>72</v>
      </c>
      <c r="T323" s="0" t="n">
        <f aca="false">VLOOKUP(B323,'Team Data'!$A$1:$P$133,5,FALSE())</f>
        <v>174</v>
      </c>
      <c r="U323" s="0" t="n">
        <f aca="false">IF(K323=1,(MIN(35,(C323-D323)))*(O323/(O323+P323))*(S323/(S323+T323)),(MAX(-35,(C323-D323)))*(IF(P323=0,0.1,(P323/(O323+P323))))*(T323/(S323+T323)))</f>
        <v>1.83592017738359</v>
      </c>
      <c r="V323" s="0" t="n">
        <f aca="false">IF(L323=1,(MIN(35,(D323-C323)))*(M323/(M323+N323))*(Q323/(Q323+R323)),(MAX(-35,(D323-C323)))*(IF(N323=0,0.1,(N323/(M323+N323))))*(R323/(R323+Q323)))</f>
        <v>-8.92743979721166</v>
      </c>
    </row>
    <row r="324" customFormat="false" ht="15" hidden="false" customHeight="false" outlineLevel="0" collapsed="false">
      <c r="A324" s="0" t="s">
        <v>127</v>
      </c>
      <c r="B324" s="0" t="s">
        <v>102</v>
      </c>
      <c r="C324" s="0" t="n">
        <v>20</v>
      </c>
      <c r="D324" s="0" t="n">
        <v>22</v>
      </c>
      <c r="E324" s="0" t="n">
        <v>149</v>
      </c>
      <c r="F324" s="0" t="n">
        <v>75</v>
      </c>
      <c r="G324" s="0" t="n">
        <v>138</v>
      </c>
      <c r="H324" s="0" t="n">
        <v>277</v>
      </c>
      <c r="I324" s="0" t="n">
        <v>2</v>
      </c>
      <c r="J324" s="0" t="n">
        <v>4</v>
      </c>
      <c r="K324" s="0" t="n">
        <v>0</v>
      </c>
      <c r="L324" s="0" t="n">
        <v>1</v>
      </c>
      <c r="M324" s="0" t="n">
        <f aca="false">VLOOKUP(A324,'Team Data'!$A$1:$P$133,2,FALSE())</f>
        <v>3</v>
      </c>
      <c r="N324" s="0" t="n">
        <f aca="false">VLOOKUP(A324,'Team Data'!$A$1:$P$133,3,FALSE())</f>
        <v>7</v>
      </c>
      <c r="O324" s="0" t="n">
        <f aca="false">VLOOKUP(B324,'Team Data'!$A$1:$P$133,2,FALSE())</f>
        <v>7</v>
      </c>
      <c r="P324" s="0" t="n">
        <f aca="false">VLOOKUP(B324,'Team Data'!$A$1:$P$133,3,FALSE())</f>
        <v>6</v>
      </c>
      <c r="Q324" s="0" t="n">
        <f aca="false">VLOOKUP(A324,'Team Data'!$A$1:$P$133,4,FALSE())</f>
        <v>71</v>
      </c>
      <c r="R324" s="0" t="n">
        <f aca="false">VLOOKUP(A324,'Team Data'!$A$1:$P$133,5,FALSE())</f>
        <v>164</v>
      </c>
      <c r="S324" s="0" t="n">
        <f aca="false">VLOOKUP(B324,'Team Data'!$A$1:$P$133,4,FALSE())</f>
        <v>100</v>
      </c>
      <c r="T324" s="0" t="n">
        <f aca="false">VLOOKUP(B324,'Team Data'!$A$1:$P$133,5,FALSE())</f>
        <v>174</v>
      </c>
      <c r="U324" s="0" t="n">
        <f aca="false">IF(K324=1,(MIN(35,(C324-D324)))*(O324/(O324+P324))*(S324/(S324+T324)),(MAX(-35,(C324-D324)))*(IF(P324=0,0.1,(P324/(O324+P324))))*(T324/(S324+T324)))</f>
        <v>-0.586187535092645</v>
      </c>
      <c r="V324" s="0" t="n">
        <f aca="false">IF(L324=1,(MIN(35,(D324-C324)))*(M324/(M324+N324))*(Q324/(Q324+R324)),(MAX(-35,(D324-C324)))*(IF(N324=0,0.1,(N324/(M324+N324))))*(R324/(R324+Q324)))</f>
        <v>0.181276595744681</v>
      </c>
    </row>
    <row r="325" customFormat="false" ht="15" hidden="false" customHeight="false" outlineLevel="0" collapsed="false">
      <c r="A325" s="0" t="s">
        <v>20</v>
      </c>
      <c r="B325" s="0" t="s">
        <v>37</v>
      </c>
      <c r="C325" s="0" t="n">
        <v>14</v>
      </c>
      <c r="D325" s="0" t="n">
        <v>44</v>
      </c>
      <c r="E325" s="0" t="n">
        <v>95</v>
      </c>
      <c r="F325" s="0" t="n">
        <v>180</v>
      </c>
      <c r="G325" s="0" t="n">
        <v>140</v>
      </c>
      <c r="H325" s="0" t="n">
        <v>350</v>
      </c>
      <c r="I325" s="0" t="n">
        <v>2</v>
      </c>
      <c r="J325" s="0" t="n">
        <v>0</v>
      </c>
      <c r="K325" s="0" t="n">
        <v>0</v>
      </c>
      <c r="L325" s="0" t="n">
        <v>1</v>
      </c>
      <c r="M325" s="0" t="n">
        <f aca="false">VLOOKUP(A325,'Team Data'!$A$1:$P$133,2,FALSE())</f>
        <v>3</v>
      </c>
      <c r="N325" s="0" t="n">
        <f aca="false">VLOOKUP(A325,'Team Data'!$A$1:$P$133,3,FALSE())</f>
        <v>9</v>
      </c>
      <c r="O325" s="0" t="n">
        <f aca="false">VLOOKUP(B325,'Team Data'!$A$1:$P$133,2,FALSE())</f>
        <v>10</v>
      </c>
      <c r="P325" s="0" t="n">
        <f aca="false">VLOOKUP(B325,'Team Data'!$A$1:$P$133,3,FALSE())</f>
        <v>3</v>
      </c>
      <c r="Q325" s="0" t="n">
        <f aca="false">VLOOKUP(A325,'Team Data'!$A$1:$P$133,4,FALSE())</f>
        <v>91</v>
      </c>
      <c r="R325" s="0" t="n">
        <f aca="false">VLOOKUP(A325,'Team Data'!$A$1:$P$133,5,FALSE())</f>
        <v>170</v>
      </c>
      <c r="S325" s="0" t="n">
        <f aca="false">VLOOKUP(B325,'Team Data'!$A$1:$P$133,4,FALSE())</f>
        <v>91</v>
      </c>
      <c r="T325" s="0" t="n">
        <f aca="false">VLOOKUP(B325,'Team Data'!$A$1:$P$133,5,FALSE())</f>
        <v>184</v>
      </c>
      <c r="U325" s="0" t="n">
        <f aca="false">IF(K325=1,(MIN(35,(C325-D325)))*(O325/(O325+P325))*(S325/(S325+T325)),(MAX(-35,(C325-D325)))*(IF(P325=0,0.1,(P325/(O325+P325))))*(T325/(S325+T325)))</f>
        <v>-4.63216783216783</v>
      </c>
      <c r="V325" s="0" t="n">
        <f aca="false">IF(L325=1,(MIN(35,(D325-C325)))*(M325/(M325+N325))*(Q325/(Q325+R325)),(MAX(-35,(D325-C325)))*(IF(N325=0,0.1,(N325/(M325+N325))))*(R325/(R325+Q325)))</f>
        <v>2.61494252873563</v>
      </c>
    </row>
    <row r="326" customFormat="false" ht="15" hidden="false" customHeight="false" outlineLevel="0" collapsed="false">
      <c r="A326" s="0" t="s">
        <v>121</v>
      </c>
      <c r="B326" s="0" t="s">
        <v>59</v>
      </c>
      <c r="C326" s="0" t="n">
        <v>3</v>
      </c>
      <c r="D326" s="0" t="n">
        <v>41</v>
      </c>
      <c r="E326" s="0" t="n">
        <v>48</v>
      </c>
      <c r="F326" s="0" t="n">
        <v>283</v>
      </c>
      <c r="G326" s="0" t="n">
        <v>110</v>
      </c>
      <c r="H326" s="0" t="n">
        <v>259</v>
      </c>
      <c r="I326" s="0" t="n">
        <v>3</v>
      </c>
      <c r="J326" s="0" t="n">
        <v>1</v>
      </c>
      <c r="K326" s="0" t="n">
        <v>0</v>
      </c>
      <c r="L326" s="0" t="n">
        <v>1</v>
      </c>
      <c r="M326" s="0" t="n">
        <f aca="false">VLOOKUP(A326,'Team Data'!$A$1:$P$133,2,FALSE())</f>
        <v>1</v>
      </c>
      <c r="N326" s="0" t="n">
        <f aca="false">VLOOKUP(A326,'Team Data'!$A$1:$P$133,3,FALSE())</f>
        <v>11</v>
      </c>
      <c r="O326" s="0" t="n">
        <f aca="false">VLOOKUP(B326,'Team Data'!$A$1:$P$133,2,FALSE())</f>
        <v>8</v>
      </c>
      <c r="P326" s="0" t="n">
        <f aca="false">VLOOKUP(B326,'Team Data'!$A$1:$P$133,3,FALSE())</f>
        <v>5</v>
      </c>
      <c r="Q326" s="0" t="n">
        <f aca="false">VLOOKUP(A326,'Team Data'!$A$1:$P$133,4,FALSE())</f>
        <v>91</v>
      </c>
      <c r="R326" s="0" t="n">
        <f aca="false">VLOOKUP(A326,'Team Data'!$A$1:$P$133,5,FALSE())</f>
        <v>172</v>
      </c>
      <c r="S326" s="0" t="n">
        <f aca="false">VLOOKUP(B326,'Team Data'!$A$1:$P$133,4,FALSE())</f>
        <v>93</v>
      </c>
      <c r="T326" s="0" t="n">
        <f aca="false">VLOOKUP(B326,'Team Data'!$A$1:$P$133,5,FALSE())</f>
        <v>71</v>
      </c>
      <c r="U326" s="0" t="n">
        <f aca="false">IF(K326=1,(MIN(35,(C326-D326)))*(O326/(O326+P326))*(S326/(S326+T326)),(MAX(-35,(C326-D326)))*(IF(P326=0,0.1,(P326/(O326+P326))))*(T326/(S326+T326)))</f>
        <v>-5.82786116322702</v>
      </c>
      <c r="V326" s="0" t="n">
        <f aca="false">IF(L326=1,(MIN(35,(D326-C326)))*(M326/(M326+N326))*(Q326/(Q326+R326)),(MAX(-35,(D326-C326)))*(IF(N326=0,0.1,(N326/(M326+N326))))*(R326/(R326+Q326)))</f>
        <v>1.00918884664132</v>
      </c>
    </row>
    <row r="327" customFormat="false" ht="15" hidden="false" customHeight="false" outlineLevel="0" collapsed="false">
      <c r="A327" s="0" t="s">
        <v>198</v>
      </c>
      <c r="B327" s="0" t="s">
        <v>91</v>
      </c>
      <c r="C327" s="0" t="n">
        <v>24</v>
      </c>
      <c r="D327" s="0" t="n">
        <v>45</v>
      </c>
      <c r="E327" s="0" t="n">
        <v>63</v>
      </c>
      <c r="F327" s="0" t="n">
        <v>271</v>
      </c>
      <c r="G327" s="0" t="n">
        <v>223</v>
      </c>
      <c r="H327" s="0" t="n">
        <v>189</v>
      </c>
      <c r="I327" s="0" t="n">
        <v>0</v>
      </c>
      <c r="J327" s="0" t="n">
        <v>0</v>
      </c>
      <c r="K327" s="0" t="n">
        <v>0</v>
      </c>
      <c r="L327" s="0" t="n">
        <v>1</v>
      </c>
      <c r="M327" s="0" t="n">
        <f aca="false">VLOOKUP(A327,'Team Data'!$A$1:$P$133,2,FALSE())</f>
        <v>8</v>
      </c>
      <c r="N327" s="0" t="n">
        <f aca="false">VLOOKUP(A327,'Team Data'!$A$1:$P$133,3,FALSE())</f>
        <v>112</v>
      </c>
      <c r="O327" s="0" t="n">
        <f aca="false">VLOOKUP(B327,'Team Data'!$A$1:$P$133,2,FALSE())</f>
        <v>9</v>
      </c>
      <c r="P327" s="0" t="n">
        <f aca="false">VLOOKUP(B327,'Team Data'!$A$1:$P$133,3,FALSE())</f>
        <v>4</v>
      </c>
      <c r="Q327" s="0" t="n">
        <f aca="false">VLOOKUP(A327,'Team Data'!$A$1:$P$133,4,FALSE())</f>
        <v>805</v>
      </c>
      <c r="R327" s="0" t="n">
        <f aca="false">VLOOKUP(A327,'Team Data'!$A$1:$P$133,5,FALSE())</f>
        <v>725</v>
      </c>
      <c r="S327" s="0" t="n">
        <f aca="false">VLOOKUP(B327,'Team Data'!$A$1:$P$133,4,FALSE())</f>
        <v>87</v>
      </c>
      <c r="T327" s="0" t="n">
        <f aca="false">VLOOKUP(B327,'Team Data'!$A$1:$P$133,5,FALSE())</f>
        <v>181</v>
      </c>
      <c r="U327" s="0" t="n">
        <f aca="false">IF(K327=1,(MIN(35,(C327-D327)))*(O327/(O327+P327))*(S327/(S327+T327)),(MAX(-35,(C327-D327)))*(IF(P327=0,0.1,(P327/(O327+P327))))*(T327/(S327+T327)))</f>
        <v>-4.36394948335247</v>
      </c>
      <c r="V327" s="0" t="n">
        <f aca="false">IF(L327=1,(MIN(35,(D327-C327)))*(M327/(M327+N327))*(Q327/(Q327+R327)),(MAX(-35,(D327-C327)))*(IF(N327=0,0.1,(N327/(M327+N327))))*(R327/(R327+Q327)))</f>
        <v>0.736601307189542</v>
      </c>
    </row>
    <row r="328" customFormat="false" ht="15" hidden="false" customHeight="false" outlineLevel="0" collapsed="false">
      <c r="A328" s="0" t="s">
        <v>42</v>
      </c>
      <c r="B328" s="0" t="s">
        <v>115</v>
      </c>
      <c r="C328" s="0" t="n">
        <v>10</v>
      </c>
      <c r="D328" s="0" t="n">
        <v>27</v>
      </c>
      <c r="E328" s="0" t="n">
        <v>124</v>
      </c>
      <c r="F328" s="0" t="n">
        <v>284</v>
      </c>
      <c r="G328" s="0" t="n">
        <v>314</v>
      </c>
      <c r="H328" s="0" t="n">
        <v>49</v>
      </c>
      <c r="I328" s="0" t="n">
        <v>2</v>
      </c>
      <c r="J328" s="0" t="n">
        <v>2</v>
      </c>
      <c r="K328" s="0" t="n">
        <v>0</v>
      </c>
      <c r="L328" s="0" t="n">
        <v>1</v>
      </c>
      <c r="M328" s="0" t="n">
        <f aca="false">VLOOKUP(A328,'Team Data'!$A$1:$P$133,2,FALSE())</f>
        <v>5</v>
      </c>
      <c r="N328" s="0" t="n">
        <f aca="false">VLOOKUP(A328,'Team Data'!$A$1:$P$133,3,FALSE())</f>
        <v>7</v>
      </c>
      <c r="O328" s="0" t="n">
        <f aca="false">VLOOKUP(B328,'Team Data'!$A$1:$P$133,2,FALSE())</f>
        <v>9</v>
      </c>
      <c r="P328" s="0" t="n">
        <f aca="false">VLOOKUP(B328,'Team Data'!$A$1:$P$133,3,FALSE())</f>
        <v>5</v>
      </c>
      <c r="Q328" s="0" t="n">
        <f aca="false">VLOOKUP(A328,'Team Data'!$A$1:$P$133,4,FALSE())</f>
        <v>99</v>
      </c>
      <c r="R328" s="0" t="n">
        <f aca="false">VLOOKUP(A328,'Team Data'!$A$1:$P$133,5,FALSE())</f>
        <v>163</v>
      </c>
      <c r="S328" s="0" t="n">
        <f aca="false">VLOOKUP(B328,'Team Data'!$A$1:$P$133,4,FALSE())</f>
        <v>98</v>
      </c>
      <c r="T328" s="0" t="n">
        <f aca="false">VLOOKUP(B328,'Team Data'!$A$1:$P$133,5,FALSE())</f>
        <v>188</v>
      </c>
      <c r="U328" s="0" t="n">
        <f aca="false">IF(K328=1,(MIN(35,(C328-D328)))*(O328/(O328+P328))*(S328/(S328+T328)),(MAX(-35,(C328-D328)))*(IF(P328=0,0.1,(P328/(O328+P328))))*(T328/(S328+T328)))</f>
        <v>-3.99100899100899</v>
      </c>
      <c r="V328" s="0" t="n">
        <f aca="false">IF(L328=1,(MIN(35,(D328-C328)))*(M328/(M328+N328))*(Q328/(Q328+R328)),(MAX(-35,(D328-C328)))*(IF(N328=0,0.1,(N328/(M328+N328))))*(R328/(R328+Q328)))</f>
        <v>2.67652671755725</v>
      </c>
    </row>
    <row r="329" customFormat="false" ht="15" hidden="false" customHeight="false" outlineLevel="0" collapsed="false">
      <c r="A329" s="0" t="s">
        <v>27</v>
      </c>
      <c r="B329" s="0" t="s">
        <v>129</v>
      </c>
      <c r="C329" s="0" t="n">
        <v>51</v>
      </c>
      <c r="D329" s="0" t="n">
        <v>45</v>
      </c>
      <c r="E329" s="0" t="n">
        <v>188</v>
      </c>
      <c r="F329" s="0" t="n">
        <v>110</v>
      </c>
      <c r="G329" s="0" t="n">
        <v>371</v>
      </c>
      <c r="H329" s="0" t="n">
        <v>337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f aca="false">VLOOKUP(A329,'Team Data'!$A$1:$P$133,2,FALSE())</f>
        <v>11</v>
      </c>
      <c r="N329" s="0" t="n">
        <f aca="false">VLOOKUP(A329,'Team Data'!$A$1:$P$133,3,FALSE())</f>
        <v>3</v>
      </c>
      <c r="O329" s="0" t="n">
        <f aca="false">VLOOKUP(B329,'Team Data'!$A$1:$P$133,2,FALSE())</f>
        <v>8</v>
      </c>
      <c r="P329" s="0" t="n">
        <f aca="false">VLOOKUP(B329,'Team Data'!$A$1:$P$133,3,FALSE())</f>
        <v>5</v>
      </c>
      <c r="Q329" s="0" t="n">
        <f aca="false">VLOOKUP(A329,'Team Data'!$A$1:$P$133,4,FALSE())</f>
        <v>102</v>
      </c>
      <c r="R329" s="0" t="n">
        <f aca="false">VLOOKUP(A329,'Team Data'!$A$1:$P$133,5,FALSE())</f>
        <v>184</v>
      </c>
      <c r="S329" s="0" t="n">
        <f aca="false">VLOOKUP(B329,'Team Data'!$A$1:$P$133,4,FALSE())</f>
        <v>98</v>
      </c>
      <c r="T329" s="0" t="n">
        <f aca="false">VLOOKUP(B329,'Team Data'!$A$1:$P$133,5,FALSE())</f>
        <v>177</v>
      </c>
      <c r="U329" s="0" t="n">
        <f aca="false">IF(K329=1,(MIN(35,(C329-D329)))*(O329/(O329+P329))*(S329/(S329+T329)),(MAX(-35,(C329-D329)))*(IF(P329=0,0.1,(P329/(O329+P329))))*(T329/(S329+T329)))</f>
        <v>1.3158041958042</v>
      </c>
      <c r="V329" s="0" t="n">
        <f aca="false">IF(L329=1,(MIN(35,(D329-C329)))*(M329/(M329+N329))*(Q329/(Q329+R329)),(MAX(-35,(D329-C329)))*(IF(N329=0,0.1,(N329/(M329+N329))))*(R329/(R329+Q329)))</f>
        <v>-0.827172827172827</v>
      </c>
    </row>
    <row r="330" customFormat="false" ht="15" hidden="false" customHeight="false" outlineLevel="0" collapsed="false">
      <c r="A330" s="0" t="s">
        <v>118</v>
      </c>
      <c r="B330" s="0" t="s">
        <v>104</v>
      </c>
      <c r="C330" s="0" t="n">
        <v>0</v>
      </c>
      <c r="D330" s="0" t="n">
        <v>28</v>
      </c>
      <c r="E330" s="0" t="n">
        <v>179</v>
      </c>
      <c r="F330" s="0" t="n">
        <v>107</v>
      </c>
      <c r="G330" s="0" t="n">
        <v>80</v>
      </c>
      <c r="H330" s="0" t="n">
        <v>206</v>
      </c>
      <c r="I330" s="0" t="n">
        <v>2</v>
      </c>
      <c r="J330" s="0" t="n">
        <v>4</v>
      </c>
      <c r="K330" s="0" t="n">
        <v>0</v>
      </c>
      <c r="L330" s="0" t="n">
        <v>1</v>
      </c>
      <c r="M330" s="0" t="n">
        <f aca="false">VLOOKUP(A330,'Team Data'!$A$1:$P$133,2,FALSE())</f>
        <v>1</v>
      </c>
      <c r="N330" s="0" t="n">
        <f aca="false">VLOOKUP(A330,'Team Data'!$A$1:$P$133,3,FALSE())</f>
        <v>11</v>
      </c>
      <c r="O330" s="0" t="n">
        <f aca="false">VLOOKUP(B330,'Team Data'!$A$1:$P$133,2,FALSE())</f>
        <v>3</v>
      </c>
      <c r="P330" s="0" t="n">
        <f aca="false">VLOOKUP(B330,'Team Data'!$A$1:$P$133,3,FALSE())</f>
        <v>9</v>
      </c>
      <c r="Q330" s="0" t="n">
        <f aca="false">VLOOKUP(A330,'Team Data'!$A$1:$P$133,4,FALSE())</f>
        <v>83</v>
      </c>
      <c r="R330" s="0" t="n">
        <f aca="false">VLOOKUP(A330,'Team Data'!$A$1:$P$133,5,FALSE())</f>
        <v>178</v>
      </c>
      <c r="S330" s="0" t="n">
        <f aca="false">VLOOKUP(B330,'Team Data'!$A$1:$P$133,4,FALSE())</f>
        <v>73</v>
      </c>
      <c r="T330" s="0" t="n">
        <f aca="false">VLOOKUP(B330,'Team Data'!$A$1:$P$133,5,FALSE())</f>
        <v>186</v>
      </c>
      <c r="U330" s="0" t="n">
        <f aca="false">IF(K330=1,(MIN(35,(C330-D330)))*(O330/(O330+P330))*(S330/(S330+T330)),(MAX(-35,(C330-D330)))*(IF(P330=0,0.1,(P330/(O330+P330))))*(T330/(S330+T330)))</f>
        <v>-15.0810810810811</v>
      </c>
      <c r="V330" s="0" t="n">
        <f aca="false">IF(L330=1,(MIN(35,(D330-C330)))*(M330/(M330+N330))*(Q330/(Q330+R330)),(MAX(-35,(D330-C330)))*(IF(N330=0,0.1,(N330/(M330+N330))))*(R330/(R330+Q330)))</f>
        <v>0.742017879948914</v>
      </c>
    </row>
    <row r="331" customFormat="false" ht="15" hidden="false" customHeight="false" outlineLevel="0" collapsed="false">
      <c r="A331" s="0" t="s">
        <v>49</v>
      </c>
      <c r="B331" s="0" t="s">
        <v>9</v>
      </c>
      <c r="C331" s="0" t="n">
        <v>32</v>
      </c>
      <c r="D331" s="0" t="n">
        <v>28</v>
      </c>
      <c r="E331" s="0" t="n">
        <v>172</v>
      </c>
      <c r="F331" s="0" t="n">
        <v>63</v>
      </c>
      <c r="G331" s="0" t="n">
        <v>204</v>
      </c>
      <c r="H331" s="0" t="n">
        <v>235</v>
      </c>
      <c r="I331" s="0" t="n">
        <v>2</v>
      </c>
      <c r="J331" s="0" t="n">
        <v>2</v>
      </c>
      <c r="K331" s="0" t="n">
        <v>1</v>
      </c>
      <c r="L331" s="0" t="n">
        <v>0</v>
      </c>
      <c r="M331" s="0" t="n">
        <f aca="false">VLOOKUP(A331,'Team Data'!$A$1:$P$133,2,FALSE())</f>
        <v>8</v>
      </c>
      <c r="N331" s="0" t="n">
        <f aca="false">VLOOKUP(A331,'Team Data'!$A$1:$P$133,3,FALSE())</f>
        <v>3</v>
      </c>
      <c r="O331" s="0" t="n">
        <f aca="false">VLOOKUP(B331,'Team Data'!$A$1:$P$133,2,FALSE())</f>
        <v>6</v>
      </c>
      <c r="P331" s="0" t="n">
        <f aca="false">VLOOKUP(B331,'Team Data'!$A$1:$P$133,3,FALSE())</f>
        <v>6</v>
      </c>
      <c r="Q331" s="0" t="n">
        <f aca="false">VLOOKUP(A331,'Team Data'!$A$1:$P$133,4,FALSE())</f>
        <v>68</v>
      </c>
      <c r="R331" s="0" t="n">
        <f aca="false">VLOOKUP(A331,'Team Data'!$A$1:$P$133,5,FALSE())</f>
        <v>177</v>
      </c>
      <c r="S331" s="0" t="n">
        <f aca="false">VLOOKUP(B331,'Team Data'!$A$1:$P$133,4,FALSE())</f>
        <v>85</v>
      </c>
      <c r="T331" s="0" t="n">
        <f aca="false">VLOOKUP(B331,'Team Data'!$A$1:$P$133,5,FALSE())</f>
        <v>281</v>
      </c>
      <c r="U331" s="0" t="n">
        <f aca="false">IF(K331=1,(MIN(35,(C331-D331)))*(O331/(O331+P331))*(S331/(S331+T331)),(MAX(-35,(C331-D331)))*(IF(P331=0,0.1,(P331/(O331+P331))))*(T331/(S331+T331)))</f>
        <v>0.46448087431694</v>
      </c>
      <c r="V331" s="0" t="n">
        <f aca="false">IF(L331=1,(MIN(35,(D331-C331)))*(M331/(M331+N331))*(Q331/(Q331+R331)),(MAX(-35,(D331-C331)))*(IF(N331=0,0.1,(N331/(M331+N331))))*(R331/(R331+Q331)))</f>
        <v>-0.788126159554731</v>
      </c>
    </row>
    <row r="332" customFormat="false" ht="15" hidden="false" customHeight="false" outlineLevel="0" collapsed="false">
      <c r="A332" s="0" t="s">
        <v>100</v>
      </c>
      <c r="B332" s="0" t="s">
        <v>112</v>
      </c>
      <c r="C332" s="0" t="n">
        <v>27</v>
      </c>
      <c r="D332" s="0" t="n">
        <v>24</v>
      </c>
      <c r="E332" s="0" t="n">
        <v>59</v>
      </c>
      <c r="F332" s="0" t="n">
        <v>204</v>
      </c>
      <c r="G332" s="0" t="n">
        <v>194</v>
      </c>
      <c r="H332" s="0" t="n">
        <v>247</v>
      </c>
      <c r="I332" s="0" t="n">
        <v>0</v>
      </c>
      <c r="J332" s="0" t="n">
        <v>1</v>
      </c>
      <c r="K332" s="0" t="n">
        <v>1</v>
      </c>
      <c r="L332" s="0" t="n">
        <v>0</v>
      </c>
      <c r="M332" s="0" t="n">
        <f aca="false">VLOOKUP(A332,'Team Data'!$A$1:$P$133,2,FALSE())</f>
        <v>7</v>
      </c>
      <c r="N332" s="0" t="n">
        <f aca="false">VLOOKUP(A332,'Team Data'!$A$1:$P$133,3,FALSE())</f>
        <v>6</v>
      </c>
      <c r="O332" s="0" t="n">
        <f aca="false">VLOOKUP(B332,'Team Data'!$A$1:$P$133,2,FALSE())</f>
        <v>12</v>
      </c>
      <c r="P332" s="0" t="n">
        <f aca="false">VLOOKUP(B332,'Team Data'!$A$1:$P$133,3,FALSE())</f>
        <v>2</v>
      </c>
      <c r="Q332" s="0" t="n">
        <f aca="false">VLOOKUP(A332,'Team Data'!$A$1:$P$133,4,FALSE())</f>
        <v>90</v>
      </c>
      <c r="R332" s="0" t="n">
        <f aca="false">VLOOKUP(A332,'Team Data'!$A$1:$P$133,5,FALSE())</f>
        <v>183</v>
      </c>
      <c r="S332" s="0" t="n">
        <f aca="false">VLOOKUP(B332,'Team Data'!$A$1:$P$133,4,FALSE())</f>
        <v>100</v>
      </c>
      <c r="T332" s="0" t="n">
        <f aca="false">VLOOKUP(B332,'Team Data'!$A$1:$P$133,5,FALSE())</f>
        <v>190</v>
      </c>
      <c r="U332" s="0" t="n">
        <f aca="false">IF(K332=1,(MIN(35,(C332-D332)))*(O332/(O332+P332))*(S332/(S332+T332)),(MAX(-35,(C332-D332)))*(IF(P332=0,0.1,(P332/(O332+P332))))*(T332/(S332+T332)))</f>
        <v>0.886699507389163</v>
      </c>
      <c r="V332" s="0" t="n">
        <f aca="false">IF(L332=1,(MIN(35,(D332-C332)))*(M332/(M332+N332))*(Q332/(Q332+R332)),(MAX(-35,(D332-C332)))*(IF(N332=0,0.1,(N332/(M332+N332))))*(R332/(R332+Q332)))</f>
        <v>-0.92814877430262</v>
      </c>
    </row>
    <row r="333" customFormat="false" ht="15" hidden="false" customHeight="false" outlineLevel="0" collapsed="false">
      <c r="A333" s="0" t="s">
        <v>74</v>
      </c>
      <c r="B333" s="0" t="s">
        <v>6</v>
      </c>
      <c r="C333" s="0" t="n">
        <v>20</v>
      </c>
      <c r="D333" s="0" t="n">
        <v>48</v>
      </c>
      <c r="E333" s="0" t="n">
        <v>112</v>
      </c>
      <c r="F333" s="0" t="n">
        <v>461</v>
      </c>
      <c r="G333" s="0" t="n">
        <v>130</v>
      </c>
      <c r="H333" s="0" t="n">
        <v>80</v>
      </c>
      <c r="I333" s="0" t="n">
        <v>0</v>
      </c>
      <c r="J333" s="0" t="n">
        <v>0</v>
      </c>
      <c r="K333" s="0" t="n">
        <v>0</v>
      </c>
      <c r="L333" s="0" t="n">
        <v>1</v>
      </c>
      <c r="M333" s="0" t="n">
        <f aca="false">VLOOKUP(A333,'Team Data'!$A$1:$P$133,2,FALSE())</f>
        <v>2</v>
      </c>
      <c r="N333" s="0" t="n">
        <f aca="false">VLOOKUP(A333,'Team Data'!$A$1:$P$133,3,FALSE())</f>
        <v>10</v>
      </c>
      <c r="O333" s="0" t="n">
        <f aca="false">VLOOKUP(B333,'Team Data'!$A$1:$P$133,2,FALSE())</f>
        <v>10</v>
      </c>
      <c r="P333" s="0" t="n">
        <f aca="false">VLOOKUP(B333,'Team Data'!$A$1:$P$133,3,FALSE())</f>
        <v>3</v>
      </c>
      <c r="Q333" s="0" t="n">
        <f aca="false">VLOOKUP(A333,'Team Data'!$A$1:$P$133,4,FALSE())</f>
        <v>82</v>
      </c>
      <c r="R333" s="0" t="n">
        <f aca="false">VLOOKUP(A333,'Team Data'!$A$1:$P$133,5,FALSE())</f>
        <v>179</v>
      </c>
      <c r="S333" s="0" t="n">
        <f aca="false">VLOOKUP(B333,'Team Data'!$A$1:$P$133,4,FALSE())</f>
        <v>67</v>
      </c>
      <c r="T333" s="0" t="n">
        <f aca="false">VLOOKUP(B333,'Team Data'!$A$1:$P$133,5,FALSE())</f>
        <v>203</v>
      </c>
      <c r="U333" s="0" t="n">
        <f aca="false">IF(K333=1,(MIN(35,(C333-D333)))*(O333/(O333+P333))*(S333/(S333+T333)),(MAX(-35,(C333-D333)))*(IF(P333=0,0.1,(P333/(O333+P333))))*(T333/(S333+T333)))</f>
        <v>-4.85811965811966</v>
      </c>
      <c r="V333" s="0" t="n">
        <f aca="false">IF(L333=1,(MIN(35,(D333-C333)))*(M333/(M333+N333))*(Q333/(Q333+R333)),(MAX(-35,(D333-C333)))*(IF(N333=0,0.1,(N333/(M333+N333))))*(R333/(R333+Q333)))</f>
        <v>1.4661558109834</v>
      </c>
    </row>
    <row r="334" customFormat="false" ht="15" hidden="false" customHeight="false" outlineLevel="0" collapsed="false">
      <c r="A334" s="0" t="s">
        <v>198</v>
      </c>
      <c r="B334" s="0" t="s">
        <v>30</v>
      </c>
      <c r="C334" s="0" t="n">
        <v>41</v>
      </c>
      <c r="D334" s="0" t="n">
        <v>10</v>
      </c>
      <c r="E334" s="0" t="n">
        <v>160</v>
      </c>
      <c r="F334" s="0" t="n">
        <v>75</v>
      </c>
      <c r="G334" s="0" t="n">
        <v>235</v>
      </c>
      <c r="H334" s="0" t="n">
        <v>178</v>
      </c>
      <c r="I334" s="0" t="n">
        <v>1</v>
      </c>
      <c r="J334" s="0" t="n">
        <v>1</v>
      </c>
      <c r="K334" s="0" t="n">
        <v>1</v>
      </c>
      <c r="L334" s="0" t="n">
        <v>0</v>
      </c>
      <c r="M334" s="0" t="n">
        <f aca="false">VLOOKUP(A334,'Team Data'!$A$1:$P$133,2,FALSE())</f>
        <v>8</v>
      </c>
      <c r="N334" s="0" t="n">
        <f aca="false">VLOOKUP(A334,'Team Data'!$A$1:$P$133,3,FALSE())</f>
        <v>112</v>
      </c>
      <c r="O334" s="0" t="n">
        <f aca="false">VLOOKUP(B334,'Team Data'!$A$1:$P$133,2,FALSE())</f>
        <v>3</v>
      </c>
      <c r="P334" s="0" t="n">
        <f aca="false">VLOOKUP(B334,'Team Data'!$A$1:$P$133,3,FALSE())</f>
        <v>9</v>
      </c>
      <c r="Q334" s="0" t="n">
        <f aca="false">VLOOKUP(A334,'Team Data'!$A$1:$P$133,4,FALSE())</f>
        <v>805</v>
      </c>
      <c r="R334" s="0" t="n">
        <f aca="false">VLOOKUP(A334,'Team Data'!$A$1:$P$133,5,FALSE())</f>
        <v>725</v>
      </c>
      <c r="S334" s="0" t="n">
        <f aca="false">VLOOKUP(B334,'Team Data'!$A$1:$P$133,4,FALSE())</f>
        <v>83</v>
      </c>
      <c r="T334" s="0" t="n">
        <f aca="false">VLOOKUP(B334,'Team Data'!$A$1:$P$133,5,FALSE())</f>
        <v>179</v>
      </c>
      <c r="U334" s="0" t="n">
        <f aca="false">IF(K334=1,(MIN(35,(C334-D334)))*(O334/(O334+P334))*(S334/(S334+T334)),(MAX(-35,(C334-D334)))*(IF(P334=0,0.1,(P334/(O334+P334))))*(T334/(S334+T334)))</f>
        <v>2.45515267175573</v>
      </c>
      <c r="V334" s="0" t="n">
        <f aca="false">IF(L334=1,(MIN(35,(D334-C334)))*(M334/(M334+N334))*(Q334/(Q334+R334)),(MAX(-35,(D334-C334)))*(IF(N334=0,0.1,(N334/(M334+N334))))*(R334/(R334+Q334)))</f>
        <v>-13.7102396514161</v>
      </c>
    </row>
    <row r="335" customFormat="false" ht="15" hidden="false" customHeight="false" outlineLevel="0" collapsed="false">
      <c r="A335" s="0" t="s">
        <v>119</v>
      </c>
      <c r="B335" s="0" t="s">
        <v>125</v>
      </c>
      <c r="C335" s="0" t="n">
        <v>34</v>
      </c>
      <c r="D335" s="0" t="n">
        <v>24</v>
      </c>
      <c r="E335" s="0" t="n">
        <v>103</v>
      </c>
      <c r="F335" s="0" t="n">
        <v>96</v>
      </c>
      <c r="G335" s="0" t="n">
        <v>217</v>
      </c>
      <c r="H335" s="0" t="n">
        <v>325</v>
      </c>
      <c r="I335" s="0" t="n">
        <v>0</v>
      </c>
      <c r="J335" s="0" t="n">
        <v>6</v>
      </c>
      <c r="K335" s="0" t="n">
        <v>1</v>
      </c>
      <c r="L335" s="0" t="n">
        <v>0</v>
      </c>
      <c r="M335" s="0" t="n">
        <f aca="false">VLOOKUP(A335,'Team Data'!$A$1:$P$133,2,FALSE())</f>
        <v>5</v>
      </c>
      <c r="N335" s="0" t="n">
        <f aca="false">VLOOKUP(A335,'Team Data'!$A$1:$P$133,3,FALSE())</f>
        <v>7</v>
      </c>
      <c r="O335" s="0" t="n">
        <f aca="false">VLOOKUP(B335,'Team Data'!$A$1:$P$133,2,FALSE())</f>
        <v>6</v>
      </c>
      <c r="P335" s="0" t="n">
        <f aca="false">VLOOKUP(B335,'Team Data'!$A$1:$P$133,3,FALSE())</f>
        <v>7</v>
      </c>
      <c r="Q335" s="0" t="n">
        <f aca="false">VLOOKUP(A335,'Team Data'!$A$1:$P$133,4,FALSE())</f>
        <v>75</v>
      </c>
      <c r="R335" s="0" t="n">
        <f aca="false">VLOOKUP(A335,'Team Data'!$A$1:$P$133,5,FALSE())</f>
        <v>186</v>
      </c>
      <c r="S335" s="0" t="n">
        <f aca="false">VLOOKUP(B335,'Team Data'!$A$1:$P$133,4,FALSE())</f>
        <v>87</v>
      </c>
      <c r="T335" s="0" t="n">
        <f aca="false">VLOOKUP(B335,'Team Data'!$A$1:$P$133,5,FALSE())</f>
        <v>186</v>
      </c>
      <c r="U335" s="0" t="n">
        <f aca="false">IF(K335=1,(MIN(35,(C335-D335)))*(O335/(O335+P335))*(S335/(S335+T335)),(MAX(-35,(C335-D335)))*(IF(P335=0,0.1,(P335/(O335+P335))))*(T335/(S335+T335)))</f>
        <v>1.47083685545224</v>
      </c>
      <c r="V335" s="0" t="n">
        <f aca="false">IF(L335=1,(MIN(35,(D335-C335)))*(M335/(M335+N335))*(Q335/(Q335+R335)),(MAX(-35,(D335-C335)))*(IF(N335=0,0.1,(N335/(M335+N335))))*(R335/(R335+Q335)))</f>
        <v>-4.15708812260537</v>
      </c>
    </row>
    <row r="336" customFormat="false" ht="15" hidden="false" customHeight="false" outlineLevel="0" collapsed="false">
      <c r="A336" s="0" t="s">
        <v>136</v>
      </c>
      <c r="B336" s="0" t="s">
        <v>16</v>
      </c>
      <c r="C336" s="0" t="n">
        <v>24</v>
      </c>
      <c r="D336" s="0" t="n">
        <v>38</v>
      </c>
      <c r="E336" s="0" t="n">
        <v>124</v>
      </c>
      <c r="F336" s="0" t="n">
        <v>188</v>
      </c>
      <c r="G336" s="0" t="n">
        <v>154</v>
      </c>
      <c r="H336" s="0" t="n">
        <v>337</v>
      </c>
      <c r="I336" s="0" t="n">
        <v>0</v>
      </c>
      <c r="J336" s="0" t="n">
        <v>0</v>
      </c>
      <c r="K336" s="0" t="n">
        <v>0</v>
      </c>
      <c r="L336" s="0" t="n">
        <v>1</v>
      </c>
      <c r="M336" s="0" t="n">
        <f aca="false">VLOOKUP(A336,'Team Data'!$A$1:$P$133,2,FALSE())</f>
        <v>7</v>
      </c>
      <c r="N336" s="0" t="n">
        <f aca="false">VLOOKUP(A336,'Team Data'!$A$1:$P$133,3,FALSE())</f>
        <v>6</v>
      </c>
      <c r="O336" s="0" t="n">
        <f aca="false">VLOOKUP(B336,'Team Data'!$A$1:$P$133,2,FALSE())</f>
        <v>8</v>
      </c>
      <c r="P336" s="0" t="n">
        <f aca="false">VLOOKUP(B336,'Team Data'!$A$1:$P$133,3,FALSE())</f>
        <v>5</v>
      </c>
      <c r="Q336" s="0" t="n">
        <f aca="false">VLOOKUP(A336,'Team Data'!$A$1:$P$133,4,FALSE())</f>
        <v>90</v>
      </c>
      <c r="R336" s="0" t="n">
        <f aca="false">VLOOKUP(A336,'Team Data'!$A$1:$P$133,5,FALSE())</f>
        <v>185</v>
      </c>
      <c r="S336" s="0" t="n">
        <f aca="false">VLOOKUP(B336,'Team Data'!$A$1:$P$133,4,FALSE())</f>
        <v>90</v>
      </c>
      <c r="T336" s="0" t="n">
        <f aca="false">VLOOKUP(B336,'Team Data'!$A$1:$P$133,5,FALSE())</f>
        <v>185</v>
      </c>
      <c r="U336" s="0" t="n">
        <f aca="false">IF(K336=1,(MIN(35,(C336-D336)))*(O336/(O336+P336))*(S336/(S336+T336)),(MAX(-35,(C336-D336)))*(IF(P336=0,0.1,(P336/(O336+P336))))*(T336/(S336+T336)))</f>
        <v>-3.62237762237762</v>
      </c>
      <c r="V336" s="0" t="n">
        <f aca="false">IF(L336=1,(MIN(35,(D336-C336)))*(M336/(M336+N336))*(Q336/(Q336+R336)),(MAX(-35,(D336-C336)))*(IF(N336=0,0.1,(N336/(M336+N336))))*(R336/(R336+Q336)))</f>
        <v>2.46713286713287</v>
      </c>
    </row>
    <row r="337" customFormat="false" ht="15" hidden="false" customHeight="false" outlineLevel="0" collapsed="false">
      <c r="A337" s="0" t="s">
        <v>110</v>
      </c>
      <c r="B337" s="0" t="s">
        <v>96</v>
      </c>
      <c r="C337" s="0" t="n">
        <v>14</v>
      </c>
      <c r="D337" s="0" t="n">
        <v>17</v>
      </c>
      <c r="E337" s="0" t="n">
        <v>122</v>
      </c>
      <c r="F337" s="0" t="n">
        <v>217</v>
      </c>
      <c r="G337" s="0" t="n">
        <v>254</v>
      </c>
      <c r="H337" s="0" t="n">
        <v>65</v>
      </c>
      <c r="I337" s="0" t="n">
        <v>4</v>
      </c>
      <c r="J337" s="0" t="n">
        <v>1</v>
      </c>
      <c r="K337" s="0" t="n">
        <v>0</v>
      </c>
      <c r="L337" s="0" t="n">
        <v>1</v>
      </c>
      <c r="M337" s="0" t="n">
        <f aca="false">VLOOKUP(A337,'Team Data'!$A$1:$P$133,2,FALSE())</f>
        <v>9</v>
      </c>
      <c r="N337" s="0" t="n">
        <f aca="false">VLOOKUP(A337,'Team Data'!$A$1:$P$133,3,FALSE())</f>
        <v>5</v>
      </c>
      <c r="O337" s="0" t="n">
        <f aca="false">VLOOKUP(B337,'Team Data'!$A$1:$P$133,2,FALSE())</f>
        <v>7</v>
      </c>
      <c r="P337" s="0" t="n">
        <f aca="false">VLOOKUP(B337,'Team Data'!$A$1:$P$133,3,FALSE())</f>
        <v>6</v>
      </c>
      <c r="Q337" s="0" t="n">
        <f aca="false">VLOOKUP(A337,'Team Data'!$A$1:$P$133,4,FALSE())</f>
        <v>89</v>
      </c>
      <c r="R337" s="0" t="n">
        <f aca="false">VLOOKUP(A337,'Team Data'!$A$1:$P$133,5,FALSE())</f>
        <v>195</v>
      </c>
      <c r="S337" s="0" t="n">
        <f aca="false">VLOOKUP(B337,'Team Data'!$A$1:$P$133,4,FALSE())</f>
        <v>89</v>
      </c>
      <c r="T337" s="0" t="n">
        <f aca="false">VLOOKUP(B337,'Team Data'!$A$1:$P$133,5,FALSE())</f>
        <v>186</v>
      </c>
      <c r="U337" s="0" t="n">
        <f aca="false">IF(K337=1,(MIN(35,(C337-D337)))*(O337/(O337+P337))*(S337/(S337+T337)),(MAX(-35,(C337-D337)))*(IF(P337=0,0.1,(P337/(O337+P337))))*(T337/(S337+T337)))</f>
        <v>-0.936503496503497</v>
      </c>
      <c r="V337" s="0" t="n">
        <f aca="false">IF(L337=1,(MIN(35,(D337-C337)))*(M337/(M337+N337))*(Q337/(Q337+R337)),(MAX(-35,(D337-C337)))*(IF(N337=0,0.1,(N337/(M337+N337))))*(R337/(R337+Q337)))</f>
        <v>0.604376257545272</v>
      </c>
    </row>
    <row r="338" customFormat="false" ht="15" hidden="false" customHeight="false" outlineLevel="0" collapsed="false">
      <c r="A338" s="0" t="s">
        <v>134</v>
      </c>
      <c r="B338" s="0" t="s">
        <v>97</v>
      </c>
      <c r="C338" s="0" t="n">
        <v>6</v>
      </c>
      <c r="D338" s="0" t="n">
        <v>34</v>
      </c>
      <c r="E338" s="0" t="n">
        <v>130</v>
      </c>
      <c r="F338" s="0" t="n">
        <v>128</v>
      </c>
      <c r="G338" s="0" t="n">
        <v>71</v>
      </c>
      <c r="H338" s="0" t="n">
        <v>269</v>
      </c>
      <c r="I338" s="0" t="n">
        <v>1</v>
      </c>
      <c r="J338" s="0" t="n">
        <v>1</v>
      </c>
      <c r="K338" s="0" t="n">
        <v>0</v>
      </c>
      <c r="L338" s="0" t="n">
        <v>1</v>
      </c>
      <c r="M338" s="0" t="n">
        <f aca="false">VLOOKUP(A338,'Team Data'!$A$1:$P$133,2,FALSE())</f>
        <v>5</v>
      </c>
      <c r="N338" s="0" t="n">
        <f aca="false">VLOOKUP(A338,'Team Data'!$A$1:$P$133,3,FALSE())</f>
        <v>7</v>
      </c>
      <c r="O338" s="0" t="n">
        <f aca="false">VLOOKUP(B338,'Team Data'!$A$1:$P$133,2,FALSE())</f>
        <v>7</v>
      </c>
      <c r="P338" s="0" t="n">
        <f aca="false">VLOOKUP(B338,'Team Data'!$A$1:$P$133,3,FALSE())</f>
        <v>5</v>
      </c>
      <c r="Q338" s="0" t="n">
        <f aca="false">VLOOKUP(A338,'Team Data'!$A$1:$P$133,4,FALSE())</f>
        <v>81</v>
      </c>
      <c r="R338" s="0" t="n">
        <f aca="false">VLOOKUP(A338,'Team Data'!$A$1:$P$133,5,FALSE())</f>
        <v>179</v>
      </c>
      <c r="S338" s="0" t="n">
        <f aca="false">VLOOKUP(B338,'Team Data'!$A$1:$P$133,4,FALSE())</f>
        <v>70</v>
      </c>
      <c r="T338" s="0" t="n">
        <f aca="false">VLOOKUP(B338,'Team Data'!$A$1:$P$133,5,FALSE())</f>
        <v>189</v>
      </c>
      <c r="U338" s="0" t="n">
        <f aca="false">IF(K338=1,(MIN(35,(C338-D338)))*(O338/(O338+P338))*(S338/(S338+T338)),(MAX(-35,(C338-D338)))*(IF(P338=0,0.1,(P338/(O338+P338))))*(T338/(S338+T338)))</f>
        <v>-8.51351351351351</v>
      </c>
      <c r="V338" s="0" t="n">
        <f aca="false">IF(L338=1,(MIN(35,(D338-C338)))*(M338/(M338+N338))*(Q338/(Q338+R338)),(MAX(-35,(D338-C338)))*(IF(N338=0,0.1,(N338/(M338+N338))))*(R338/(R338+Q338)))</f>
        <v>3.63461538461539</v>
      </c>
    </row>
    <row r="339" customFormat="false" ht="15" hidden="false" customHeight="false" outlineLevel="0" collapsed="false">
      <c r="A339" s="0" t="s">
        <v>72</v>
      </c>
      <c r="B339" s="0" t="s">
        <v>32</v>
      </c>
      <c r="C339" s="0" t="n">
        <v>23</v>
      </c>
      <c r="D339" s="0" t="n">
        <v>20</v>
      </c>
      <c r="E339" s="0" t="n">
        <v>191</v>
      </c>
      <c r="F339" s="0" t="n">
        <v>103</v>
      </c>
      <c r="G339" s="0" t="n">
        <v>152</v>
      </c>
      <c r="H339" s="0" t="n">
        <v>267</v>
      </c>
      <c r="I339" s="0" t="n">
        <v>1</v>
      </c>
      <c r="J339" s="0" t="n">
        <v>2</v>
      </c>
      <c r="K339" s="0" t="n">
        <v>1</v>
      </c>
      <c r="L339" s="0" t="n">
        <v>0</v>
      </c>
      <c r="M339" s="0" t="n">
        <f aca="false">VLOOKUP(A339,'Team Data'!$A$1:$P$133,2,FALSE())</f>
        <v>4</v>
      </c>
      <c r="N339" s="0" t="n">
        <f aca="false">VLOOKUP(A339,'Team Data'!$A$1:$P$133,3,FALSE())</f>
        <v>8</v>
      </c>
      <c r="O339" s="0" t="n">
        <f aca="false">VLOOKUP(B339,'Team Data'!$A$1:$P$133,2,FALSE())</f>
        <v>8</v>
      </c>
      <c r="P339" s="0" t="n">
        <f aca="false">VLOOKUP(B339,'Team Data'!$A$1:$P$133,3,FALSE())</f>
        <v>5</v>
      </c>
      <c r="Q339" s="0" t="n">
        <f aca="false">VLOOKUP(A339,'Team Data'!$A$1:$P$133,4,FALSE())</f>
        <v>89</v>
      </c>
      <c r="R339" s="0" t="n">
        <f aca="false">VLOOKUP(A339,'Team Data'!$A$1:$P$133,5,FALSE())</f>
        <v>172</v>
      </c>
      <c r="S339" s="0" t="n">
        <f aca="false">VLOOKUP(B339,'Team Data'!$A$1:$P$133,4,FALSE())</f>
        <v>89</v>
      </c>
      <c r="T339" s="0" t="n">
        <f aca="false">VLOOKUP(B339,'Team Data'!$A$1:$P$133,5,FALSE())</f>
        <v>185</v>
      </c>
      <c r="U339" s="0" t="n">
        <f aca="false">IF(K339=1,(MIN(35,(C339-D339)))*(O339/(O339+P339))*(S339/(S339+T339)),(MAX(-35,(C339-D339)))*(IF(P339=0,0.1,(P339/(O339+P339))))*(T339/(S339+T339)))</f>
        <v>0.599663110612016</v>
      </c>
      <c r="V339" s="0" t="n">
        <f aca="false">IF(L339=1,(MIN(35,(D339-C339)))*(M339/(M339+N339))*(Q339/(Q339+R339)),(MAX(-35,(D339-C339)))*(IF(N339=0,0.1,(N339/(M339+N339))))*(R339/(R339+Q339)))</f>
        <v>-1.31800766283525</v>
      </c>
    </row>
    <row r="340" customFormat="false" ht="15" hidden="false" customHeight="false" outlineLevel="0" collapsed="false">
      <c r="A340" s="0" t="s">
        <v>22</v>
      </c>
      <c r="B340" s="0" t="s">
        <v>33</v>
      </c>
      <c r="C340" s="0" t="n">
        <v>50</v>
      </c>
      <c r="D340" s="0" t="n">
        <v>31</v>
      </c>
      <c r="E340" s="0" t="n">
        <v>201</v>
      </c>
      <c r="F340" s="0" t="n">
        <v>137</v>
      </c>
      <c r="G340" s="0" t="n">
        <v>297</v>
      </c>
      <c r="H340" s="0" t="n">
        <v>190</v>
      </c>
      <c r="I340" s="0" t="n">
        <v>0</v>
      </c>
      <c r="J340" s="0" t="n">
        <v>1</v>
      </c>
      <c r="K340" s="0" t="n">
        <v>1</v>
      </c>
      <c r="L340" s="0" t="n">
        <v>0</v>
      </c>
      <c r="M340" s="0" t="n">
        <f aca="false">VLOOKUP(A340,'Team Data'!$A$1:$P$133,2,FALSE())</f>
        <v>7</v>
      </c>
      <c r="N340" s="0" t="n">
        <f aca="false">VLOOKUP(A340,'Team Data'!$A$1:$P$133,3,FALSE())</f>
        <v>6</v>
      </c>
      <c r="O340" s="0" t="n">
        <f aca="false">VLOOKUP(B340,'Team Data'!$A$1:$P$133,2,FALSE())</f>
        <v>9</v>
      </c>
      <c r="P340" s="0" t="n">
        <f aca="false">VLOOKUP(B340,'Team Data'!$A$1:$P$133,3,FALSE())</f>
        <v>4</v>
      </c>
      <c r="Q340" s="0" t="n">
        <f aca="false">VLOOKUP(A340,'Team Data'!$A$1:$P$133,4,FALSE())</f>
        <v>83</v>
      </c>
      <c r="R340" s="0" t="n">
        <f aca="false">VLOOKUP(A340,'Team Data'!$A$1:$P$133,5,FALSE())</f>
        <v>191</v>
      </c>
      <c r="S340" s="0" t="n">
        <f aca="false">VLOOKUP(B340,'Team Data'!$A$1:$P$133,4,FALSE())</f>
        <v>65</v>
      </c>
      <c r="T340" s="0" t="n">
        <f aca="false">VLOOKUP(B340,'Team Data'!$A$1:$P$133,5,FALSE())</f>
        <v>203</v>
      </c>
      <c r="U340" s="0" t="n">
        <f aca="false">IF(K340=1,(MIN(35,(C340-D340)))*(O340/(O340+P340))*(S340/(S340+T340)),(MAX(-35,(C340-D340)))*(IF(P340=0,0.1,(P340/(O340+P340))))*(T340/(S340+T340)))</f>
        <v>3.19029850746269</v>
      </c>
      <c r="V340" s="0" t="n">
        <f aca="false">IF(L340=1,(MIN(35,(D340-C340)))*(M340/(M340+N340))*(Q340/(Q340+R340)),(MAX(-35,(D340-C340)))*(IF(N340=0,0.1,(N340/(M340+N340))))*(R340/(R340+Q340)))</f>
        <v>-6.11285794497473</v>
      </c>
    </row>
    <row r="341" customFormat="false" ht="15" hidden="false" customHeight="false" outlineLevel="0" collapsed="false">
      <c r="A341" s="0" t="s">
        <v>17</v>
      </c>
      <c r="B341" s="0" t="s">
        <v>40</v>
      </c>
      <c r="C341" s="0" t="n">
        <v>23</v>
      </c>
      <c r="D341" s="0" t="n">
        <v>34</v>
      </c>
      <c r="E341" s="0" t="n">
        <v>158</v>
      </c>
      <c r="F341" s="0" t="n">
        <v>164</v>
      </c>
      <c r="G341" s="0" t="n">
        <v>338</v>
      </c>
      <c r="H341" s="0" t="n">
        <v>310</v>
      </c>
      <c r="I341" s="0" t="n">
        <v>1</v>
      </c>
      <c r="J341" s="0" t="n">
        <v>0</v>
      </c>
      <c r="K341" s="0" t="n">
        <v>0</v>
      </c>
      <c r="L341" s="0" t="n">
        <v>1</v>
      </c>
      <c r="M341" s="0" t="n">
        <f aca="false">VLOOKUP(A341,'Team Data'!$A$1:$P$133,2,FALSE())</f>
        <v>5</v>
      </c>
      <c r="N341" s="0" t="n">
        <f aca="false">VLOOKUP(A341,'Team Data'!$A$1:$P$133,3,FALSE())</f>
        <v>7</v>
      </c>
      <c r="O341" s="0" t="n">
        <f aca="false">VLOOKUP(B341,'Team Data'!$A$1:$P$133,2,FALSE())</f>
        <v>6</v>
      </c>
      <c r="P341" s="0" t="n">
        <f aca="false">VLOOKUP(B341,'Team Data'!$A$1:$P$133,3,FALSE())</f>
        <v>7</v>
      </c>
      <c r="Q341" s="0" t="n">
        <f aca="false">VLOOKUP(A341,'Team Data'!$A$1:$P$133,4,FALSE())</f>
        <v>82</v>
      </c>
      <c r="R341" s="0" t="n">
        <f aca="false">VLOOKUP(A341,'Team Data'!$A$1:$P$133,5,FALSE())</f>
        <v>179</v>
      </c>
      <c r="S341" s="0" t="n">
        <f aca="false">VLOOKUP(B341,'Team Data'!$A$1:$P$133,4,FALSE())</f>
        <v>86</v>
      </c>
      <c r="T341" s="0" t="n">
        <f aca="false">VLOOKUP(B341,'Team Data'!$A$1:$P$133,5,FALSE())</f>
        <v>183</v>
      </c>
      <c r="U341" s="0" t="n">
        <f aca="false">IF(K341=1,(MIN(35,(C341-D341)))*(O341/(O341+P341))*(S341/(S341+T341)),(MAX(-35,(C341-D341)))*(IF(P341=0,0.1,(P341/(O341+P341))))*(T341/(S341+T341)))</f>
        <v>-4.02945381755791</v>
      </c>
      <c r="V341" s="0" t="n">
        <f aca="false">IF(L341=1,(MIN(35,(D341-C341)))*(M341/(M341+N341))*(Q341/(Q341+R341)),(MAX(-35,(D341-C341)))*(IF(N341=0,0.1,(N341/(M341+N341))))*(R341/(R341+Q341)))</f>
        <v>1.43997445721584</v>
      </c>
    </row>
    <row r="342" customFormat="false" ht="15" hidden="false" customHeight="false" outlineLevel="0" collapsed="false">
      <c r="A342" s="0" t="s">
        <v>198</v>
      </c>
      <c r="B342" s="0" t="s">
        <v>82</v>
      </c>
      <c r="C342" s="0" t="n">
        <v>52</v>
      </c>
      <c r="D342" s="0" t="n">
        <v>59</v>
      </c>
      <c r="E342" s="0" t="n">
        <v>137</v>
      </c>
      <c r="F342" s="0" t="n">
        <v>155</v>
      </c>
      <c r="G342" s="0" t="n">
        <v>503</v>
      </c>
      <c r="H342" s="0" t="n">
        <v>537</v>
      </c>
      <c r="I342" s="0" t="n">
        <v>1</v>
      </c>
      <c r="J342" s="0" t="n">
        <v>2</v>
      </c>
      <c r="K342" s="0" t="n">
        <v>0</v>
      </c>
      <c r="L342" s="0" t="n">
        <v>1</v>
      </c>
      <c r="M342" s="0" t="n">
        <f aca="false">VLOOKUP(A342,'Team Data'!$A$1:$P$133,2,FALSE())</f>
        <v>8</v>
      </c>
      <c r="N342" s="0" t="n">
        <f aca="false">VLOOKUP(A342,'Team Data'!$A$1:$P$133,3,FALSE())</f>
        <v>112</v>
      </c>
      <c r="O342" s="0" t="n">
        <f aca="false">VLOOKUP(B342,'Team Data'!$A$1:$P$133,2,FALSE())</f>
        <v>10</v>
      </c>
      <c r="P342" s="0" t="n">
        <f aca="false">VLOOKUP(B342,'Team Data'!$A$1:$P$133,3,FALSE())</f>
        <v>4</v>
      </c>
      <c r="Q342" s="0" t="n">
        <f aca="false">VLOOKUP(A342,'Team Data'!$A$1:$P$133,4,FALSE())</f>
        <v>805</v>
      </c>
      <c r="R342" s="0" t="n">
        <f aca="false">VLOOKUP(A342,'Team Data'!$A$1:$P$133,5,FALSE())</f>
        <v>725</v>
      </c>
      <c r="S342" s="0" t="n">
        <f aca="false">VLOOKUP(B342,'Team Data'!$A$1:$P$133,4,FALSE())</f>
        <v>83</v>
      </c>
      <c r="T342" s="0" t="n">
        <f aca="false">VLOOKUP(B342,'Team Data'!$A$1:$P$133,5,FALSE())</f>
        <v>200</v>
      </c>
      <c r="U342" s="0" t="n">
        <f aca="false">IF(K342=1,(MIN(35,(C342-D342)))*(O342/(O342+P342))*(S342/(S342+T342)),(MAX(-35,(C342-D342)))*(IF(P342=0,0.1,(P342/(O342+P342))))*(T342/(S342+T342)))</f>
        <v>-1.41342756183746</v>
      </c>
      <c r="V342" s="0" t="n">
        <f aca="false">IF(L342=1,(MIN(35,(D342-C342)))*(M342/(M342+N342))*(Q342/(Q342+R342)),(MAX(-35,(D342-C342)))*(IF(N342=0,0.1,(N342/(M342+N342))))*(R342/(R342+Q342)))</f>
        <v>0.245533769063181</v>
      </c>
    </row>
    <row r="343" customFormat="false" ht="15" hidden="false" customHeight="false" outlineLevel="0" collapsed="false">
      <c r="A343" s="0" t="s">
        <v>198</v>
      </c>
      <c r="B343" s="0" t="s">
        <v>108</v>
      </c>
      <c r="C343" s="0" t="n">
        <v>0</v>
      </c>
      <c r="D343" s="0" t="n">
        <v>34</v>
      </c>
      <c r="E343" s="0" t="n">
        <v>39</v>
      </c>
      <c r="F343" s="0" t="n">
        <v>117</v>
      </c>
      <c r="G343" s="0" t="n">
        <v>103</v>
      </c>
      <c r="H343" s="0" t="n">
        <v>362</v>
      </c>
      <c r="I343" s="0" t="n">
        <v>1</v>
      </c>
      <c r="J343" s="0" t="n">
        <v>1</v>
      </c>
      <c r="K343" s="0" t="n">
        <v>0</v>
      </c>
      <c r="L343" s="0" t="n">
        <v>1</v>
      </c>
      <c r="M343" s="0" t="n">
        <f aca="false">VLOOKUP(A343,'Team Data'!$A$1:$P$133,2,FALSE())</f>
        <v>8</v>
      </c>
      <c r="N343" s="0" t="n">
        <f aca="false">VLOOKUP(A343,'Team Data'!$A$1:$P$133,3,FALSE())</f>
        <v>112</v>
      </c>
      <c r="O343" s="0" t="n">
        <f aca="false">VLOOKUP(B343,'Team Data'!$A$1:$P$133,2,FALSE())</f>
        <v>4</v>
      </c>
      <c r="P343" s="0" t="n">
        <f aca="false">VLOOKUP(B343,'Team Data'!$A$1:$P$133,3,FALSE())</f>
        <v>8</v>
      </c>
      <c r="Q343" s="0" t="n">
        <f aca="false">VLOOKUP(A343,'Team Data'!$A$1:$P$133,4,FALSE())</f>
        <v>805</v>
      </c>
      <c r="R343" s="0" t="n">
        <f aca="false">VLOOKUP(A343,'Team Data'!$A$1:$P$133,5,FALSE())</f>
        <v>725</v>
      </c>
      <c r="S343" s="0" t="n">
        <f aca="false">VLOOKUP(B343,'Team Data'!$A$1:$P$133,4,FALSE())</f>
        <v>76</v>
      </c>
      <c r="T343" s="0" t="n">
        <f aca="false">VLOOKUP(B343,'Team Data'!$A$1:$P$133,5,FALSE())</f>
        <v>181</v>
      </c>
      <c r="U343" s="0" t="n">
        <f aca="false">IF(K343=1,(MIN(35,(C343-D343)))*(O343/(O343+P343))*(S343/(S343+T343)),(MAX(-35,(C343-D343)))*(IF(P343=0,0.1,(P343/(O343+P343))))*(T343/(S343+T343)))</f>
        <v>-15.9636835278859</v>
      </c>
      <c r="V343" s="0" t="n">
        <f aca="false">IF(L343=1,(MIN(35,(D343-C343)))*(M343/(M343+N343))*(Q343/(Q343+R343)),(MAX(-35,(D343-C343)))*(IF(N343=0,0.1,(N343/(M343+N343))))*(R343/(R343+Q343)))</f>
        <v>1.19259259259259</v>
      </c>
    </row>
    <row r="344" customFormat="false" ht="15" hidden="false" customHeight="false" outlineLevel="0" collapsed="false">
      <c r="A344" s="0" t="s">
        <v>198</v>
      </c>
      <c r="B344" s="0" t="s">
        <v>45</v>
      </c>
      <c r="C344" s="0" t="n">
        <v>0</v>
      </c>
      <c r="D344" s="0" t="n">
        <v>31</v>
      </c>
      <c r="E344" s="0" t="n">
        <v>93</v>
      </c>
      <c r="F344" s="0" t="n">
        <v>167</v>
      </c>
      <c r="G344" s="0" t="n">
        <v>49</v>
      </c>
      <c r="H344" s="0" t="n">
        <v>335</v>
      </c>
      <c r="I344" s="0" t="n">
        <v>2</v>
      </c>
      <c r="J344" s="0" t="n">
        <v>1</v>
      </c>
      <c r="K344" s="0" t="n">
        <v>0</v>
      </c>
      <c r="L344" s="0" t="n">
        <v>1</v>
      </c>
      <c r="M344" s="0" t="n">
        <f aca="false">VLOOKUP(A344,'Team Data'!$A$1:$P$133,2,FALSE())</f>
        <v>8</v>
      </c>
      <c r="N344" s="0" t="n">
        <f aca="false">VLOOKUP(A344,'Team Data'!$A$1:$P$133,3,FALSE())</f>
        <v>112</v>
      </c>
      <c r="O344" s="0" t="n">
        <f aca="false">VLOOKUP(B344,'Team Data'!$A$1:$P$133,2,FALSE())</f>
        <v>8</v>
      </c>
      <c r="P344" s="0" t="n">
        <f aca="false">VLOOKUP(B344,'Team Data'!$A$1:$P$133,3,FALSE())</f>
        <v>5</v>
      </c>
      <c r="Q344" s="0" t="n">
        <f aca="false">VLOOKUP(A344,'Team Data'!$A$1:$P$133,4,FALSE())</f>
        <v>805</v>
      </c>
      <c r="R344" s="0" t="n">
        <f aca="false">VLOOKUP(A344,'Team Data'!$A$1:$P$133,5,FALSE())</f>
        <v>725</v>
      </c>
      <c r="S344" s="0" t="n">
        <f aca="false">VLOOKUP(B344,'Team Data'!$A$1:$P$133,4,FALSE())</f>
        <v>86</v>
      </c>
      <c r="T344" s="0" t="n">
        <f aca="false">VLOOKUP(B344,'Team Data'!$A$1:$P$133,5,FALSE())</f>
        <v>185</v>
      </c>
      <c r="U344" s="0" t="n">
        <f aca="false">IF(K344=1,(MIN(35,(C344-D344)))*(O344/(O344+P344))*(S344/(S344+T344)),(MAX(-35,(C344-D344)))*(IF(P344=0,0.1,(P344/(O344+P344))))*(T344/(S344+T344)))</f>
        <v>-8.13936985523701</v>
      </c>
      <c r="V344" s="0" t="n">
        <f aca="false">IF(L344=1,(MIN(35,(D344-C344)))*(M344/(M344+N344))*(Q344/(Q344+R344)),(MAX(-35,(D344-C344)))*(IF(N344=0,0.1,(N344/(M344+N344))))*(R344/(R344+Q344)))</f>
        <v>1.08736383442266</v>
      </c>
    </row>
    <row r="345" customFormat="false" ht="15" hidden="false" customHeight="false" outlineLevel="0" collapsed="false">
      <c r="A345" s="0" t="s">
        <v>28</v>
      </c>
      <c r="B345" s="0" t="s">
        <v>41</v>
      </c>
      <c r="C345" s="0" t="n">
        <v>41</v>
      </c>
      <c r="D345" s="0" t="n">
        <v>24</v>
      </c>
      <c r="E345" s="0" t="n">
        <v>272</v>
      </c>
      <c r="F345" s="0" t="n">
        <v>78</v>
      </c>
      <c r="G345" s="0" t="n">
        <v>268</v>
      </c>
      <c r="H345" s="0" t="n">
        <v>231</v>
      </c>
      <c r="I345" s="0" t="n">
        <v>1</v>
      </c>
      <c r="J345" s="0" t="n">
        <v>4</v>
      </c>
      <c r="K345" s="0" t="n">
        <v>1</v>
      </c>
      <c r="L345" s="0" t="n">
        <v>0</v>
      </c>
      <c r="M345" s="0" t="n">
        <f aca="false">VLOOKUP(A345,'Team Data'!$A$1:$P$133,2,FALSE())</f>
        <v>9</v>
      </c>
      <c r="N345" s="0" t="n">
        <f aca="false">VLOOKUP(A345,'Team Data'!$A$1:$P$133,3,FALSE())</f>
        <v>4</v>
      </c>
      <c r="O345" s="0" t="n">
        <f aca="false">VLOOKUP(B345,'Team Data'!$A$1:$P$133,2,FALSE())</f>
        <v>4</v>
      </c>
      <c r="P345" s="0" t="n">
        <f aca="false">VLOOKUP(B345,'Team Data'!$A$1:$P$133,3,FALSE())</f>
        <v>8</v>
      </c>
      <c r="Q345" s="0" t="n">
        <f aca="false">VLOOKUP(A345,'Team Data'!$A$1:$P$133,4,FALSE())</f>
        <v>88</v>
      </c>
      <c r="R345" s="0" t="n">
        <f aca="false">VLOOKUP(A345,'Team Data'!$A$1:$P$133,5,FALSE())</f>
        <v>182</v>
      </c>
      <c r="S345" s="0" t="n">
        <f aca="false">VLOOKUP(B345,'Team Data'!$A$1:$P$133,4,FALSE())</f>
        <v>78</v>
      </c>
      <c r="T345" s="0" t="n">
        <f aca="false">VLOOKUP(B345,'Team Data'!$A$1:$P$133,5,FALSE())</f>
        <v>72</v>
      </c>
      <c r="U345" s="0" t="n">
        <f aca="false">IF(K345=1,(MIN(35,(C345-D345)))*(O345/(O345+P345))*(S345/(S345+T345)),(MAX(-35,(C345-D345)))*(IF(P345=0,0.1,(P345/(O345+P345))))*(T345/(S345+T345)))</f>
        <v>2.94666666666667</v>
      </c>
      <c r="V345" s="0" t="n">
        <f aca="false">IF(L345=1,(MIN(35,(D345-C345)))*(M345/(M345+N345))*(Q345/(Q345+R345)),(MAX(-35,(D345-C345)))*(IF(N345=0,0.1,(N345/(M345+N345))))*(R345/(R345+Q345)))</f>
        <v>-3.52592592592593</v>
      </c>
    </row>
    <row r="346" customFormat="false" ht="15" hidden="false" customHeight="false" outlineLevel="0" collapsed="false">
      <c r="A346" s="0" t="s">
        <v>13</v>
      </c>
      <c r="B346" s="0" t="s">
        <v>86</v>
      </c>
      <c r="C346" s="0" t="n">
        <v>26</v>
      </c>
      <c r="D346" s="0" t="n">
        <v>29</v>
      </c>
      <c r="E346" s="0" t="n">
        <v>112</v>
      </c>
      <c r="F346" s="0" t="n">
        <v>51</v>
      </c>
      <c r="G346" s="0" t="n">
        <v>287</v>
      </c>
      <c r="H346" s="0" t="n">
        <v>279</v>
      </c>
      <c r="I346" s="0" t="n">
        <v>2</v>
      </c>
      <c r="J346" s="0" t="n">
        <v>0</v>
      </c>
      <c r="K346" s="0" t="n">
        <v>0</v>
      </c>
      <c r="L346" s="0" t="n">
        <v>1</v>
      </c>
      <c r="M346" s="0" t="n">
        <f aca="false">VLOOKUP(A346,'Team Data'!$A$1:$P$133,2,FALSE())</f>
        <v>3</v>
      </c>
      <c r="N346" s="0" t="n">
        <f aca="false">VLOOKUP(A346,'Team Data'!$A$1:$P$133,3,FALSE())</f>
        <v>9</v>
      </c>
      <c r="O346" s="0" t="n">
        <f aca="false">VLOOKUP(B346,'Team Data'!$A$1:$P$133,2,FALSE())</f>
        <v>3</v>
      </c>
      <c r="P346" s="0" t="n">
        <f aca="false">VLOOKUP(B346,'Team Data'!$A$1:$P$133,3,FALSE())</f>
        <v>9</v>
      </c>
      <c r="Q346" s="0" t="n">
        <f aca="false">VLOOKUP(A346,'Team Data'!$A$1:$P$133,4,FALSE())</f>
        <v>81</v>
      </c>
      <c r="R346" s="0" t="n">
        <f aca="false">VLOOKUP(A346,'Team Data'!$A$1:$P$133,5,FALSE())</f>
        <v>177</v>
      </c>
      <c r="S346" s="0" t="n">
        <f aca="false">VLOOKUP(B346,'Team Data'!$A$1:$P$133,4,FALSE())</f>
        <v>77</v>
      </c>
      <c r="T346" s="0" t="n">
        <f aca="false">VLOOKUP(B346,'Team Data'!$A$1:$P$133,5,FALSE())</f>
        <v>69</v>
      </c>
      <c r="U346" s="0" t="n">
        <f aca="false">IF(K346=1,(MIN(35,(C346-D346)))*(O346/(O346+P346))*(S346/(S346+T346)),(MAX(-35,(C346-D346)))*(IF(P346=0,0.1,(P346/(O346+P346))))*(T346/(S346+T346)))</f>
        <v>-1.06335616438356</v>
      </c>
      <c r="V346" s="0" t="n">
        <f aca="false">IF(L346=1,(MIN(35,(D346-C346)))*(M346/(M346+N346))*(Q346/(Q346+R346)),(MAX(-35,(D346-C346)))*(IF(N346=0,0.1,(N346/(M346+N346))))*(R346/(R346+Q346)))</f>
        <v>0.23546511627907</v>
      </c>
    </row>
    <row r="347" customFormat="false" ht="15" hidden="false" customHeight="false" outlineLevel="0" collapsed="false">
      <c r="A347" s="0" t="s">
        <v>56</v>
      </c>
      <c r="B347" s="0" t="s">
        <v>58</v>
      </c>
      <c r="C347" s="0" t="n">
        <v>17</v>
      </c>
      <c r="D347" s="0" t="n">
        <v>21</v>
      </c>
      <c r="E347" s="0" t="n">
        <v>86</v>
      </c>
      <c r="F347" s="0" t="n">
        <v>227</v>
      </c>
      <c r="G347" s="0" t="n">
        <v>268</v>
      </c>
      <c r="H347" s="0" t="n">
        <v>192</v>
      </c>
      <c r="I347" s="0" t="n">
        <v>2</v>
      </c>
      <c r="J347" s="0" t="n">
        <v>2</v>
      </c>
      <c r="K347" s="0" t="n">
        <v>0</v>
      </c>
      <c r="L347" s="0" t="n">
        <v>1</v>
      </c>
      <c r="M347" s="0" t="n">
        <f aca="false">VLOOKUP(A347,'Team Data'!$A$1:$P$133,2,FALSE())</f>
        <v>6</v>
      </c>
      <c r="N347" s="0" t="n">
        <f aca="false">VLOOKUP(A347,'Team Data'!$A$1:$P$133,3,FALSE())</f>
        <v>7</v>
      </c>
      <c r="O347" s="0" t="n">
        <f aca="false">VLOOKUP(B347,'Team Data'!$A$1:$P$133,2,FALSE())</f>
        <v>4</v>
      </c>
      <c r="P347" s="0" t="n">
        <f aca="false">VLOOKUP(B347,'Team Data'!$A$1:$P$133,3,FALSE())</f>
        <v>8</v>
      </c>
      <c r="Q347" s="0" t="n">
        <f aca="false">VLOOKUP(A347,'Team Data'!$A$1:$P$133,4,FALSE())</f>
        <v>95</v>
      </c>
      <c r="R347" s="0" t="n">
        <f aca="false">VLOOKUP(A347,'Team Data'!$A$1:$P$133,5,FALSE())</f>
        <v>179</v>
      </c>
      <c r="S347" s="0" t="n">
        <f aca="false">VLOOKUP(B347,'Team Data'!$A$1:$P$133,4,FALSE())</f>
        <v>88</v>
      </c>
      <c r="T347" s="0" t="n">
        <f aca="false">VLOOKUP(B347,'Team Data'!$A$1:$P$133,5,FALSE())</f>
        <v>172</v>
      </c>
      <c r="U347" s="0" t="n">
        <f aca="false">IF(K347=1,(MIN(35,(C347-D347)))*(O347/(O347+P347))*(S347/(S347+T347)),(MAX(-35,(C347-D347)))*(IF(P347=0,0.1,(P347/(O347+P347))))*(T347/(S347+T347)))</f>
        <v>-1.76410256410256</v>
      </c>
      <c r="V347" s="0" t="n">
        <f aca="false">IF(L347=1,(MIN(35,(D347-C347)))*(M347/(M347+N347))*(Q347/(Q347+R347)),(MAX(-35,(D347-C347)))*(IF(N347=0,0.1,(N347/(M347+N347))))*(R347/(R347+Q347)))</f>
        <v>0.640089837170129</v>
      </c>
    </row>
    <row r="348" customFormat="false" ht="15" hidden="false" customHeight="false" outlineLevel="0" collapsed="false">
      <c r="A348" s="0" t="s">
        <v>60</v>
      </c>
      <c r="B348" s="0" t="s">
        <v>111</v>
      </c>
      <c r="C348" s="0" t="n">
        <v>7</v>
      </c>
      <c r="D348" s="0" t="n">
        <v>16</v>
      </c>
      <c r="E348" s="0" t="n">
        <v>96</v>
      </c>
      <c r="F348" s="0" t="n">
        <v>100</v>
      </c>
      <c r="G348" s="0" t="n">
        <v>78</v>
      </c>
      <c r="H348" s="0" t="n">
        <v>321</v>
      </c>
      <c r="I348" s="0" t="n">
        <v>1</v>
      </c>
      <c r="J348" s="0" t="n">
        <v>3</v>
      </c>
      <c r="K348" s="0" t="n">
        <v>0</v>
      </c>
      <c r="L348" s="0" t="n">
        <v>1</v>
      </c>
      <c r="M348" s="0" t="n">
        <f aca="false">VLOOKUP(A348,'Team Data'!$A$1:$P$133,2,FALSE())</f>
        <v>9</v>
      </c>
      <c r="N348" s="0" t="n">
        <f aca="false">VLOOKUP(A348,'Team Data'!$A$1:$P$133,3,FALSE())</f>
        <v>4</v>
      </c>
      <c r="O348" s="0" t="n">
        <f aca="false">VLOOKUP(B348,'Team Data'!$A$1:$P$133,2,FALSE())</f>
        <v>12</v>
      </c>
      <c r="P348" s="0" t="n">
        <f aca="false">VLOOKUP(B348,'Team Data'!$A$1:$P$133,3,FALSE())</f>
        <v>2</v>
      </c>
      <c r="Q348" s="0" t="n">
        <f aca="false">VLOOKUP(A348,'Team Data'!$A$1:$P$133,4,FALSE())</f>
        <v>91</v>
      </c>
      <c r="R348" s="0" t="n">
        <f aca="false">VLOOKUP(A348,'Team Data'!$A$1:$P$133,5,FALSE())</f>
        <v>288</v>
      </c>
      <c r="S348" s="0" t="n">
        <f aca="false">VLOOKUP(B348,'Team Data'!$A$1:$P$133,4,FALSE())</f>
        <v>100</v>
      </c>
      <c r="T348" s="0" t="n">
        <f aca="false">VLOOKUP(B348,'Team Data'!$A$1:$P$133,5,FALSE())</f>
        <v>186</v>
      </c>
      <c r="U348" s="0" t="n">
        <f aca="false">IF(K348=1,(MIN(35,(C348-D348)))*(O348/(O348+P348))*(S348/(S348+T348)),(MAX(-35,(C348-D348)))*(IF(P348=0,0.1,(P348/(O348+P348))))*(T348/(S348+T348)))</f>
        <v>-0.836163836163836</v>
      </c>
      <c r="V348" s="0" t="n">
        <f aca="false">IF(L348=1,(MIN(35,(D348-C348)))*(M348/(M348+N348))*(Q348/(Q348+R348)),(MAX(-35,(D348-C348)))*(IF(N348=0,0.1,(N348/(M348+N348))))*(R348/(R348+Q348)))</f>
        <v>1.49604221635884</v>
      </c>
    </row>
    <row r="349" customFormat="false" ht="15" hidden="false" customHeight="false" outlineLevel="0" collapsed="false">
      <c r="A349" s="0" t="s">
        <v>25</v>
      </c>
      <c r="B349" s="0" t="s">
        <v>99</v>
      </c>
      <c r="C349" s="0" t="n">
        <v>20</v>
      </c>
      <c r="D349" s="0" t="n">
        <v>56</v>
      </c>
      <c r="E349" s="0" t="n">
        <v>79</v>
      </c>
      <c r="F349" s="0" t="n">
        <v>295</v>
      </c>
      <c r="G349" s="0" t="n">
        <v>213</v>
      </c>
      <c r="H349" s="0" t="n">
        <v>250</v>
      </c>
      <c r="I349" s="0" t="n">
        <v>3</v>
      </c>
      <c r="J349" s="0" t="n">
        <v>2</v>
      </c>
      <c r="K349" s="0" t="n">
        <v>0</v>
      </c>
      <c r="L349" s="0" t="n">
        <v>1</v>
      </c>
      <c r="M349" s="0" t="n">
        <f aca="false">VLOOKUP(A349,'Team Data'!$A$1:$P$133,2,FALSE())</f>
        <v>3</v>
      </c>
      <c r="N349" s="0" t="n">
        <f aca="false">VLOOKUP(A349,'Team Data'!$A$1:$P$133,3,FALSE())</f>
        <v>9</v>
      </c>
      <c r="O349" s="0" t="n">
        <f aca="false">VLOOKUP(B349,'Team Data'!$A$1:$P$133,2,FALSE())</f>
        <v>8</v>
      </c>
      <c r="P349" s="0" t="n">
        <f aca="false">VLOOKUP(B349,'Team Data'!$A$1:$P$133,3,FALSE())</f>
        <v>5</v>
      </c>
      <c r="Q349" s="0" t="n">
        <f aca="false">VLOOKUP(A349,'Team Data'!$A$1:$P$133,4,FALSE())</f>
        <v>74</v>
      </c>
      <c r="R349" s="0" t="n">
        <f aca="false">VLOOKUP(A349,'Team Data'!$A$1:$P$133,5,FALSE())</f>
        <v>185</v>
      </c>
      <c r="S349" s="0" t="n">
        <f aca="false">VLOOKUP(B349,'Team Data'!$A$1:$P$133,4,FALSE())</f>
        <v>97</v>
      </c>
      <c r="T349" s="0" t="n">
        <f aca="false">VLOOKUP(B349,'Team Data'!$A$1:$P$133,5,FALSE())</f>
        <v>178</v>
      </c>
      <c r="U349" s="0" t="n">
        <f aca="false">IF(K349=1,(MIN(35,(C349-D349)))*(O349/(O349+P349))*(S349/(S349+T349)),(MAX(-35,(C349-D349)))*(IF(P349=0,0.1,(P349/(O349+P349))))*(T349/(S349+T349)))</f>
        <v>-8.71328671328671</v>
      </c>
      <c r="V349" s="0" t="n">
        <f aca="false">IF(L349=1,(MIN(35,(D349-C349)))*(M349/(M349+N349))*(Q349/(Q349+R349)),(MAX(-35,(D349-C349)))*(IF(N349=0,0.1,(N349/(M349+N349))))*(R349/(R349+Q349)))</f>
        <v>2.5</v>
      </c>
    </row>
    <row r="350" customFormat="false" ht="15" hidden="false" customHeight="false" outlineLevel="0" collapsed="false">
      <c r="A350" s="0" t="s">
        <v>34</v>
      </c>
      <c r="B350" s="0" t="s">
        <v>133</v>
      </c>
      <c r="C350" s="0" t="n">
        <v>0</v>
      </c>
      <c r="D350" s="0" t="n">
        <v>73</v>
      </c>
      <c r="E350" s="0" t="n">
        <v>61</v>
      </c>
      <c r="F350" s="0" t="n">
        <v>210</v>
      </c>
      <c r="G350" s="0" t="n">
        <v>124</v>
      </c>
      <c r="H350" s="0" t="n">
        <v>478</v>
      </c>
      <c r="I350" s="0" t="n">
        <v>2</v>
      </c>
      <c r="J350" s="0" t="n">
        <v>1</v>
      </c>
      <c r="K350" s="0" t="n">
        <v>0</v>
      </c>
      <c r="L350" s="0" t="n">
        <v>1</v>
      </c>
      <c r="M350" s="0" t="n">
        <f aca="false">VLOOKUP(A350,'Team Data'!$A$1:$P$133,2,FALSE())</f>
        <v>4</v>
      </c>
      <c r="N350" s="0" t="n">
        <f aca="false">VLOOKUP(A350,'Team Data'!$A$1:$P$133,3,FALSE())</f>
        <v>8</v>
      </c>
      <c r="O350" s="0" t="n">
        <f aca="false">VLOOKUP(B350,'Team Data'!$A$1:$P$133,2,FALSE())</f>
        <v>9</v>
      </c>
      <c r="P350" s="0" t="n">
        <f aca="false">VLOOKUP(B350,'Team Data'!$A$1:$P$133,3,FALSE())</f>
        <v>5</v>
      </c>
      <c r="Q350" s="0" t="n">
        <f aca="false">VLOOKUP(A350,'Team Data'!$A$1:$P$133,4,FALSE())</f>
        <v>76</v>
      </c>
      <c r="R350" s="0" t="n">
        <f aca="false">VLOOKUP(A350,'Team Data'!$A$1:$P$133,5,FALSE())</f>
        <v>185</v>
      </c>
      <c r="S350" s="0" t="n">
        <f aca="false">VLOOKUP(B350,'Team Data'!$A$1:$P$133,4,FALSE())</f>
        <v>92</v>
      </c>
      <c r="T350" s="0" t="n">
        <f aca="false">VLOOKUP(B350,'Team Data'!$A$1:$P$133,5,FALSE())</f>
        <v>195</v>
      </c>
      <c r="U350" s="0" t="n">
        <f aca="false">IF(K350=1,(MIN(35,(C350-D350)))*(O350/(O350+P350))*(S350/(S350+T350)),(MAX(-35,(C350-D350)))*(IF(P350=0,0.1,(P350/(O350+P350))))*(T350/(S350+T350)))</f>
        <v>-8.49303135888502</v>
      </c>
      <c r="V350" s="0" t="n">
        <f aca="false">IF(L350=1,(MIN(35,(D350-C350)))*(M350/(M350+N350))*(Q350/(Q350+R350)),(MAX(-35,(D350-C350)))*(IF(N350=0,0.1,(N350/(M350+N350))))*(R350/(R350+Q350)))</f>
        <v>3.39719029374202</v>
      </c>
    </row>
    <row r="351" customFormat="false" ht="15" hidden="false" customHeight="false" outlineLevel="0" collapsed="false">
      <c r="A351" s="0" t="s">
        <v>36</v>
      </c>
      <c r="B351" s="0" t="s">
        <v>92</v>
      </c>
      <c r="C351" s="0" t="n">
        <v>26</v>
      </c>
      <c r="D351" s="0" t="n">
        <v>28</v>
      </c>
      <c r="E351" s="0" t="n">
        <v>189</v>
      </c>
      <c r="F351" s="0" t="n">
        <v>188</v>
      </c>
      <c r="G351" s="0" t="n">
        <v>230</v>
      </c>
      <c r="H351" s="0" t="n">
        <v>166</v>
      </c>
      <c r="I351" s="0" t="n">
        <v>2</v>
      </c>
      <c r="J351" s="0" t="n">
        <v>2</v>
      </c>
      <c r="K351" s="0" t="n">
        <v>0</v>
      </c>
      <c r="L351" s="0" t="n">
        <v>1</v>
      </c>
      <c r="M351" s="0" t="n">
        <f aca="false">VLOOKUP(A351,'Team Data'!$A$1:$P$133,2,FALSE())</f>
        <v>5</v>
      </c>
      <c r="N351" s="0" t="n">
        <f aca="false">VLOOKUP(A351,'Team Data'!$A$1:$P$133,3,FALSE())</f>
        <v>7</v>
      </c>
      <c r="O351" s="0" t="n">
        <f aca="false">VLOOKUP(B351,'Team Data'!$A$1:$P$133,2,FALSE())</f>
        <v>8</v>
      </c>
      <c r="P351" s="0" t="n">
        <f aca="false">VLOOKUP(B351,'Team Data'!$A$1:$P$133,3,FALSE())</f>
        <v>6</v>
      </c>
      <c r="Q351" s="0" t="n">
        <f aca="false">VLOOKUP(A351,'Team Data'!$A$1:$P$133,4,FALSE())</f>
        <v>83</v>
      </c>
      <c r="R351" s="0" t="n">
        <f aca="false">VLOOKUP(A351,'Team Data'!$A$1:$P$133,5,FALSE())</f>
        <v>182</v>
      </c>
      <c r="S351" s="0" t="n">
        <f aca="false">VLOOKUP(B351,'Team Data'!$A$1:$P$133,4,FALSE())</f>
        <v>103</v>
      </c>
      <c r="T351" s="0" t="n">
        <f aca="false">VLOOKUP(B351,'Team Data'!$A$1:$P$133,5,FALSE())</f>
        <v>184</v>
      </c>
      <c r="U351" s="0" t="n">
        <f aca="false">IF(K351=1,(MIN(35,(C351-D351)))*(O351/(O351+P351))*(S351/(S351+T351)),(MAX(-35,(C351-D351)))*(IF(P351=0,0.1,(P351/(O351+P351))))*(T351/(S351+T351)))</f>
        <v>-0.54952712792434</v>
      </c>
      <c r="V351" s="0" t="n">
        <f aca="false">IF(L351=1,(MIN(35,(D351-C351)))*(M351/(M351+N351))*(Q351/(Q351+R351)),(MAX(-35,(D351-C351)))*(IF(N351=0,0.1,(N351/(M351+N351))))*(R351/(R351+Q351)))</f>
        <v>0.261006289308176</v>
      </c>
    </row>
    <row r="352" customFormat="false" ht="15" hidden="false" customHeight="false" outlineLevel="0" collapsed="false">
      <c r="A352" s="0" t="s">
        <v>57</v>
      </c>
      <c r="B352" s="0" t="s">
        <v>98</v>
      </c>
      <c r="C352" s="0" t="n">
        <v>14</v>
      </c>
      <c r="D352" s="0" t="n">
        <v>38</v>
      </c>
      <c r="E352" s="0" t="n">
        <v>57</v>
      </c>
      <c r="F352" s="0" t="n">
        <v>175</v>
      </c>
      <c r="G352" s="0" t="n">
        <v>251</v>
      </c>
      <c r="H352" s="0" t="n">
        <v>214</v>
      </c>
      <c r="I352" s="0" t="n">
        <v>5</v>
      </c>
      <c r="J352" s="0" t="n">
        <v>1</v>
      </c>
      <c r="K352" s="0" t="n">
        <v>0</v>
      </c>
      <c r="L352" s="0" t="n">
        <v>1</v>
      </c>
      <c r="M352" s="0" t="n">
        <f aca="false">VLOOKUP(A352,'Team Data'!$A$1:$P$133,2,FALSE())</f>
        <v>3</v>
      </c>
      <c r="N352" s="0" t="n">
        <f aca="false">VLOOKUP(A352,'Team Data'!$A$1:$P$133,3,FALSE())</f>
        <v>9</v>
      </c>
      <c r="O352" s="0" t="n">
        <f aca="false">VLOOKUP(B352,'Team Data'!$A$1:$P$133,2,FALSE())</f>
        <v>10</v>
      </c>
      <c r="P352" s="0" t="n">
        <f aca="false">VLOOKUP(B352,'Team Data'!$A$1:$P$133,3,FALSE())</f>
        <v>3</v>
      </c>
      <c r="Q352" s="0" t="n">
        <f aca="false">VLOOKUP(A352,'Team Data'!$A$1:$P$133,4,FALSE())</f>
        <v>85</v>
      </c>
      <c r="R352" s="0" t="n">
        <f aca="false">VLOOKUP(A352,'Team Data'!$A$1:$P$133,5,FALSE())</f>
        <v>178</v>
      </c>
      <c r="S352" s="0" t="n">
        <f aca="false">VLOOKUP(B352,'Team Data'!$A$1:$P$133,4,FALSE())</f>
        <v>78</v>
      </c>
      <c r="T352" s="0" t="n">
        <f aca="false">VLOOKUP(B352,'Team Data'!$A$1:$P$133,5,FALSE())</f>
        <v>194</v>
      </c>
      <c r="U352" s="0" t="n">
        <f aca="false">IF(K352=1,(MIN(35,(C352-D352)))*(O352/(O352+P352))*(S352/(S352+T352)),(MAX(-35,(C352-D352)))*(IF(P352=0,0.1,(P352/(O352+P352))))*(T352/(S352+T352)))</f>
        <v>-3.95022624434389</v>
      </c>
      <c r="V352" s="0" t="n">
        <f aca="false">IF(L352=1,(MIN(35,(D352-C352)))*(M352/(M352+N352))*(Q352/(Q352+R352)),(MAX(-35,(D352-C352)))*(IF(N352=0,0.1,(N352/(M352+N352))))*(R352/(R352+Q352)))</f>
        <v>1.93916349809886</v>
      </c>
    </row>
    <row r="353" customFormat="false" ht="15" hidden="false" customHeight="false" outlineLevel="0" collapsed="false">
      <c r="A353" s="0" t="s">
        <v>67</v>
      </c>
      <c r="B353" s="0" t="s">
        <v>63</v>
      </c>
      <c r="C353" s="0" t="n">
        <v>45</v>
      </c>
      <c r="D353" s="0" t="n">
        <v>31</v>
      </c>
      <c r="E353" s="0" t="n">
        <v>99</v>
      </c>
      <c r="F353" s="0" t="n">
        <v>60</v>
      </c>
      <c r="G353" s="0" t="n">
        <v>408</v>
      </c>
      <c r="H353" s="0" t="n">
        <v>307</v>
      </c>
      <c r="I353" s="0" t="n">
        <v>1</v>
      </c>
      <c r="J353" s="0" t="n">
        <v>3</v>
      </c>
      <c r="K353" s="0" t="n">
        <v>1</v>
      </c>
      <c r="L353" s="0" t="n">
        <v>0</v>
      </c>
      <c r="M353" s="0" t="n">
        <f aca="false">VLOOKUP(A353,'Team Data'!$A$1:$P$133,2,FALSE())</f>
        <v>8</v>
      </c>
      <c r="N353" s="0" t="n">
        <f aca="false">VLOOKUP(A353,'Team Data'!$A$1:$P$133,3,FALSE())</f>
        <v>5</v>
      </c>
      <c r="O353" s="0" t="n">
        <f aca="false">VLOOKUP(B353,'Team Data'!$A$1:$P$133,2,FALSE())</f>
        <v>5</v>
      </c>
      <c r="P353" s="0" t="n">
        <f aca="false">VLOOKUP(B353,'Team Data'!$A$1:$P$133,3,FALSE())</f>
        <v>7</v>
      </c>
      <c r="Q353" s="0" t="n">
        <f aca="false">VLOOKUP(A353,'Team Data'!$A$1:$P$133,4,FALSE())</f>
        <v>78</v>
      </c>
      <c r="R353" s="0" t="n">
        <f aca="false">VLOOKUP(A353,'Team Data'!$A$1:$P$133,5,FALSE())</f>
        <v>191</v>
      </c>
      <c r="S353" s="0" t="n">
        <f aca="false">VLOOKUP(B353,'Team Data'!$A$1:$P$133,4,FALSE())</f>
        <v>87</v>
      </c>
      <c r="T353" s="0" t="n">
        <f aca="false">VLOOKUP(B353,'Team Data'!$A$1:$P$133,5,FALSE())</f>
        <v>171</v>
      </c>
      <c r="U353" s="0" t="n">
        <f aca="false">IF(K353=1,(MIN(35,(C353-D353)))*(O353/(O353+P353))*(S353/(S353+T353)),(MAX(-35,(C353-D353)))*(IF(P353=0,0.1,(P353/(O353+P353))))*(T353/(S353+T353)))</f>
        <v>1.96705426356589</v>
      </c>
      <c r="V353" s="0" t="n">
        <f aca="false">IF(L353=1,(MIN(35,(D353-C353)))*(M353/(M353+N353))*(Q353/(Q353+R353)),(MAX(-35,(D353-C353)))*(IF(N353=0,0.1,(N353/(M353+N353))))*(R353/(R353+Q353)))</f>
        <v>-3.82327709465256</v>
      </c>
    </row>
    <row r="354" customFormat="false" ht="15" hidden="false" customHeight="false" outlineLevel="0" collapsed="false">
      <c r="A354" s="0" t="s">
        <v>78</v>
      </c>
      <c r="B354" s="0" t="s">
        <v>62</v>
      </c>
      <c r="C354" s="0" t="n">
        <v>34</v>
      </c>
      <c r="D354" s="0" t="n">
        <v>44</v>
      </c>
      <c r="E354" s="0" t="n">
        <v>102</v>
      </c>
      <c r="F354" s="0" t="n">
        <v>193</v>
      </c>
      <c r="G354" s="0" t="n">
        <v>371</v>
      </c>
      <c r="H354" s="0" t="n">
        <v>141</v>
      </c>
      <c r="I354" s="0" t="n">
        <v>3</v>
      </c>
      <c r="J354" s="0" t="n">
        <v>1</v>
      </c>
      <c r="K354" s="0" t="n">
        <v>0</v>
      </c>
      <c r="L354" s="0" t="n">
        <v>1</v>
      </c>
      <c r="M354" s="0" t="n">
        <f aca="false">VLOOKUP(A354,'Team Data'!$A$1:$P$133,2,FALSE())</f>
        <v>7</v>
      </c>
      <c r="N354" s="0" t="n">
        <f aca="false">VLOOKUP(A354,'Team Data'!$A$1:$P$133,3,FALSE())</f>
        <v>7</v>
      </c>
      <c r="O354" s="0" t="n">
        <f aca="false">VLOOKUP(B354,'Team Data'!$A$1:$P$133,2,FALSE())</f>
        <v>7</v>
      </c>
      <c r="P354" s="0" t="n">
        <f aca="false">VLOOKUP(B354,'Team Data'!$A$1:$P$133,3,FALSE())</f>
        <v>6</v>
      </c>
      <c r="Q354" s="0" t="n">
        <f aca="false">VLOOKUP(A354,'Team Data'!$A$1:$P$133,4,FALSE())</f>
        <v>97</v>
      </c>
      <c r="R354" s="0" t="n">
        <f aca="false">VLOOKUP(A354,'Team Data'!$A$1:$P$133,5,FALSE())</f>
        <v>191</v>
      </c>
      <c r="S354" s="0" t="n">
        <f aca="false">VLOOKUP(B354,'Team Data'!$A$1:$P$133,4,FALSE())</f>
        <v>89</v>
      </c>
      <c r="T354" s="0" t="n">
        <f aca="false">VLOOKUP(B354,'Team Data'!$A$1:$P$133,5,FALSE())</f>
        <v>186</v>
      </c>
      <c r="U354" s="0" t="n">
        <f aca="false">IF(K354=1,(MIN(35,(C354-D354)))*(O354/(O354+P354))*(S354/(S354+T354)),(MAX(-35,(C354-D354)))*(IF(P354=0,0.1,(P354/(O354+P354))))*(T354/(S354+T354)))</f>
        <v>-3.12167832167832</v>
      </c>
      <c r="V354" s="0" t="n">
        <f aca="false">IF(L354=1,(MIN(35,(D354-C354)))*(M354/(M354+N354))*(Q354/(Q354+R354)),(MAX(-35,(D354-C354)))*(IF(N354=0,0.1,(N354/(M354+N354))))*(R354/(R354+Q354)))</f>
        <v>1.68402777777778</v>
      </c>
    </row>
    <row r="355" customFormat="false" ht="15" hidden="false" customHeight="false" outlineLevel="0" collapsed="false">
      <c r="A355" s="0" t="s">
        <v>93</v>
      </c>
      <c r="B355" s="0" t="s">
        <v>44</v>
      </c>
      <c r="C355" s="0" t="n">
        <v>27</v>
      </c>
      <c r="D355" s="0" t="n">
        <v>34</v>
      </c>
      <c r="E355" s="0" t="n">
        <v>90</v>
      </c>
      <c r="F355" s="0" t="n">
        <v>178</v>
      </c>
      <c r="G355" s="0" t="n">
        <v>334</v>
      </c>
      <c r="H355" s="0" t="n">
        <v>249</v>
      </c>
      <c r="I355" s="0" t="n">
        <v>2</v>
      </c>
      <c r="J355" s="0" t="n">
        <v>1</v>
      </c>
      <c r="K355" s="0" t="n">
        <v>0</v>
      </c>
      <c r="L355" s="0" t="n">
        <v>1</v>
      </c>
      <c r="M355" s="0" t="n">
        <f aca="false">VLOOKUP(A355,'Team Data'!$A$1:$P$133,2,FALSE())</f>
        <v>5</v>
      </c>
      <c r="N355" s="0" t="n">
        <f aca="false">VLOOKUP(A355,'Team Data'!$A$1:$P$133,3,FALSE())</f>
        <v>8</v>
      </c>
      <c r="O355" s="0" t="n">
        <f aca="false">VLOOKUP(B355,'Team Data'!$A$1:$P$133,2,FALSE())</f>
        <v>8</v>
      </c>
      <c r="P355" s="0" t="n">
        <f aca="false">VLOOKUP(B355,'Team Data'!$A$1:$P$133,3,FALSE())</f>
        <v>5</v>
      </c>
      <c r="Q355" s="0" t="n">
        <f aca="false">VLOOKUP(A355,'Team Data'!$A$1:$P$133,4,FALSE())</f>
        <v>90</v>
      </c>
      <c r="R355" s="0" t="n">
        <f aca="false">VLOOKUP(A355,'Team Data'!$A$1:$P$133,5,FALSE())</f>
        <v>186</v>
      </c>
      <c r="S355" s="0" t="n">
        <f aca="false">VLOOKUP(B355,'Team Data'!$A$1:$P$133,4,FALSE())</f>
        <v>83</v>
      </c>
      <c r="T355" s="0" t="n">
        <f aca="false">VLOOKUP(B355,'Team Data'!$A$1:$P$133,5,FALSE())</f>
        <v>84</v>
      </c>
      <c r="U355" s="0" t="n">
        <f aca="false">IF(K355=1,(MIN(35,(C355-D355)))*(O355/(O355+P355))*(S355/(S355+T355)),(MAX(-35,(C355-D355)))*(IF(P355=0,0.1,(P355/(O355+P355))))*(T355/(S355+T355)))</f>
        <v>-1.35421464762782</v>
      </c>
      <c r="V355" s="0" t="n">
        <f aca="false">IF(L355=1,(MIN(35,(D355-C355)))*(M355/(M355+N355))*(Q355/(Q355+R355)),(MAX(-35,(D355-C355)))*(IF(N355=0,0.1,(N355/(M355+N355))))*(R355/(R355+Q355)))</f>
        <v>0.877926421404682</v>
      </c>
    </row>
    <row r="356" customFormat="false" ht="15" hidden="false" customHeight="false" outlineLevel="0" collapsed="false">
      <c r="A356" s="0" t="s">
        <v>19</v>
      </c>
      <c r="B356" s="0" t="s">
        <v>122</v>
      </c>
      <c r="C356" s="0" t="n">
        <v>10</v>
      </c>
      <c r="D356" s="0" t="n">
        <v>27</v>
      </c>
      <c r="E356" s="0" t="n">
        <v>84</v>
      </c>
      <c r="F356" s="0" t="n">
        <v>199</v>
      </c>
      <c r="G356" s="0" t="n">
        <v>93</v>
      </c>
      <c r="H356" s="0" t="n">
        <v>123</v>
      </c>
      <c r="I356" s="0" t="n">
        <v>0</v>
      </c>
      <c r="J356" s="0" t="n">
        <v>0</v>
      </c>
      <c r="K356" s="0" t="n">
        <v>0</v>
      </c>
      <c r="L356" s="0" t="n">
        <v>1</v>
      </c>
      <c r="M356" s="0" t="n">
        <f aca="false">VLOOKUP(A356,'Team Data'!$A$1:$P$133,2,FALSE())</f>
        <v>10</v>
      </c>
      <c r="N356" s="0" t="n">
        <f aca="false">VLOOKUP(A356,'Team Data'!$A$1:$P$133,3,FALSE())</f>
        <v>4</v>
      </c>
      <c r="O356" s="0" t="n">
        <f aca="false">VLOOKUP(B356,'Team Data'!$A$1:$P$133,2,FALSE())</f>
        <v>5</v>
      </c>
      <c r="P356" s="0" t="n">
        <f aca="false">VLOOKUP(B356,'Team Data'!$A$1:$P$133,3,FALSE())</f>
        <v>7</v>
      </c>
      <c r="Q356" s="0" t="n">
        <f aca="false">VLOOKUP(A356,'Team Data'!$A$1:$P$133,4,FALSE())</f>
        <v>95</v>
      </c>
      <c r="R356" s="0" t="n">
        <f aca="false">VLOOKUP(A356,'Team Data'!$A$1:$P$133,5,FALSE())</f>
        <v>193</v>
      </c>
      <c r="S356" s="0" t="n">
        <f aca="false">VLOOKUP(B356,'Team Data'!$A$1:$P$133,4,FALSE())</f>
        <v>71</v>
      </c>
      <c r="T356" s="0" t="n">
        <f aca="false">VLOOKUP(B356,'Team Data'!$A$1:$P$133,5,FALSE())</f>
        <v>83</v>
      </c>
      <c r="U356" s="0" t="n">
        <f aca="false">IF(K356=1,(MIN(35,(C356-D356)))*(O356/(O356+P356))*(S356/(S356+T356)),(MAX(-35,(C356-D356)))*(IF(P356=0,0.1,(P356/(O356+P356))))*(T356/(S356+T356)))</f>
        <v>-5.34469696969697</v>
      </c>
      <c r="V356" s="0" t="n">
        <f aca="false">IF(L356=1,(MIN(35,(D356-C356)))*(M356/(M356+N356))*(Q356/(Q356+R356)),(MAX(-35,(D356-C356)))*(IF(N356=0,0.1,(N356/(M356+N356))))*(R356/(R356+Q356)))</f>
        <v>4.00545634920635</v>
      </c>
    </row>
    <row r="357" customFormat="false" ht="15" hidden="false" customHeight="false" outlineLevel="0" collapsed="false">
      <c r="A357" s="0" t="s">
        <v>198</v>
      </c>
      <c r="B357" s="0" t="s">
        <v>123</v>
      </c>
      <c r="C357" s="0" t="n">
        <v>24</v>
      </c>
      <c r="D357" s="0" t="n">
        <v>52</v>
      </c>
      <c r="E357" s="0" t="n">
        <v>235</v>
      </c>
      <c r="F357" s="0" t="n">
        <v>112</v>
      </c>
      <c r="G357" s="0" t="n">
        <v>229</v>
      </c>
      <c r="H357" s="0" t="n">
        <v>441</v>
      </c>
      <c r="I357" s="0" t="n">
        <v>2</v>
      </c>
      <c r="J357" s="0" t="n">
        <v>2</v>
      </c>
      <c r="K357" s="0" t="n">
        <v>0</v>
      </c>
      <c r="L357" s="0" t="n">
        <v>1</v>
      </c>
      <c r="M357" s="0" t="n">
        <f aca="false">VLOOKUP(A357,'Team Data'!$A$1:$P$133,2,FALSE())</f>
        <v>8</v>
      </c>
      <c r="N357" s="0" t="n">
        <f aca="false">VLOOKUP(A357,'Team Data'!$A$1:$P$133,3,FALSE())</f>
        <v>112</v>
      </c>
      <c r="O357" s="0" t="n">
        <f aca="false">VLOOKUP(B357,'Team Data'!$A$1:$P$133,2,FALSE())</f>
        <v>11</v>
      </c>
      <c r="P357" s="0" t="n">
        <f aca="false">VLOOKUP(B357,'Team Data'!$A$1:$P$133,3,FALSE())</f>
        <v>3</v>
      </c>
      <c r="Q357" s="0" t="n">
        <f aca="false">VLOOKUP(A357,'Team Data'!$A$1:$P$133,4,FALSE())</f>
        <v>805</v>
      </c>
      <c r="R357" s="0" t="n">
        <f aca="false">VLOOKUP(A357,'Team Data'!$A$1:$P$133,5,FALSE())</f>
        <v>725</v>
      </c>
      <c r="S357" s="0" t="n">
        <f aca="false">VLOOKUP(B357,'Team Data'!$A$1:$P$133,4,FALSE())</f>
        <v>97</v>
      </c>
      <c r="T357" s="0" t="n">
        <f aca="false">VLOOKUP(B357,'Team Data'!$A$1:$P$133,5,FALSE())</f>
        <v>192</v>
      </c>
      <c r="U357" s="0" t="n">
        <f aca="false">IF(K357=1,(MIN(35,(C357-D357)))*(O357/(O357+P357))*(S357/(S357+T357)),(MAX(-35,(C357-D357)))*(IF(P357=0,0.1,(P357/(O357+P357))))*(T357/(S357+T357)))</f>
        <v>-3.98615916955017</v>
      </c>
      <c r="V357" s="0" t="n">
        <f aca="false">IF(L357=1,(MIN(35,(D357-C357)))*(M357/(M357+N357))*(Q357/(Q357+R357)),(MAX(-35,(D357-C357)))*(IF(N357=0,0.1,(N357/(M357+N357))))*(R357/(R357+Q357)))</f>
        <v>0.982135076252723</v>
      </c>
    </row>
    <row r="358" customFormat="false" ht="15" hidden="false" customHeight="false" outlineLevel="0" collapsed="false">
      <c r="A358" s="0" t="s">
        <v>8</v>
      </c>
      <c r="B358" s="0" t="s">
        <v>12</v>
      </c>
      <c r="C358" s="0" t="n">
        <v>49</v>
      </c>
      <c r="D358" s="0" t="n">
        <v>26</v>
      </c>
      <c r="E358" s="0" t="n">
        <v>317</v>
      </c>
      <c r="F358" s="0" t="n">
        <v>187</v>
      </c>
      <c r="G358" s="0" t="n">
        <v>238</v>
      </c>
      <c r="H358" s="0" t="n">
        <v>190</v>
      </c>
      <c r="I358" s="0" t="n">
        <v>1</v>
      </c>
      <c r="J358" s="0" t="n">
        <v>1</v>
      </c>
      <c r="K358" s="0" t="n">
        <v>1</v>
      </c>
      <c r="L358" s="0" t="n">
        <v>0</v>
      </c>
      <c r="M358" s="0" t="n">
        <f aca="false">VLOOKUP(A358,'Team Data'!$A$1:$P$133,2,FALSE())</f>
        <v>11</v>
      </c>
      <c r="N358" s="0" t="n">
        <f aca="false">VLOOKUP(A358,'Team Data'!$A$1:$P$133,3,FALSE())</f>
        <v>2</v>
      </c>
      <c r="O358" s="0" t="n">
        <f aca="false">VLOOKUP(B358,'Team Data'!$A$1:$P$133,2,FALSE())</f>
        <v>7</v>
      </c>
      <c r="P358" s="0" t="n">
        <f aca="false">VLOOKUP(B358,'Team Data'!$A$1:$P$133,3,FALSE())</f>
        <v>6</v>
      </c>
      <c r="Q358" s="0" t="n">
        <f aca="false">VLOOKUP(A358,'Team Data'!$A$1:$P$133,4,FALSE())</f>
        <v>96</v>
      </c>
      <c r="R358" s="0" t="n">
        <f aca="false">VLOOKUP(A358,'Team Data'!$A$1:$P$133,5,FALSE())</f>
        <v>178</v>
      </c>
      <c r="S358" s="0" t="n">
        <f aca="false">VLOOKUP(B358,'Team Data'!$A$1:$P$133,4,FALSE())</f>
        <v>101</v>
      </c>
      <c r="T358" s="0" t="n">
        <f aca="false">VLOOKUP(B358,'Team Data'!$A$1:$P$133,5,FALSE())</f>
        <v>174</v>
      </c>
      <c r="U358" s="0" t="n">
        <f aca="false">IF(K358=1,(MIN(35,(C358-D358)))*(O358/(O358+P358))*(S358/(S358+T358)),(MAX(-35,(C358-D358)))*(IF(P358=0,0.1,(P358/(O358+P358))))*(T358/(S358+T358)))</f>
        <v>4.54853146853147</v>
      </c>
      <c r="V358" s="0" t="n">
        <f aca="false">IF(L358=1,(MIN(35,(D358-C358)))*(M358/(M358+N358))*(Q358/(Q358+R358)),(MAX(-35,(D358-C358)))*(IF(N358=0,0.1,(N358/(M358+N358))))*(R358/(R358+Q358)))</f>
        <v>-2.29870859067939</v>
      </c>
    </row>
    <row r="359" customFormat="false" ht="15" hidden="false" customHeight="false" outlineLevel="0" collapsed="false">
      <c r="A359" s="0" t="s">
        <v>54</v>
      </c>
      <c r="B359" s="0" t="s">
        <v>15</v>
      </c>
      <c r="C359" s="0" t="n">
        <v>21</v>
      </c>
      <c r="D359" s="0" t="n">
        <v>17</v>
      </c>
      <c r="E359" s="0" t="n">
        <v>185</v>
      </c>
      <c r="F359" s="0" t="n">
        <v>101</v>
      </c>
      <c r="G359" s="0" t="n">
        <v>85</v>
      </c>
      <c r="H359" s="0" t="n">
        <v>337</v>
      </c>
      <c r="I359" s="0" t="n">
        <v>1</v>
      </c>
      <c r="J359" s="0" t="n">
        <v>4</v>
      </c>
      <c r="K359" s="0" t="n">
        <v>1</v>
      </c>
      <c r="L359" s="0" t="n">
        <v>0</v>
      </c>
      <c r="M359" s="0" t="n">
        <f aca="false">VLOOKUP(A359,'Team Data'!$A$1:$P$133,2,FALSE())</f>
        <v>10</v>
      </c>
      <c r="N359" s="0" t="n">
        <f aca="false">VLOOKUP(A359,'Team Data'!$A$1:$P$133,3,FALSE())</f>
        <v>4</v>
      </c>
      <c r="O359" s="0" t="n">
        <f aca="false">VLOOKUP(B359,'Team Data'!$A$1:$P$133,2,FALSE())</f>
        <v>5</v>
      </c>
      <c r="P359" s="0" t="n">
        <f aca="false">VLOOKUP(B359,'Team Data'!$A$1:$P$133,3,FALSE())</f>
        <v>7</v>
      </c>
      <c r="Q359" s="0" t="n">
        <f aca="false">VLOOKUP(A359,'Team Data'!$A$1:$P$133,4,FALSE())</f>
        <v>112</v>
      </c>
      <c r="R359" s="0" t="n">
        <f aca="false">VLOOKUP(A359,'Team Data'!$A$1:$P$133,5,FALSE())</f>
        <v>177</v>
      </c>
      <c r="S359" s="0" t="n">
        <f aca="false">VLOOKUP(B359,'Team Data'!$A$1:$P$133,4,FALSE())</f>
        <v>106</v>
      </c>
      <c r="T359" s="0" t="n">
        <f aca="false">VLOOKUP(B359,'Team Data'!$A$1:$P$133,5,FALSE())</f>
        <v>159</v>
      </c>
      <c r="U359" s="0" t="n">
        <f aca="false">IF(K359=1,(MIN(35,(C359-D359)))*(O359/(O359+P359))*(S359/(S359+T359)),(MAX(-35,(C359-D359)))*(IF(P359=0,0.1,(P359/(O359+P359))))*(T359/(S359+T359)))</f>
        <v>0.666666666666667</v>
      </c>
      <c r="V359" s="0" t="n">
        <f aca="false">IF(L359=1,(MIN(35,(D359-C359)))*(M359/(M359+N359))*(Q359/(Q359+R359)),(MAX(-35,(D359-C359)))*(IF(N359=0,0.1,(N359/(M359+N359))))*(R359/(R359+Q359)))</f>
        <v>-0.699950568462679</v>
      </c>
    </row>
    <row r="360" customFormat="false" ht="15" hidden="false" customHeight="false" outlineLevel="0" collapsed="false">
      <c r="A360" s="0" t="s">
        <v>198</v>
      </c>
      <c r="B360" s="0" t="s">
        <v>35</v>
      </c>
      <c r="C360" s="0" t="n">
        <v>17</v>
      </c>
      <c r="D360" s="0" t="n">
        <v>52</v>
      </c>
      <c r="E360" s="0" t="n">
        <v>153</v>
      </c>
      <c r="F360" s="0" t="n">
        <v>274</v>
      </c>
      <c r="G360" s="0" t="n">
        <v>258</v>
      </c>
      <c r="H360" s="0" t="n">
        <v>392</v>
      </c>
      <c r="I360" s="0" t="n">
        <v>1</v>
      </c>
      <c r="J360" s="0" t="n">
        <v>1</v>
      </c>
      <c r="K360" s="0" t="n">
        <v>0</v>
      </c>
      <c r="L360" s="0" t="n">
        <v>1</v>
      </c>
      <c r="M360" s="0" t="n">
        <f aca="false">VLOOKUP(A360,'Team Data'!$A$1:$P$133,2,FALSE())</f>
        <v>8</v>
      </c>
      <c r="N360" s="0" t="n">
        <f aca="false">VLOOKUP(A360,'Team Data'!$A$1:$P$133,3,FALSE())</f>
        <v>112</v>
      </c>
      <c r="O360" s="0" t="n">
        <f aca="false">VLOOKUP(B360,'Team Data'!$A$1:$P$133,2,FALSE())</f>
        <v>6</v>
      </c>
      <c r="P360" s="0" t="n">
        <f aca="false">VLOOKUP(B360,'Team Data'!$A$1:$P$133,3,FALSE())</f>
        <v>7</v>
      </c>
      <c r="Q360" s="0" t="n">
        <f aca="false">VLOOKUP(A360,'Team Data'!$A$1:$P$133,4,FALSE())</f>
        <v>805</v>
      </c>
      <c r="R360" s="0" t="n">
        <f aca="false">VLOOKUP(A360,'Team Data'!$A$1:$P$133,5,FALSE())</f>
        <v>725</v>
      </c>
      <c r="S360" s="0" t="n">
        <f aca="false">VLOOKUP(B360,'Team Data'!$A$1:$P$133,4,FALSE())</f>
        <v>106</v>
      </c>
      <c r="T360" s="0" t="n">
        <f aca="false">VLOOKUP(B360,'Team Data'!$A$1:$P$133,5,FALSE())</f>
        <v>171</v>
      </c>
      <c r="U360" s="0" t="n">
        <f aca="false">IF(K360=1,(MIN(35,(C360-D360)))*(O360/(O360+P360))*(S360/(S360+T360)),(MAX(-35,(C360-D360)))*(IF(P360=0,0.1,(P360/(O360+P360))))*(T360/(S360+T360)))</f>
        <v>-11.634268258817</v>
      </c>
      <c r="V360" s="0" t="n">
        <f aca="false">IF(L360=1,(MIN(35,(D360-C360)))*(M360/(M360+N360))*(Q360/(Q360+R360)),(MAX(-35,(D360-C360)))*(IF(N360=0,0.1,(N360/(M360+N360))))*(R360/(R360+Q360)))</f>
        <v>1.2276688453159</v>
      </c>
    </row>
    <row r="361" customFormat="false" ht="15" hidden="false" customHeight="false" outlineLevel="0" collapsed="false">
      <c r="A361" s="0" t="s">
        <v>53</v>
      </c>
      <c r="B361" s="0" t="s">
        <v>87</v>
      </c>
      <c r="C361" s="0" t="n">
        <v>19</v>
      </c>
      <c r="D361" s="0" t="n">
        <v>22</v>
      </c>
      <c r="E361" s="0" t="n">
        <v>108</v>
      </c>
      <c r="F361" s="0" t="n">
        <v>186</v>
      </c>
      <c r="G361" s="0" t="n">
        <v>220</v>
      </c>
      <c r="H361" s="0" t="n">
        <v>213</v>
      </c>
      <c r="I361" s="0" t="n">
        <v>2</v>
      </c>
      <c r="J361" s="0" t="n">
        <v>1</v>
      </c>
      <c r="K361" s="0" t="n">
        <v>0</v>
      </c>
      <c r="L361" s="0" t="n">
        <v>1</v>
      </c>
      <c r="M361" s="0" t="n">
        <f aca="false">VLOOKUP(A361,'Team Data'!$A$1:$P$133,2,FALSE())</f>
        <v>7</v>
      </c>
      <c r="N361" s="0" t="n">
        <f aca="false">VLOOKUP(A361,'Team Data'!$A$1:$P$133,3,FALSE())</f>
        <v>6</v>
      </c>
      <c r="O361" s="0" t="n">
        <f aca="false">VLOOKUP(B361,'Team Data'!$A$1:$P$133,2,FALSE())</f>
        <v>8</v>
      </c>
      <c r="P361" s="0" t="n">
        <f aca="false">VLOOKUP(B361,'Team Data'!$A$1:$P$133,3,FALSE())</f>
        <v>5</v>
      </c>
      <c r="Q361" s="0" t="n">
        <f aca="false">VLOOKUP(A361,'Team Data'!$A$1:$P$133,4,FALSE())</f>
        <v>101</v>
      </c>
      <c r="R361" s="0" t="n">
        <f aca="false">VLOOKUP(A361,'Team Data'!$A$1:$P$133,5,FALSE())</f>
        <v>175</v>
      </c>
      <c r="S361" s="0" t="n">
        <f aca="false">VLOOKUP(B361,'Team Data'!$A$1:$P$133,4,FALSE())</f>
        <v>97</v>
      </c>
      <c r="T361" s="0" t="n">
        <f aca="false">VLOOKUP(B361,'Team Data'!$A$1:$P$133,5,FALSE())</f>
        <v>176</v>
      </c>
      <c r="U361" s="0" t="n">
        <f aca="false">IF(K361=1,(MIN(35,(C361-D361)))*(O361/(O361+P361))*(S361/(S361+T361)),(MAX(-35,(C361-D361)))*(IF(P361=0,0.1,(P361/(O361+P361))))*(T361/(S361+T361)))</f>
        <v>-0.743871513102283</v>
      </c>
      <c r="V361" s="0" t="n">
        <f aca="false">IF(L361=1,(MIN(35,(D361-C361)))*(M361/(M361+N361))*(Q361/(Q361+R361)),(MAX(-35,(D361-C361)))*(IF(N361=0,0.1,(N361/(M361+N361))))*(R361/(R361+Q361)))</f>
        <v>0.591137123745819</v>
      </c>
    </row>
    <row r="362" customFormat="false" ht="15" hidden="false" customHeight="false" outlineLevel="0" collapsed="false">
      <c r="A362" s="0" t="s">
        <v>107</v>
      </c>
      <c r="B362" s="0" t="s">
        <v>69</v>
      </c>
      <c r="C362" s="0" t="n">
        <v>24</v>
      </c>
      <c r="D362" s="0" t="n">
        <v>42</v>
      </c>
      <c r="E362" s="0" t="n">
        <v>136</v>
      </c>
      <c r="F362" s="0" t="n">
        <v>144</v>
      </c>
      <c r="G362" s="0" t="n">
        <v>252</v>
      </c>
      <c r="H362" s="0" t="n">
        <v>329</v>
      </c>
      <c r="I362" s="0" t="n">
        <v>4</v>
      </c>
      <c r="J362" s="0" t="n">
        <v>1</v>
      </c>
      <c r="K362" s="0" t="n">
        <v>0</v>
      </c>
      <c r="L362" s="0" t="n">
        <v>1</v>
      </c>
      <c r="M362" s="0" t="n">
        <f aca="false">VLOOKUP(A362,'Team Data'!$A$1:$P$133,2,FALSE())</f>
        <v>5</v>
      </c>
      <c r="N362" s="0" t="n">
        <f aca="false">VLOOKUP(A362,'Team Data'!$A$1:$P$133,3,FALSE())</f>
        <v>7</v>
      </c>
      <c r="O362" s="0" t="n">
        <f aca="false">VLOOKUP(B362,'Team Data'!$A$1:$P$133,2,FALSE())</f>
        <v>9</v>
      </c>
      <c r="P362" s="0" t="n">
        <f aca="false">VLOOKUP(B362,'Team Data'!$A$1:$P$133,3,FALSE())</f>
        <v>4</v>
      </c>
      <c r="Q362" s="0" t="n">
        <f aca="false">VLOOKUP(A362,'Team Data'!$A$1:$P$133,4,FALSE())</f>
        <v>84</v>
      </c>
      <c r="R362" s="0" t="n">
        <f aca="false">VLOOKUP(A362,'Team Data'!$A$1:$P$133,5,FALSE())</f>
        <v>176</v>
      </c>
      <c r="S362" s="0" t="n">
        <f aca="false">VLOOKUP(B362,'Team Data'!$A$1:$P$133,4,FALSE())</f>
        <v>102</v>
      </c>
      <c r="T362" s="0" t="n">
        <f aca="false">VLOOKUP(B362,'Team Data'!$A$1:$P$133,5,FALSE())</f>
        <v>174</v>
      </c>
      <c r="U362" s="0" t="n">
        <f aca="false">IF(K362=1,(MIN(35,(C362-D362)))*(O362/(O362+P362))*(S362/(S362+T362)),(MAX(-35,(C362-D362)))*(IF(P362=0,0.1,(P362/(O362+P362))))*(T362/(S362+T362)))</f>
        <v>-3.49163879598662</v>
      </c>
      <c r="V362" s="0" t="n">
        <f aca="false">IF(L362=1,(MIN(35,(D362-C362)))*(M362/(M362+N362))*(Q362/(Q362+R362)),(MAX(-35,(D362-C362)))*(IF(N362=0,0.1,(N362/(M362+N362))))*(R362/(R362+Q362)))</f>
        <v>2.42307692307692</v>
      </c>
    </row>
    <row r="363" customFormat="false" ht="15" hidden="false" customHeight="false" outlineLevel="0" collapsed="false">
      <c r="A363" s="0" t="s">
        <v>39</v>
      </c>
      <c r="B363" s="0" t="s">
        <v>70</v>
      </c>
      <c r="C363" s="0" t="n">
        <v>26</v>
      </c>
      <c r="D363" s="0" t="n">
        <v>22</v>
      </c>
      <c r="E363" s="0" t="n">
        <v>169</v>
      </c>
      <c r="F363" s="0" t="n">
        <v>102</v>
      </c>
      <c r="G363" s="0" t="n">
        <v>312</v>
      </c>
      <c r="H363" s="0" t="n">
        <v>192</v>
      </c>
      <c r="I363" s="0" t="n">
        <v>2</v>
      </c>
      <c r="J363" s="0" t="n">
        <v>0</v>
      </c>
      <c r="K363" s="0" t="n">
        <v>1</v>
      </c>
      <c r="L363" s="0" t="n">
        <v>0</v>
      </c>
      <c r="M363" s="0" t="n">
        <f aca="false">VLOOKUP(A363,'Team Data'!$A$1:$P$133,2,FALSE())</f>
        <v>15</v>
      </c>
      <c r="N363" s="0" t="n">
        <f aca="false">VLOOKUP(A363,'Team Data'!$A$1:$P$133,3,FALSE())</f>
        <v>0</v>
      </c>
      <c r="O363" s="0" t="n">
        <f aca="false">VLOOKUP(B363,'Team Data'!$A$1:$P$133,2,FALSE())</f>
        <v>6</v>
      </c>
      <c r="P363" s="0" t="n">
        <f aca="false">VLOOKUP(B363,'Team Data'!$A$1:$P$133,3,FALSE())</f>
        <v>7</v>
      </c>
      <c r="Q363" s="0" t="n">
        <f aca="false">VLOOKUP(A363,'Team Data'!$A$1:$P$133,4,FALSE())</f>
        <v>119</v>
      </c>
      <c r="R363" s="0" t="n">
        <f aca="false">VLOOKUP(A363,'Team Data'!$A$1:$P$133,5,FALSE())</f>
        <v>182</v>
      </c>
      <c r="S363" s="0" t="n">
        <f aca="false">VLOOKUP(B363,'Team Data'!$A$1:$P$133,4,FALSE())</f>
        <v>100</v>
      </c>
      <c r="T363" s="0" t="n">
        <f aca="false">VLOOKUP(B363,'Team Data'!$A$1:$P$133,5,FALSE())</f>
        <v>176</v>
      </c>
      <c r="U363" s="0" t="n">
        <f aca="false">IF(K363=1,(MIN(35,(C363-D363)))*(O363/(O363+P363))*(S363/(S363+T363)),(MAX(-35,(C363-D363)))*(IF(P363=0,0.1,(P363/(O363+P363))))*(T363/(S363+T363)))</f>
        <v>0.668896321070234</v>
      </c>
      <c r="V363" s="0" t="n">
        <f aca="false">IF(L363=1,(MIN(35,(D363-C363)))*(M363/(M363+N363))*(Q363/(Q363+R363)),(MAX(-35,(D363-C363)))*(IF(N363=0,0.1,(N363/(M363+N363))))*(R363/(R363+Q363)))</f>
        <v>-0.241860465116279</v>
      </c>
    </row>
    <row r="364" customFormat="false" ht="15" hidden="false" customHeight="false" outlineLevel="0" collapsed="false">
      <c r="A364" s="0" t="s">
        <v>198</v>
      </c>
      <c r="B364" s="0" t="s">
        <v>99</v>
      </c>
      <c r="C364" s="0" t="n">
        <v>10</v>
      </c>
      <c r="D364" s="0" t="n">
        <v>50</v>
      </c>
      <c r="E364" s="0" t="n">
        <v>145</v>
      </c>
      <c r="F364" s="0" t="n">
        <v>185</v>
      </c>
      <c r="G364" s="0" t="n">
        <v>75</v>
      </c>
      <c r="H364" s="0" t="n">
        <v>219</v>
      </c>
      <c r="I364" s="0" t="n">
        <v>3</v>
      </c>
      <c r="J364" s="0" t="n">
        <v>3</v>
      </c>
      <c r="K364" s="0" t="n">
        <v>0</v>
      </c>
      <c r="L364" s="0" t="n">
        <v>1</v>
      </c>
      <c r="M364" s="0" t="n">
        <f aca="false">VLOOKUP(A364,'Team Data'!$A$1:$P$133,2,FALSE())</f>
        <v>8</v>
      </c>
      <c r="N364" s="0" t="n">
        <f aca="false">VLOOKUP(A364,'Team Data'!$A$1:$P$133,3,FALSE())</f>
        <v>112</v>
      </c>
      <c r="O364" s="0" t="n">
        <f aca="false">VLOOKUP(B364,'Team Data'!$A$1:$P$133,2,FALSE())</f>
        <v>8</v>
      </c>
      <c r="P364" s="0" t="n">
        <f aca="false">VLOOKUP(B364,'Team Data'!$A$1:$P$133,3,FALSE())</f>
        <v>5</v>
      </c>
      <c r="Q364" s="0" t="n">
        <f aca="false">VLOOKUP(A364,'Team Data'!$A$1:$P$133,4,FALSE())</f>
        <v>805</v>
      </c>
      <c r="R364" s="0" t="n">
        <f aca="false">VLOOKUP(A364,'Team Data'!$A$1:$P$133,5,FALSE())</f>
        <v>725</v>
      </c>
      <c r="S364" s="0" t="n">
        <f aca="false">VLOOKUP(B364,'Team Data'!$A$1:$P$133,4,FALSE())</f>
        <v>97</v>
      </c>
      <c r="T364" s="0" t="n">
        <f aca="false">VLOOKUP(B364,'Team Data'!$A$1:$P$133,5,FALSE())</f>
        <v>178</v>
      </c>
      <c r="U364" s="0" t="n">
        <f aca="false">IF(K364=1,(MIN(35,(C364-D364)))*(O364/(O364+P364))*(S364/(S364+T364)),(MAX(-35,(C364-D364)))*(IF(P364=0,0.1,(P364/(O364+P364))))*(T364/(S364+T364)))</f>
        <v>-8.71328671328671</v>
      </c>
      <c r="V364" s="0" t="n">
        <f aca="false">IF(L364=1,(MIN(35,(D364-C364)))*(M364/(M364+N364))*(Q364/(Q364+R364)),(MAX(-35,(D364-C364)))*(IF(N364=0,0.1,(N364/(M364+N364))))*(R364/(R364+Q364)))</f>
        <v>1.2276688453159</v>
      </c>
    </row>
    <row r="365" customFormat="false" ht="15" hidden="false" customHeight="false" outlineLevel="0" collapsed="false">
      <c r="A365" s="0" t="s">
        <v>29</v>
      </c>
      <c r="B365" s="0" t="s">
        <v>10</v>
      </c>
      <c r="C365" s="0" t="n">
        <v>20</v>
      </c>
      <c r="D365" s="0" t="n">
        <v>43</v>
      </c>
      <c r="E365" s="0" t="n">
        <v>154</v>
      </c>
      <c r="F365" s="0" t="n">
        <v>178</v>
      </c>
      <c r="G365" s="0" t="n">
        <v>186</v>
      </c>
      <c r="H365" s="0" t="n">
        <v>495</v>
      </c>
      <c r="I365" s="0" t="n">
        <v>1</v>
      </c>
      <c r="J365" s="0" t="n">
        <v>0</v>
      </c>
      <c r="K365" s="0" t="n">
        <v>0</v>
      </c>
      <c r="L365" s="0" t="n">
        <v>1</v>
      </c>
      <c r="M365" s="0" t="n">
        <f aca="false">VLOOKUP(A365,'Team Data'!$A$1:$P$133,2,FALSE())</f>
        <v>1</v>
      </c>
      <c r="N365" s="0" t="n">
        <f aca="false">VLOOKUP(A365,'Team Data'!$A$1:$P$133,3,FALSE())</f>
        <v>11</v>
      </c>
      <c r="O365" s="0" t="n">
        <f aca="false">VLOOKUP(B365,'Team Data'!$A$1:$P$133,2,FALSE())</f>
        <v>5</v>
      </c>
      <c r="P365" s="0" t="n">
        <f aca="false">VLOOKUP(B365,'Team Data'!$A$1:$P$133,3,FALSE())</f>
        <v>7</v>
      </c>
      <c r="Q365" s="0" t="n">
        <f aca="false">VLOOKUP(A365,'Team Data'!$A$1:$P$133,4,FALSE())</f>
        <v>105</v>
      </c>
      <c r="R365" s="0" t="n">
        <f aca="false">VLOOKUP(A365,'Team Data'!$A$1:$P$133,5,FALSE())</f>
        <v>52</v>
      </c>
      <c r="S365" s="0" t="n">
        <f aca="false">VLOOKUP(B365,'Team Data'!$A$1:$P$133,4,FALSE())</f>
        <v>90</v>
      </c>
      <c r="T365" s="0" t="n">
        <f aca="false">VLOOKUP(B365,'Team Data'!$A$1:$P$133,5,FALSE())</f>
        <v>172</v>
      </c>
      <c r="U365" s="0" t="n">
        <f aca="false">IF(K365=1,(MIN(35,(C365-D365)))*(O365/(O365+P365))*(S365/(S365+T365)),(MAX(-35,(C365-D365)))*(IF(P365=0,0.1,(P365/(O365+P365))))*(T365/(S365+T365)))</f>
        <v>-8.80788804071247</v>
      </c>
      <c r="V365" s="0" t="n">
        <f aca="false">IF(L365=1,(MIN(35,(D365-C365)))*(M365/(M365+N365))*(Q365/(Q365+R365)),(MAX(-35,(D365-C365)))*(IF(N365=0,0.1,(N365/(M365+N365))))*(R365/(R365+Q365)))</f>
        <v>1.28184713375796</v>
      </c>
    </row>
    <row r="366" customFormat="false" ht="15" hidden="false" customHeight="false" outlineLevel="0" collapsed="false">
      <c r="A366" s="0" t="s">
        <v>11</v>
      </c>
      <c r="B366" s="0" t="s">
        <v>120</v>
      </c>
      <c r="C366" s="0" t="n">
        <v>25</v>
      </c>
      <c r="D366" s="0" t="n">
        <v>42</v>
      </c>
      <c r="E366" s="0" t="n">
        <v>88</v>
      </c>
      <c r="F366" s="0" t="n">
        <v>137</v>
      </c>
      <c r="G366" s="0" t="n">
        <v>243</v>
      </c>
      <c r="H366" s="0" t="n">
        <v>348</v>
      </c>
      <c r="I366" s="0" t="n">
        <v>1</v>
      </c>
      <c r="J366" s="0" t="n">
        <v>1</v>
      </c>
      <c r="K366" s="0" t="n">
        <v>0</v>
      </c>
      <c r="L366" s="0" t="n">
        <v>1</v>
      </c>
      <c r="M366" s="0" t="n">
        <f aca="false">VLOOKUP(A366,'Team Data'!$A$1:$P$133,2,FALSE())</f>
        <v>3</v>
      </c>
      <c r="N366" s="0" t="n">
        <f aca="false">VLOOKUP(A366,'Team Data'!$A$1:$P$133,3,FALSE())</f>
        <v>9</v>
      </c>
      <c r="O366" s="0" t="n">
        <f aca="false">VLOOKUP(B366,'Team Data'!$A$1:$P$133,2,FALSE())</f>
        <v>11</v>
      </c>
      <c r="P366" s="0" t="n">
        <f aca="false">VLOOKUP(B366,'Team Data'!$A$1:$P$133,3,FALSE())</f>
        <v>3</v>
      </c>
      <c r="Q366" s="0" t="n">
        <f aca="false">VLOOKUP(A366,'Team Data'!$A$1:$P$133,4,FALSE())</f>
        <v>91</v>
      </c>
      <c r="R366" s="0" t="n">
        <f aca="false">VLOOKUP(A366,'Team Data'!$A$1:$P$133,5,FALSE())</f>
        <v>171</v>
      </c>
      <c r="S366" s="0" t="n">
        <f aca="false">VLOOKUP(B366,'Team Data'!$A$1:$P$133,4,FALSE())</f>
        <v>98</v>
      </c>
      <c r="T366" s="0" t="n">
        <f aca="false">VLOOKUP(B366,'Team Data'!$A$1:$P$133,5,FALSE())</f>
        <v>83</v>
      </c>
      <c r="U366" s="0" t="n">
        <f aca="false">IF(K366=1,(MIN(35,(C366-D366)))*(O366/(O366+P366))*(S366/(S366+T366)),(MAX(-35,(C366-D366)))*(IF(P366=0,0.1,(P366/(O366+P366))))*(T366/(S366+T366)))</f>
        <v>-1.67048145224941</v>
      </c>
      <c r="V366" s="0" t="n">
        <f aca="false">IF(L366=1,(MIN(35,(D366-C366)))*(M366/(M366+N366))*(Q366/(Q366+R366)),(MAX(-35,(D366-C366)))*(IF(N366=0,0.1,(N366/(M366+N366))))*(R366/(R366+Q366)))</f>
        <v>1.47614503816794</v>
      </c>
    </row>
    <row r="367" customFormat="false" ht="15" hidden="false" customHeight="false" outlineLevel="0" collapsed="false">
      <c r="A367" s="0" t="s">
        <v>23</v>
      </c>
      <c r="B367" s="0" t="s">
        <v>131</v>
      </c>
      <c r="C367" s="0" t="n">
        <v>9</v>
      </c>
      <c r="D367" s="0" t="n">
        <v>28</v>
      </c>
      <c r="E367" s="0" t="n">
        <v>31</v>
      </c>
      <c r="F367" s="0" t="n">
        <v>72</v>
      </c>
      <c r="G367" s="0" t="n">
        <v>280</v>
      </c>
      <c r="H367" s="0" t="n">
        <v>343</v>
      </c>
      <c r="I367" s="0" t="n">
        <v>0</v>
      </c>
      <c r="J367" s="0" t="n">
        <v>2</v>
      </c>
      <c r="K367" s="0" t="n">
        <v>0</v>
      </c>
      <c r="L367" s="0" t="n">
        <v>1</v>
      </c>
      <c r="M367" s="0" t="n">
        <f aca="false">VLOOKUP(A367,'Team Data'!$A$1:$P$133,2,FALSE())</f>
        <v>4</v>
      </c>
      <c r="N367" s="0" t="n">
        <f aca="false">VLOOKUP(A367,'Team Data'!$A$1:$P$133,3,FALSE())</f>
        <v>8</v>
      </c>
      <c r="O367" s="0" t="n">
        <f aca="false">VLOOKUP(B367,'Team Data'!$A$1:$P$133,2,FALSE())</f>
        <v>7</v>
      </c>
      <c r="P367" s="0" t="n">
        <f aca="false">VLOOKUP(B367,'Team Data'!$A$1:$P$133,3,FALSE())</f>
        <v>6</v>
      </c>
      <c r="Q367" s="0" t="n">
        <f aca="false">VLOOKUP(A367,'Team Data'!$A$1:$P$133,4,FALSE())</f>
        <v>89</v>
      </c>
      <c r="R367" s="0" t="n">
        <f aca="false">VLOOKUP(A367,'Team Data'!$A$1:$P$133,5,FALSE())</f>
        <v>171</v>
      </c>
      <c r="S367" s="0" t="n">
        <f aca="false">VLOOKUP(B367,'Team Data'!$A$1:$P$133,4,FALSE())</f>
        <v>95</v>
      </c>
      <c r="T367" s="0" t="n">
        <f aca="false">VLOOKUP(B367,'Team Data'!$A$1:$P$133,5,FALSE())</f>
        <v>179</v>
      </c>
      <c r="U367" s="0" t="n">
        <f aca="false">IF(K367=1,(MIN(35,(C367-D367)))*(O367/(O367+P367))*(S367/(S367+T367)),(MAX(-35,(C367-D367)))*(IF(P367=0,0.1,(P367/(O367+P367))))*(T367/(S367+T367)))</f>
        <v>-5.72880404267266</v>
      </c>
      <c r="V367" s="0" t="n">
        <f aca="false">IF(L367=1,(MIN(35,(D367-C367)))*(M367/(M367+N367))*(Q367/(Q367+R367)),(MAX(-35,(D367-C367)))*(IF(N367=0,0.1,(N367/(M367+N367))))*(R367/(R367+Q367)))</f>
        <v>2.16794871794872</v>
      </c>
    </row>
    <row r="368" customFormat="false" ht="15" hidden="false" customHeight="false" outlineLevel="0" collapsed="false">
      <c r="A368" s="0" t="s">
        <v>101</v>
      </c>
      <c r="B368" s="0" t="s">
        <v>88</v>
      </c>
      <c r="C368" s="0" t="n">
        <v>27</v>
      </c>
      <c r="D368" s="0" t="n">
        <v>45</v>
      </c>
      <c r="E368" s="0" t="n">
        <v>127</v>
      </c>
      <c r="F368" s="0" t="n">
        <v>351</v>
      </c>
      <c r="G368" s="0" t="n">
        <v>205</v>
      </c>
      <c r="H368" s="0" t="n">
        <v>164</v>
      </c>
      <c r="I368" s="0" t="n">
        <v>1</v>
      </c>
      <c r="J368" s="0" t="n">
        <v>1</v>
      </c>
      <c r="K368" s="0" t="n">
        <v>0</v>
      </c>
      <c r="L368" s="0" t="n">
        <v>1</v>
      </c>
      <c r="M368" s="0" t="n">
        <f aca="false">VLOOKUP(A368,'Team Data'!$A$1:$P$133,2,FALSE())</f>
        <v>3</v>
      </c>
      <c r="N368" s="0" t="n">
        <f aca="false">VLOOKUP(A368,'Team Data'!$A$1:$P$133,3,FALSE())</f>
        <v>9</v>
      </c>
      <c r="O368" s="0" t="n">
        <f aca="false">VLOOKUP(B368,'Team Data'!$A$1:$P$133,2,FALSE())</f>
        <v>10</v>
      </c>
      <c r="P368" s="0" t="n">
        <f aca="false">VLOOKUP(B368,'Team Data'!$A$1:$P$133,3,FALSE())</f>
        <v>3</v>
      </c>
      <c r="Q368" s="0" t="n">
        <f aca="false">VLOOKUP(A368,'Team Data'!$A$1:$P$133,4,FALSE())</f>
        <v>100</v>
      </c>
      <c r="R368" s="0" t="n">
        <f aca="false">VLOOKUP(A368,'Team Data'!$A$1:$P$133,5,FALSE())</f>
        <v>163</v>
      </c>
      <c r="S368" s="0" t="n">
        <f aca="false">VLOOKUP(B368,'Team Data'!$A$1:$P$133,4,FALSE())</f>
        <v>100</v>
      </c>
      <c r="T368" s="0" t="n">
        <f aca="false">VLOOKUP(B368,'Team Data'!$A$1:$P$133,5,FALSE())</f>
        <v>176</v>
      </c>
      <c r="U368" s="0" t="n">
        <f aca="false">IF(K368=1,(MIN(35,(C368-D368)))*(O368/(O368+P368))*(S368/(S368+T368)),(MAX(-35,(C368-D368)))*(IF(P368=0,0.1,(P368/(O368+P368))))*(T368/(S368+T368)))</f>
        <v>-2.64882943143813</v>
      </c>
      <c r="V368" s="0" t="n">
        <f aca="false">IF(L368=1,(MIN(35,(D368-C368)))*(M368/(M368+N368))*(Q368/(Q368+R368)),(MAX(-35,(D368-C368)))*(IF(N368=0,0.1,(N368/(M368+N368))))*(R368/(R368+Q368)))</f>
        <v>1.71102661596958</v>
      </c>
    </row>
    <row r="369" customFormat="false" ht="15" hidden="false" customHeight="false" outlineLevel="0" collapsed="false">
      <c r="A369" s="0" t="s">
        <v>89</v>
      </c>
      <c r="B369" s="0" t="s">
        <v>124</v>
      </c>
      <c r="C369" s="0" t="n">
        <v>16</v>
      </c>
      <c r="D369" s="0" t="n">
        <v>42</v>
      </c>
      <c r="E369" s="0" t="n">
        <v>171</v>
      </c>
      <c r="F369" s="0" t="n">
        <v>162</v>
      </c>
      <c r="G369" s="0" t="n">
        <v>246</v>
      </c>
      <c r="H369" s="0" t="n">
        <v>199</v>
      </c>
      <c r="I369" s="0" t="n">
        <v>4</v>
      </c>
      <c r="J369" s="0" t="n">
        <v>0</v>
      </c>
      <c r="K369" s="0" t="n">
        <v>0</v>
      </c>
      <c r="L369" s="0" t="n">
        <v>1</v>
      </c>
      <c r="M369" s="0" t="n">
        <f aca="false">VLOOKUP(A369,'Team Data'!$A$1:$P$133,2,FALSE())</f>
        <v>10</v>
      </c>
      <c r="N369" s="0" t="n">
        <f aca="false">VLOOKUP(A369,'Team Data'!$A$1:$P$133,3,FALSE())</f>
        <v>3</v>
      </c>
      <c r="O369" s="0" t="n">
        <f aca="false">VLOOKUP(B369,'Team Data'!$A$1:$P$133,2,FALSE())</f>
        <v>10</v>
      </c>
      <c r="P369" s="0" t="n">
        <f aca="false">VLOOKUP(B369,'Team Data'!$A$1:$P$133,3,FALSE())</f>
        <v>4</v>
      </c>
      <c r="Q369" s="0" t="n">
        <f aca="false">VLOOKUP(A369,'Team Data'!$A$1:$P$133,4,FALSE())</f>
        <v>94</v>
      </c>
      <c r="R369" s="0" t="n">
        <f aca="false">VLOOKUP(A369,'Team Data'!$A$1:$P$133,5,FALSE())</f>
        <v>182</v>
      </c>
      <c r="S369" s="0" t="n">
        <f aca="false">VLOOKUP(B369,'Team Data'!$A$1:$P$133,4,FALSE())</f>
        <v>102</v>
      </c>
      <c r="T369" s="0" t="n">
        <f aca="false">VLOOKUP(B369,'Team Data'!$A$1:$P$133,5,FALSE())</f>
        <v>185</v>
      </c>
      <c r="U369" s="0" t="n">
        <f aca="false">IF(K369=1,(MIN(35,(C369-D369)))*(O369/(O369+P369))*(S369/(S369+T369)),(MAX(-35,(C369-D369)))*(IF(P369=0,0.1,(P369/(O369+P369))))*(T369/(S369+T369)))</f>
        <v>-4.78845196615232</v>
      </c>
      <c r="V369" s="0" t="n">
        <f aca="false">IF(L369=1,(MIN(35,(D369-C369)))*(M369/(M369+N369))*(Q369/(Q369+R369)),(MAX(-35,(D369-C369)))*(IF(N369=0,0.1,(N369/(M369+N369))))*(R369/(R369+Q369)))</f>
        <v>6.81159420289855</v>
      </c>
    </row>
    <row r="370" customFormat="false" ht="15" hidden="false" customHeight="false" outlineLevel="0" collapsed="false">
      <c r="A370" s="0" t="s">
        <v>130</v>
      </c>
      <c r="B370" s="0" t="s">
        <v>116</v>
      </c>
      <c r="C370" s="0" t="n">
        <v>32</v>
      </c>
      <c r="D370" s="0" t="n">
        <v>40</v>
      </c>
      <c r="E370" s="0" t="n">
        <v>65</v>
      </c>
      <c r="F370" s="0" t="n">
        <v>184</v>
      </c>
      <c r="G370" s="0" t="n">
        <v>345</v>
      </c>
      <c r="H370" s="0" t="n">
        <v>315</v>
      </c>
      <c r="I370" s="0" t="n">
        <v>2</v>
      </c>
      <c r="J370" s="0" t="n">
        <v>0</v>
      </c>
      <c r="K370" s="0" t="n">
        <v>0</v>
      </c>
      <c r="L370" s="0" t="n">
        <v>1</v>
      </c>
      <c r="M370" s="0" t="n">
        <f aca="false">VLOOKUP(A370,'Team Data'!$A$1:$P$133,2,FALSE())</f>
        <v>11</v>
      </c>
      <c r="N370" s="0" t="n">
        <f aca="false">VLOOKUP(A370,'Team Data'!$A$1:$P$133,3,FALSE())</f>
        <v>2</v>
      </c>
      <c r="O370" s="0" t="n">
        <f aca="false">VLOOKUP(B370,'Team Data'!$A$1:$P$133,2,FALSE())</f>
        <v>9</v>
      </c>
      <c r="P370" s="0" t="n">
        <f aca="false">VLOOKUP(B370,'Team Data'!$A$1:$P$133,3,FALSE())</f>
        <v>4</v>
      </c>
      <c r="Q370" s="0" t="n">
        <f aca="false">VLOOKUP(A370,'Team Data'!$A$1:$P$133,4,FALSE())</f>
        <v>78</v>
      </c>
      <c r="R370" s="0" t="n">
        <f aca="false">VLOOKUP(A370,'Team Data'!$A$1:$P$133,5,FALSE())</f>
        <v>191</v>
      </c>
      <c r="S370" s="0" t="n">
        <f aca="false">VLOOKUP(B370,'Team Data'!$A$1:$P$133,4,FALSE())</f>
        <v>91</v>
      </c>
      <c r="T370" s="0" t="n">
        <f aca="false">VLOOKUP(B370,'Team Data'!$A$1:$P$133,5,FALSE())</f>
        <v>182</v>
      </c>
      <c r="U370" s="0" t="n">
        <f aca="false">IF(K370=1,(MIN(35,(C370-D370)))*(O370/(O370+P370))*(S370/(S370+T370)),(MAX(-35,(C370-D370)))*(IF(P370=0,0.1,(P370/(O370+P370))))*(T370/(S370+T370)))</f>
        <v>-1.64102564102564</v>
      </c>
      <c r="V370" s="0" t="n">
        <f aca="false">IF(L370=1,(MIN(35,(D370-C370)))*(M370/(M370+N370))*(Q370/(Q370+R370)),(MAX(-35,(D370-C370)))*(IF(N370=0,0.1,(N370/(M370+N370))))*(R370/(R370+Q370)))</f>
        <v>1.96282527881041</v>
      </c>
    </row>
    <row r="371" customFormat="false" ht="15" hidden="false" customHeight="false" outlineLevel="0" collapsed="false">
      <c r="A371" s="0" t="s">
        <v>85</v>
      </c>
      <c r="B371" s="0" t="s">
        <v>18</v>
      </c>
      <c r="C371" s="0" t="n">
        <v>36</v>
      </c>
      <c r="D371" s="0" t="n">
        <v>25</v>
      </c>
      <c r="E371" s="0" t="n">
        <v>166</v>
      </c>
      <c r="F371" s="0" t="n">
        <v>112</v>
      </c>
      <c r="G371" s="0" t="n">
        <v>213</v>
      </c>
      <c r="H371" s="0" t="n">
        <v>345</v>
      </c>
      <c r="I371" s="0" t="n">
        <v>1</v>
      </c>
      <c r="J371" s="0" t="n">
        <v>2</v>
      </c>
      <c r="K371" s="0" t="n">
        <v>1</v>
      </c>
      <c r="L371" s="0" t="n">
        <v>0</v>
      </c>
      <c r="M371" s="0" t="n">
        <f aca="false">VLOOKUP(A371,'Team Data'!$A$1:$P$133,2,FALSE())</f>
        <v>7</v>
      </c>
      <c r="N371" s="0" t="n">
        <f aca="false">VLOOKUP(A371,'Team Data'!$A$1:$P$133,3,FALSE())</f>
        <v>6</v>
      </c>
      <c r="O371" s="0" t="n">
        <f aca="false">VLOOKUP(B371,'Team Data'!$A$1:$P$133,2,FALSE())</f>
        <v>6</v>
      </c>
      <c r="P371" s="0" t="n">
        <f aca="false">VLOOKUP(B371,'Team Data'!$A$1:$P$133,3,FALSE())</f>
        <v>7</v>
      </c>
      <c r="Q371" s="0" t="n">
        <f aca="false">VLOOKUP(A371,'Team Data'!$A$1:$P$133,4,FALSE())</f>
        <v>88</v>
      </c>
      <c r="R371" s="0" t="n">
        <f aca="false">VLOOKUP(A371,'Team Data'!$A$1:$P$133,5,FALSE())</f>
        <v>187</v>
      </c>
      <c r="S371" s="0" t="n">
        <f aca="false">VLOOKUP(B371,'Team Data'!$A$1:$P$133,4,FALSE())</f>
        <v>97</v>
      </c>
      <c r="T371" s="0" t="n">
        <f aca="false">VLOOKUP(B371,'Team Data'!$A$1:$P$133,5,FALSE())</f>
        <v>179</v>
      </c>
      <c r="U371" s="0" t="n">
        <f aca="false">IF(K371=1,(MIN(35,(C371-D371)))*(O371/(O371+P371))*(S371/(S371+T371)),(MAX(-35,(C371-D371)))*(IF(P371=0,0.1,(P371/(O371+P371))))*(T371/(S371+T371)))</f>
        <v>1.78428093645485</v>
      </c>
      <c r="V371" s="0" t="n">
        <f aca="false">IF(L371=1,(MIN(35,(D371-C371)))*(M371/(M371+N371))*(Q371/(Q371+R371)),(MAX(-35,(D371-C371)))*(IF(N371=0,0.1,(N371/(M371+N371))))*(R371/(R371+Q371)))</f>
        <v>-3.45230769230769</v>
      </c>
    </row>
    <row r="372" customFormat="false" ht="15" hidden="false" customHeight="false" outlineLevel="0" collapsed="false">
      <c r="A372" s="0" t="s">
        <v>48</v>
      </c>
      <c r="B372" s="0" t="s">
        <v>50</v>
      </c>
      <c r="C372" s="0" t="n">
        <v>11</v>
      </c>
      <c r="D372" s="0" t="n">
        <v>14</v>
      </c>
      <c r="E372" s="0" t="n">
        <v>16</v>
      </c>
      <c r="F372" s="0" t="n">
        <v>112</v>
      </c>
      <c r="G372" s="0" t="n">
        <v>287</v>
      </c>
      <c r="H372" s="0" t="n">
        <v>101</v>
      </c>
      <c r="I372" s="0" t="n">
        <v>2</v>
      </c>
      <c r="J372" s="0" t="n">
        <v>1</v>
      </c>
      <c r="K372" s="0" t="n">
        <v>0</v>
      </c>
      <c r="L372" s="0" t="n">
        <v>1</v>
      </c>
      <c r="M372" s="0" t="n">
        <f aca="false">VLOOKUP(A372,'Team Data'!$A$1:$P$133,2,FALSE())</f>
        <v>4</v>
      </c>
      <c r="N372" s="0" t="n">
        <f aca="false">VLOOKUP(A372,'Team Data'!$A$1:$P$133,3,FALSE())</f>
        <v>8</v>
      </c>
      <c r="O372" s="0" t="n">
        <f aca="false">VLOOKUP(B372,'Team Data'!$A$1:$P$133,2,FALSE())</f>
        <v>6</v>
      </c>
      <c r="P372" s="0" t="n">
        <f aca="false">VLOOKUP(B372,'Team Data'!$A$1:$P$133,3,FALSE())</f>
        <v>7</v>
      </c>
      <c r="Q372" s="0" t="n">
        <f aca="false">VLOOKUP(A372,'Team Data'!$A$1:$P$133,4,FALSE())</f>
        <v>95</v>
      </c>
      <c r="R372" s="0" t="n">
        <f aca="false">VLOOKUP(A372,'Team Data'!$A$1:$P$133,5,FALSE())</f>
        <v>171</v>
      </c>
      <c r="S372" s="0" t="n">
        <f aca="false">VLOOKUP(B372,'Team Data'!$A$1:$P$133,4,FALSE())</f>
        <v>99</v>
      </c>
      <c r="T372" s="0" t="n">
        <f aca="false">VLOOKUP(B372,'Team Data'!$A$1:$P$133,5,FALSE())</f>
        <v>178</v>
      </c>
      <c r="U372" s="0" t="n">
        <f aca="false">IF(K372=1,(MIN(35,(C372-D372)))*(O372/(O372+P372))*(S372/(S372+T372)),(MAX(-35,(C372-D372)))*(IF(P372=0,0.1,(P372/(O372+P372))))*(T372/(S372+T372)))</f>
        <v>-1.03804498750347</v>
      </c>
      <c r="V372" s="0" t="n">
        <f aca="false">IF(L372=1,(MIN(35,(D372-C372)))*(M372/(M372+N372))*(Q372/(Q372+R372)),(MAX(-35,(D372-C372)))*(IF(N372=0,0.1,(N372/(M372+N372))))*(R372/(R372+Q372)))</f>
        <v>0.357142857142857</v>
      </c>
    </row>
    <row r="373" customFormat="false" ht="15" hidden="false" customHeight="false" outlineLevel="0" collapsed="false">
      <c r="A373" s="0" t="s">
        <v>109</v>
      </c>
      <c r="B373" s="0" t="s">
        <v>51</v>
      </c>
      <c r="C373" s="0" t="n">
        <v>28</v>
      </c>
      <c r="D373" s="0" t="n">
        <v>37</v>
      </c>
      <c r="E373" s="0" t="n">
        <v>114</v>
      </c>
      <c r="F373" s="0" t="n">
        <v>343</v>
      </c>
      <c r="G373" s="0" t="n">
        <v>359</v>
      </c>
      <c r="H373" s="0" t="n">
        <v>116</v>
      </c>
      <c r="I373" s="0" t="n">
        <v>4</v>
      </c>
      <c r="J373" s="0" t="n">
        <v>1</v>
      </c>
      <c r="K373" s="0" t="n">
        <v>0</v>
      </c>
      <c r="L373" s="0" t="n">
        <v>1</v>
      </c>
      <c r="M373" s="0" t="n">
        <f aca="false">VLOOKUP(A373,'Team Data'!$A$1:$P$133,2,FALSE())</f>
        <v>8</v>
      </c>
      <c r="N373" s="0" t="n">
        <f aca="false">VLOOKUP(A373,'Team Data'!$A$1:$P$133,3,FALSE())</f>
        <v>5</v>
      </c>
      <c r="O373" s="0" t="n">
        <f aca="false">VLOOKUP(B373,'Team Data'!$A$1:$P$133,2,FALSE())</f>
        <v>10</v>
      </c>
      <c r="P373" s="0" t="n">
        <f aca="false">VLOOKUP(B373,'Team Data'!$A$1:$P$133,3,FALSE())</f>
        <v>4</v>
      </c>
      <c r="Q373" s="0" t="n">
        <f aca="false">VLOOKUP(A373,'Team Data'!$A$1:$P$133,4,FALSE())</f>
        <v>97</v>
      </c>
      <c r="R373" s="0" t="n">
        <f aca="false">VLOOKUP(A373,'Team Data'!$A$1:$P$133,5,FALSE())</f>
        <v>180</v>
      </c>
      <c r="S373" s="0" t="n">
        <f aca="false">VLOOKUP(B373,'Team Data'!$A$1:$P$133,4,FALSE())</f>
        <v>113</v>
      </c>
      <c r="T373" s="0" t="n">
        <f aca="false">VLOOKUP(B373,'Team Data'!$A$1:$P$133,5,FALSE())</f>
        <v>179</v>
      </c>
      <c r="U373" s="0" t="n">
        <f aca="false">IF(K373=1,(MIN(35,(C373-D373)))*(O373/(O373+P373))*(S373/(S373+T373)),(MAX(-35,(C373-D373)))*(IF(P373=0,0.1,(P373/(O373+P373))))*(T373/(S373+T373)))</f>
        <v>-1.57632093933464</v>
      </c>
      <c r="V373" s="0" t="n">
        <f aca="false">IF(L373=1,(MIN(35,(D373-C373)))*(M373/(M373+N373))*(Q373/(Q373+R373)),(MAX(-35,(D373-C373)))*(IF(N373=0,0.1,(N373/(M373+N373))))*(R373/(R373+Q373)))</f>
        <v>1.9394612607609</v>
      </c>
    </row>
    <row r="374" customFormat="false" ht="15" hidden="false" customHeight="false" outlineLevel="0" collapsed="false">
      <c r="A374" s="0" t="s">
        <v>84</v>
      </c>
      <c r="B374" s="0" t="s">
        <v>103</v>
      </c>
      <c r="C374" s="0" t="n">
        <v>24</v>
      </c>
      <c r="D374" s="0" t="n">
        <v>55</v>
      </c>
      <c r="E374" s="0" t="n">
        <v>179</v>
      </c>
      <c r="F374" s="0" t="n">
        <v>361</v>
      </c>
      <c r="G374" s="0" t="n">
        <v>176</v>
      </c>
      <c r="H374" s="0" t="n">
        <v>307</v>
      </c>
      <c r="I374" s="0" t="n">
        <v>1</v>
      </c>
      <c r="J374" s="0" t="n">
        <v>0</v>
      </c>
      <c r="K374" s="0" t="n">
        <v>0</v>
      </c>
      <c r="L374" s="0" t="n">
        <v>1</v>
      </c>
      <c r="M374" s="0" t="n">
        <f aca="false">VLOOKUP(A374,'Team Data'!$A$1:$P$133,2,FALSE())</f>
        <v>6</v>
      </c>
      <c r="N374" s="0" t="n">
        <f aca="false">VLOOKUP(A374,'Team Data'!$A$1:$P$133,3,FALSE())</f>
        <v>7</v>
      </c>
      <c r="O374" s="0" t="n">
        <f aca="false">VLOOKUP(B374,'Team Data'!$A$1:$P$133,2,FALSE())</f>
        <v>13</v>
      </c>
      <c r="P374" s="0" t="n">
        <f aca="false">VLOOKUP(B374,'Team Data'!$A$1:$P$133,3,FALSE())</f>
        <v>2</v>
      </c>
      <c r="Q374" s="0" t="n">
        <f aca="false">VLOOKUP(A374,'Team Data'!$A$1:$P$133,4,FALSE())</f>
        <v>91</v>
      </c>
      <c r="R374" s="0" t="n">
        <f aca="false">VLOOKUP(A374,'Team Data'!$A$1:$P$133,5,FALSE())</f>
        <v>76</v>
      </c>
      <c r="S374" s="0" t="n">
        <f aca="false">VLOOKUP(B374,'Team Data'!$A$1:$P$133,4,FALSE())</f>
        <v>114</v>
      </c>
      <c r="T374" s="0" t="n">
        <f aca="false">VLOOKUP(B374,'Team Data'!$A$1:$P$133,5,FALSE())</f>
        <v>190</v>
      </c>
      <c r="U374" s="0" t="n">
        <f aca="false">IF(K374=1,(MIN(35,(C374-D374)))*(O374/(O374+P374))*(S374/(S374+T374)),(MAX(-35,(C374-D374)))*(IF(P374=0,0.1,(P374/(O374+P374))))*(T374/(S374+T374)))</f>
        <v>-2.58333333333333</v>
      </c>
      <c r="V374" s="0" t="n">
        <f aca="false">IF(L374=1,(MIN(35,(D374-C374)))*(M374/(M374+N374))*(Q374/(Q374+R374)),(MAX(-35,(D374-C374)))*(IF(N374=0,0.1,(N374/(M374+N374))))*(R374/(R374+Q374)))</f>
        <v>7.79640718562874</v>
      </c>
    </row>
    <row r="375" customFormat="false" ht="15" hidden="false" customHeight="false" outlineLevel="0" collapsed="false">
      <c r="A375" s="0" t="s">
        <v>132</v>
      </c>
      <c r="B375" s="0" t="s">
        <v>106</v>
      </c>
      <c r="C375" s="0" t="n">
        <v>20</v>
      </c>
      <c r="D375" s="0" t="n">
        <v>38</v>
      </c>
      <c r="E375" s="0" t="n">
        <v>61</v>
      </c>
      <c r="F375" s="0" t="n">
        <v>110</v>
      </c>
      <c r="G375" s="0" t="n">
        <v>253</v>
      </c>
      <c r="H375" s="0" t="n">
        <v>336</v>
      </c>
      <c r="I375" s="0" t="n">
        <v>0</v>
      </c>
      <c r="J375" s="0" t="n">
        <v>0</v>
      </c>
      <c r="K375" s="0" t="n">
        <v>0</v>
      </c>
      <c r="L375" s="0" t="n">
        <v>1</v>
      </c>
      <c r="M375" s="0" t="n">
        <f aca="false">VLOOKUP(A375,'Team Data'!$A$1:$P$133,2,FALSE())</f>
        <v>5</v>
      </c>
      <c r="N375" s="0" t="n">
        <f aca="false">VLOOKUP(A375,'Team Data'!$A$1:$P$133,3,FALSE())</f>
        <v>7</v>
      </c>
      <c r="O375" s="0" t="n">
        <f aca="false">VLOOKUP(B375,'Team Data'!$A$1:$P$133,2,FALSE())</f>
        <v>8</v>
      </c>
      <c r="P375" s="0" t="n">
        <f aca="false">VLOOKUP(B375,'Team Data'!$A$1:$P$133,3,FALSE())</f>
        <v>5</v>
      </c>
      <c r="Q375" s="0" t="n">
        <f aca="false">VLOOKUP(A375,'Team Data'!$A$1:$P$133,4,FALSE())</f>
        <v>88</v>
      </c>
      <c r="R375" s="0" t="n">
        <f aca="false">VLOOKUP(A375,'Team Data'!$A$1:$P$133,5,FALSE())</f>
        <v>175</v>
      </c>
      <c r="S375" s="0" t="n">
        <f aca="false">VLOOKUP(B375,'Team Data'!$A$1:$P$133,4,FALSE())</f>
        <v>102</v>
      </c>
      <c r="T375" s="0" t="n">
        <f aca="false">VLOOKUP(B375,'Team Data'!$A$1:$P$133,5,FALSE())</f>
        <v>68</v>
      </c>
      <c r="U375" s="0" t="n">
        <f aca="false">IF(K375=1,(MIN(35,(C375-D375)))*(O375/(O375+P375))*(S375/(S375+T375)),(MAX(-35,(C375-D375)))*(IF(P375=0,0.1,(P375/(O375+P375))))*(T375/(S375+T375)))</f>
        <v>-2.76923076923077</v>
      </c>
      <c r="V375" s="0" t="n">
        <f aca="false">IF(L375=1,(MIN(35,(D375-C375)))*(M375/(M375+N375))*(Q375/(Q375+R375)),(MAX(-35,(D375-C375)))*(IF(N375=0,0.1,(N375/(M375+N375))))*(R375/(R375+Q375)))</f>
        <v>2.50950570342205</v>
      </c>
    </row>
    <row r="376" customFormat="false" ht="15" hidden="false" customHeight="false" outlineLevel="0" collapsed="false">
      <c r="A376" s="0" t="s">
        <v>41</v>
      </c>
      <c r="B376" s="0" t="s">
        <v>14</v>
      </c>
      <c r="C376" s="0" t="n">
        <v>31</v>
      </c>
      <c r="D376" s="0" t="n">
        <v>14</v>
      </c>
      <c r="E376" s="0" t="n">
        <v>299</v>
      </c>
      <c r="F376" s="0" t="n">
        <v>354</v>
      </c>
      <c r="G376" s="0" t="n">
        <v>157</v>
      </c>
      <c r="H376" s="0" t="n">
        <v>11</v>
      </c>
      <c r="I376" s="0" t="n">
        <v>1</v>
      </c>
      <c r="J376" s="0" t="n">
        <v>3</v>
      </c>
      <c r="K376" s="0" t="n">
        <v>1</v>
      </c>
      <c r="L376" s="0" t="n">
        <v>0</v>
      </c>
      <c r="M376" s="0" t="n">
        <f aca="false">VLOOKUP(A376,'Team Data'!$A$1:$P$133,2,FALSE())</f>
        <v>4</v>
      </c>
      <c r="N376" s="0" t="n">
        <f aca="false">VLOOKUP(A376,'Team Data'!$A$1:$P$133,3,FALSE())</f>
        <v>8</v>
      </c>
      <c r="O376" s="0" t="n">
        <f aca="false">VLOOKUP(B376,'Team Data'!$A$1:$P$133,2,FALSE())</f>
        <v>6</v>
      </c>
      <c r="P376" s="0" t="n">
        <f aca="false">VLOOKUP(B376,'Team Data'!$A$1:$P$133,3,FALSE())</f>
        <v>6</v>
      </c>
      <c r="Q376" s="0" t="n">
        <f aca="false">VLOOKUP(A376,'Team Data'!$A$1:$P$133,4,FALSE())</f>
        <v>78</v>
      </c>
      <c r="R376" s="0" t="n">
        <f aca="false">VLOOKUP(A376,'Team Data'!$A$1:$P$133,5,FALSE())</f>
        <v>72</v>
      </c>
      <c r="S376" s="0" t="n">
        <f aca="false">VLOOKUP(B376,'Team Data'!$A$1:$P$133,4,FALSE())</f>
        <v>85</v>
      </c>
      <c r="T376" s="0" t="n">
        <f aca="false">VLOOKUP(B376,'Team Data'!$A$1:$P$133,5,FALSE())</f>
        <v>283</v>
      </c>
      <c r="U376" s="0" t="n">
        <f aca="false">IF(K376=1,(MIN(35,(C376-D376)))*(O376/(O376+P376))*(S376/(S376+T376)),(MAX(-35,(C376-D376)))*(IF(P376=0,0.1,(P376/(O376+P376))))*(T376/(S376+T376)))</f>
        <v>1.9633152173913</v>
      </c>
      <c r="V376" s="0" t="n">
        <f aca="false">IF(L376=1,(MIN(35,(D376-C376)))*(M376/(M376+N376))*(Q376/(Q376+R376)),(MAX(-35,(D376-C376)))*(IF(N376=0,0.1,(N376/(M376+N376))))*(R376/(R376+Q376)))</f>
        <v>-5.44</v>
      </c>
    </row>
    <row r="377" customFormat="false" ht="15" hidden="false" customHeight="false" outlineLevel="0" collapsed="false">
      <c r="A377" s="0" t="s">
        <v>38</v>
      </c>
      <c r="B377" s="0" t="s">
        <v>117</v>
      </c>
      <c r="C377" s="0" t="n">
        <v>14</v>
      </c>
      <c r="D377" s="0" t="n">
        <v>19</v>
      </c>
      <c r="E377" s="0" t="n">
        <v>30</v>
      </c>
      <c r="F377" s="0" t="n">
        <v>183</v>
      </c>
      <c r="G377" s="0" t="n">
        <v>157</v>
      </c>
      <c r="H377" s="0" t="n">
        <v>130</v>
      </c>
      <c r="I377" s="0" t="n">
        <v>3</v>
      </c>
      <c r="J377" s="0" t="n">
        <v>2</v>
      </c>
      <c r="K377" s="0" t="n">
        <v>0</v>
      </c>
      <c r="L377" s="0" t="n">
        <v>1</v>
      </c>
      <c r="M377" s="0" t="n">
        <f aca="false">VLOOKUP(A377,'Team Data'!$A$1:$P$133,2,FALSE())</f>
        <v>10</v>
      </c>
      <c r="N377" s="0" t="n">
        <f aca="false">VLOOKUP(A377,'Team Data'!$A$1:$P$133,3,FALSE())</f>
        <v>4</v>
      </c>
      <c r="O377" s="0" t="n">
        <f aca="false">VLOOKUP(B377,'Team Data'!$A$1:$P$133,2,FALSE())</f>
        <v>6</v>
      </c>
      <c r="P377" s="0" t="n">
        <f aca="false">VLOOKUP(B377,'Team Data'!$A$1:$P$133,3,FALSE())</f>
        <v>7</v>
      </c>
      <c r="Q377" s="0" t="n">
        <f aca="false">VLOOKUP(A377,'Team Data'!$A$1:$P$133,4,FALSE())</f>
        <v>95</v>
      </c>
      <c r="R377" s="0" t="n">
        <f aca="false">VLOOKUP(A377,'Team Data'!$A$1:$P$133,5,FALSE())</f>
        <v>193</v>
      </c>
      <c r="S377" s="0" t="n">
        <f aca="false">VLOOKUP(B377,'Team Data'!$A$1:$P$133,4,FALSE())</f>
        <v>88</v>
      </c>
      <c r="T377" s="0" t="n">
        <f aca="false">VLOOKUP(B377,'Team Data'!$A$1:$P$133,5,FALSE())</f>
        <v>185</v>
      </c>
      <c r="U377" s="0" t="n">
        <f aca="false">IF(K377=1,(MIN(35,(C377-D377)))*(O377/(O377+P377))*(S377/(S377+T377)),(MAX(-35,(C377-D377)))*(IF(P377=0,0.1,(P377/(O377+P377))))*(T377/(S377+T377)))</f>
        <v>-1.82445759368836</v>
      </c>
      <c r="V377" s="0" t="n">
        <f aca="false">IF(L377=1,(MIN(35,(D377-C377)))*(M377/(M377+N377))*(Q377/(Q377+R377)),(MAX(-35,(D377-C377)))*(IF(N377=0,0.1,(N377/(M377+N377))))*(R377/(R377+Q377)))</f>
        <v>1.1780753968254</v>
      </c>
    </row>
    <row r="378" customFormat="false" ht="15" hidden="false" customHeight="false" outlineLevel="0" collapsed="false">
      <c r="A378" s="0" t="s">
        <v>55</v>
      </c>
      <c r="B378" s="0" t="s">
        <v>86</v>
      </c>
      <c r="C378" s="0" t="n">
        <v>38</v>
      </c>
      <c r="D378" s="0" t="n">
        <v>24</v>
      </c>
      <c r="E378" s="0" t="n">
        <v>210</v>
      </c>
      <c r="F378" s="0" t="n">
        <v>118</v>
      </c>
      <c r="G378" s="0" t="n">
        <v>268</v>
      </c>
      <c r="H378" s="0" t="n">
        <v>297</v>
      </c>
      <c r="I378" s="0" t="n">
        <v>2</v>
      </c>
      <c r="J378" s="0" t="n">
        <v>2</v>
      </c>
      <c r="K378" s="0" t="n">
        <v>1</v>
      </c>
      <c r="L378" s="0" t="n">
        <v>0</v>
      </c>
      <c r="M378" s="0" t="n">
        <f aca="false">VLOOKUP(A378,'Team Data'!$A$1:$P$133,2,FALSE())</f>
        <v>8</v>
      </c>
      <c r="N378" s="0" t="n">
        <f aca="false">VLOOKUP(A378,'Team Data'!$A$1:$P$133,3,FALSE())</f>
        <v>5</v>
      </c>
      <c r="O378" s="0" t="n">
        <f aca="false">VLOOKUP(B378,'Team Data'!$A$1:$P$133,2,FALSE())</f>
        <v>3</v>
      </c>
      <c r="P378" s="0" t="n">
        <f aca="false">VLOOKUP(B378,'Team Data'!$A$1:$P$133,3,FALSE())</f>
        <v>9</v>
      </c>
      <c r="Q378" s="0" t="n">
        <f aca="false">VLOOKUP(A378,'Team Data'!$A$1:$P$133,4,FALSE())</f>
        <v>76</v>
      </c>
      <c r="R378" s="0" t="n">
        <f aca="false">VLOOKUP(A378,'Team Data'!$A$1:$P$133,5,FALSE())</f>
        <v>196</v>
      </c>
      <c r="S378" s="0" t="n">
        <f aca="false">VLOOKUP(B378,'Team Data'!$A$1:$P$133,4,FALSE())</f>
        <v>77</v>
      </c>
      <c r="T378" s="0" t="n">
        <f aca="false">VLOOKUP(B378,'Team Data'!$A$1:$P$133,5,FALSE())</f>
        <v>69</v>
      </c>
      <c r="U378" s="0" t="n">
        <f aca="false">IF(K378=1,(MIN(35,(C378-D378)))*(O378/(O378+P378))*(S378/(S378+T378)),(MAX(-35,(C378-D378)))*(IF(P378=0,0.1,(P378/(O378+P378))))*(T378/(S378+T378)))</f>
        <v>1.8458904109589</v>
      </c>
      <c r="V378" s="0" t="n">
        <f aca="false">IF(L378=1,(MIN(35,(D378-C378)))*(M378/(M378+N378))*(Q378/(Q378+R378)),(MAX(-35,(D378-C378)))*(IF(N378=0,0.1,(N378/(M378+N378))))*(R378/(R378+Q378)))</f>
        <v>-3.88009049773756</v>
      </c>
    </row>
    <row r="379" customFormat="false" ht="15" hidden="false" customHeight="false" outlineLevel="0" collapsed="false">
      <c r="A379" s="0" t="s">
        <v>45</v>
      </c>
      <c r="B379" s="0" t="s">
        <v>135</v>
      </c>
      <c r="C379" s="0" t="n">
        <v>34</v>
      </c>
      <c r="D379" s="0" t="n">
        <v>10</v>
      </c>
      <c r="E379" s="0" t="n">
        <v>137</v>
      </c>
      <c r="F379" s="0" t="n">
        <v>2</v>
      </c>
      <c r="G379" s="0" t="n">
        <v>167</v>
      </c>
      <c r="H379" s="0" t="n">
        <v>206</v>
      </c>
      <c r="I379" s="0" t="n">
        <v>0</v>
      </c>
      <c r="J379" s="0" t="n">
        <v>3</v>
      </c>
      <c r="K379" s="0" t="n">
        <v>1</v>
      </c>
      <c r="L379" s="0" t="n">
        <v>0</v>
      </c>
      <c r="M379" s="0" t="n">
        <f aca="false">VLOOKUP(A379,'Team Data'!$A$1:$P$133,2,FALSE())</f>
        <v>8</v>
      </c>
      <c r="N379" s="0" t="n">
        <f aca="false">VLOOKUP(A379,'Team Data'!$A$1:$P$133,3,FALSE())</f>
        <v>5</v>
      </c>
      <c r="O379" s="0" t="n">
        <f aca="false">VLOOKUP(B379,'Team Data'!$A$1:$P$133,2,FALSE())</f>
        <v>7</v>
      </c>
      <c r="P379" s="0" t="n">
        <f aca="false">VLOOKUP(B379,'Team Data'!$A$1:$P$133,3,FALSE())</f>
        <v>6</v>
      </c>
      <c r="Q379" s="0" t="n">
        <f aca="false">VLOOKUP(A379,'Team Data'!$A$1:$P$133,4,FALSE())</f>
        <v>86</v>
      </c>
      <c r="R379" s="0" t="n">
        <f aca="false">VLOOKUP(A379,'Team Data'!$A$1:$P$133,5,FALSE())</f>
        <v>185</v>
      </c>
      <c r="S379" s="0" t="n">
        <f aca="false">VLOOKUP(B379,'Team Data'!$A$1:$P$133,4,FALSE())</f>
        <v>91</v>
      </c>
      <c r="T379" s="0" t="n">
        <f aca="false">VLOOKUP(B379,'Team Data'!$A$1:$P$133,5,FALSE())</f>
        <v>183</v>
      </c>
      <c r="U379" s="0" t="n">
        <f aca="false">IF(K379=1,(MIN(35,(C379-D379)))*(O379/(O379+P379))*(S379/(S379+T379)),(MAX(-35,(C379-D379)))*(IF(P379=0,0.1,(P379/(O379+P379))))*(T379/(S379+T379)))</f>
        <v>4.29197080291971</v>
      </c>
      <c r="V379" s="0" t="n">
        <f aca="false">IF(L379=1,(MIN(35,(D379-C379)))*(M379/(M379+N379))*(Q379/(Q379+R379)),(MAX(-35,(D379-C379)))*(IF(N379=0,0.1,(N379/(M379+N379))))*(R379/(R379+Q379)))</f>
        <v>-6.30144762986091</v>
      </c>
    </row>
    <row r="380" customFormat="false" ht="15" hidden="false" customHeight="false" outlineLevel="0" collapsed="false">
      <c r="A380" s="0" t="s">
        <v>65</v>
      </c>
      <c r="B380" s="0" t="s">
        <v>47</v>
      </c>
      <c r="C380" s="0" t="n">
        <v>27</v>
      </c>
      <c r="D380" s="0" t="n">
        <v>14</v>
      </c>
      <c r="E380" s="0" t="n">
        <v>172</v>
      </c>
      <c r="F380" s="0" t="n">
        <v>35</v>
      </c>
      <c r="G380" s="0" t="n">
        <v>155</v>
      </c>
      <c r="H380" s="0" t="n">
        <v>246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f aca="false">VLOOKUP(A380,'Team Data'!$A$1:$P$133,2,FALSE())</f>
        <v>13</v>
      </c>
      <c r="N380" s="0" t="n">
        <f aca="false">VLOOKUP(A380,'Team Data'!$A$1:$P$133,3,FALSE())</f>
        <v>1</v>
      </c>
      <c r="O380" s="0" t="n">
        <f aca="false">VLOOKUP(B380,'Team Data'!$A$1:$P$133,2,FALSE())</f>
        <v>8</v>
      </c>
      <c r="P380" s="0" t="n">
        <f aca="false">VLOOKUP(B380,'Team Data'!$A$1:$P$133,3,FALSE())</f>
        <v>5</v>
      </c>
      <c r="Q380" s="0" t="n">
        <f aca="false">VLOOKUP(A380,'Team Data'!$A$1:$P$133,4,FALSE())</f>
        <v>96</v>
      </c>
      <c r="R380" s="0" t="n">
        <f aca="false">VLOOKUP(A380,'Team Data'!$A$1:$P$133,5,FALSE())</f>
        <v>84</v>
      </c>
      <c r="S380" s="0" t="n">
        <f aca="false">VLOOKUP(B380,'Team Data'!$A$1:$P$133,4,FALSE())</f>
        <v>86</v>
      </c>
      <c r="T380" s="0" t="n">
        <f aca="false">VLOOKUP(B380,'Team Data'!$A$1:$P$133,5,FALSE())</f>
        <v>187</v>
      </c>
      <c r="U380" s="0" t="n">
        <f aca="false">IF(K380=1,(MIN(35,(C380-D380)))*(O380/(O380+P380))*(S380/(S380+T380)),(MAX(-35,(C380-D380)))*(IF(P380=0,0.1,(P380/(O380+P380))))*(T380/(S380+T380)))</f>
        <v>2.52014652014652</v>
      </c>
      <c r="V380" s="0" t="n">
        <f aca="false">IF(L380=1,(MIN(35,(D380-C380)))*(M380/(M380+N380))*(Q380/(Q380+R380)),(MAX(-35,(D380-C380)))*(IF(N380=0,0.1,(N380/(M380+N380))))*(R380/(R380+Q380)))</f>
        <v>-0.433333333333333</v>
      </c>
    </row>
    <row r="381" customFormat="false" ht="15" hidden="false" customHeight="false" outlineLevel="0" collapsed="false">
      <c r="A381" s="0" t="s">
        <v>92</v>
      </c>
      <c r="B381" s="0" t="s">
        <v>68</v>
      </c>
      <c r="C381" s="0" t="n">
        <v>20</v>
      </c>
      <c r="D381" s="0" t="n">
        <v>10</v>
      </c>
      <c r="E381" s="0" t="n">
        <v>160</v>
      </c>
      <c r="F381" s="0" t="n">
        <v>47</v>
      </c>
      <c r="G381" s="0" t="n">
        <v>199</v>
      </c>
      <c r="H381" s="0" t="n">
        <v>257</v>
      </c>
      <c r="I381" s="0" t="n">
        <v>3</v>
      </c>
      <c r="J381" s="0" t="n">
        <v>3</v>
      </c>
      <c r="K381" s="0" t="n">
        <v>1</v>
      </c>
      <c r="L381" s="0" t="n">
        <v>0</v>
      </c>
      <c r="M381" s="0" t="n">
        <f aca="false">VLOOKUP(A381,'Team Data'!$A$1:$P$133,2,FALSE())</f>
        <v>8</v>
      </c>
      <c r="N381" s="0" t="n">
        <f aca="false">VLOOKUP(A381,'Team Data'!$A$1:$P$133,3,FALSE())</f>
        <v>6</v>
      </c>
      <c r="O381" s="0" t="n">
        <f aca="false">VLOOKUP(B381,'Team Data'!$A$1:$P$133,2,FALSE())</f>
        <v>9</v>
      </c>
      <c r="P381" s="0" t="n">
        <f aca="false">VLOOKUP(B381,'Team Data'!$A$1:$P$133,3,FALSE())</f>
        <v>4</v>
      </c>
      <c r="Q381" s="0" t="n">
        <f aca="false">VLOOKUP(A381,'Team Data'!$A$1:$P$133,4,FALSE())</f>
        <v>103</v>
      </c>
      <c r="R381" s="0" t="n">
        <f aca="false">VLOOKUP(A381,'Team Data'!$A$1:$P$133,5,FALSE())</f>
        <v>184</v>
      </c>
      <c r="S381" s="0" t="n">
        <f aca="false">VLOOKUP(B381,'Team Data'!$A$1:$P$133,4,FALSE())</f>
        <v>79</v>
      </c>
      <c r="T381" s="0" t="n">
        <f aca="false">VLOOKUP(B381,'Team Data'!$A$1:$P$133,5,FALSE())</f>
        <v>193</v>
      </c>
      <c r="U381" s="0" t="n">
        <f aca="false">IF(K381=1,(MIN(35,(C381-D381)))*(O381/(O381+P381))*(S381/(S381+T381)),(MAX(-35,(C381-D381)))*(IF(P381=0,0.1,(P381/(O381+P381))))*(T381/(S381+T381)))</f>
        <v>2.01074660633484</v>
      </c>
      <c r="V381" s="0" t="n">
        <f aca="false">IF(L381=1,(MIN(35,(D381-C381)))*(M381/(M381+N381))*(Q381/(Q381+R381)),(MAX(-35,(D381-C381)))*(IF(N381=0,0.1,(N381/(M381+N381))))*(R381/(R381+Q381)))</f>
        <v>-2.7476356396217</v>
      </c>
    </row>
    <row r="382" customFormat="false" ht="15" hidden="false" customHeight="false" outlineLevel="0" collapsed="false">
      <c r="A382" s="0" t="s">
        <v>46</v>
      </c>
      <c r="B382" s="0" t="s">
        <v>73</v>
      </c>
      <c r="C382" s="0" t="n">
        <v>21</v>
      </c>
      <c r="D382" s="0" t="n">
        <v>35</v>
      </c>
      <c r="E382" s="0" t="n">
        <v>67</v>
      </c>
      <c r="F382" s="0" t="n">
        <v>115</v>
      </c>
      <c r="G382" s="0" t="n">
        <v>223</v>
      </c>
      <c r="H382" s="0" t="n">
        <v>270</v>
      </c>
      <c r="I382" s="0" t="n">
        <v>1</v>
      </c>
      <c r="J382" s="0" t="n">
        <v>2</v>
      </c>
      <c r="K382" s="0" t="n">
        <v>0</v>
      </c>
      <c r="L382" s="0" t="n">
        <v>1</v>
      </c>
      <c r="M382" s="0" t="n">
        <f aca="false">VLOOKUP(A382,'Team Data'!$A$1:$P$133,2,FALSE())</f>
        <v>4</v>
      </c>
      <c r="N382" s="0" t="n">
        <f aca="false">VLOOKUP(A382,'Team Data'!$A$1:$P$133,3,FALSE())</f>
        <v>8</v>
      </c>
      <c r="O382" s="0" t="n">
        <f aca="false">VLOOKUP(B382,'Team Data'!$A$1:$P$133,2,FALSE())</f>
        <v>4</v>
      </c>
      <c r="P382" s="0" t="n">
        <f aca="false">VLOOKUP(B382,'Team Data'!$A$1:$P$133,3,FALSE())</f>
        <v>8</v>
      </c>
      <c r="Q382" s="0" t="n">
        <f aca="false">VLOOKUP(A382,'Team Data'!$A$1:$P$133,4,FALSE())</f>
        <v>98</v>
      </c>
      <c r="R382" s="0" t="n">
        <f aca="false">VLOOKUP(A382,'Team Data'!$A$1:$P$133,5,FALSE())</f>
        <v>165</v>
      </c>
      <c r="S382" s="0" t="n">
        <f aca="false">VLOOKUP(B382,'Team Data'!$A$1:$P$133,4,FALSE())</f>
        <v>82</v>
      </c>
      <c r="T382" s="0" t="n">
        <f aca="false">VLOOKUP(B382,'Team Data'!$A$1:$P$133,5,FALSE())</f>
        <v>180</v>
      </c>
      <c r="U382" s="0" t="n">
        <f aca="false">IF(K382=1,(MIN(35,(C382-D382)))*(O382/(O382+P382))*(S382/(S382+T382)),(MAX(-35,(C382-D382)))*(IF(P382=0,0.1,(P382/(O382+P382))))*(T382/(S382+T382)))</f>
        <v>-6.41221374045801</v>
      </c>
      <c r="V382" s="0" t="n">
        <f aca="false">IF(L382=1,(MIN(35,(D382-C382)))*(M382/(M382+N382))*(Q382/(Q382+R382)),(MAX(-35,(D382-C382)))*(IF(N382=0,0.1,(N382/(M382+N382))))*(R382/(R382+Q382)))</f>
        <v>1.73891001267427</v>
      </c>
    </row>
    <row r="383" customFormat="false" ht="15" hidden="false" customHeight="false" outlineLevel="0" collapsed="false">
      <c r="A383" s="0" t="s">
        <v>66</v>
      </c>
      <c r="B383" s="0" t="s">
        <v>61</v>
      </c>
      <c r="C383" s="0" t="n">
        <v>13</v>
      </c>
      <c r="D383" s="0" t="n">
        <v>27</v>
      </c>
      <c r="E383" s="0" t="n">
        <v>100</v>
      </c>
      <c r="F383" s="0" t="n">
        <v>175</v>
      </c>
      <c r="G383" s="0" t="n">
        <v>221</v>
      </c>
      <c r="H383" s="0" t="n">
        <v>314</v>
      </c>
      <c r="I383" s="0" t="n">
        <v>0</v>
      </c>
      <c r="J383" s="0" t="n">
        <v>0</v>
      </c>
      <c r="K383" s="0" t="n">
        <v>0</v>
      </c>
      <c r="L383" s="0" t="n">
        <v>1</v>
      </c>
      <c r="M383" s="0" t="n">
        <f aca="false">VLOOKUP(A383,'Team Data'!$A$1:$P$133,2,FALSE())</f>
        <v>5</v>
      </c>
      <c r="N383" s="0" t="n">
        <f aca="false">VLOOKUP(A383,'Team Data'!$A$1:$P$133,3,FALSE())</f>
        <v>7</v>
      </c>
      <c r="O383" s="0" t="n">
        <f aca="false">VLOOKUP(B383,'Team Data'!$A$1:$P$133,2,FALSE())</f>
        <v>8</v>
      </c>
      <c r="P383" s="0" t="n">
        <f aca="false">VLOOKUP(B383,'Team Data'!$A$1:$P$133,3,FALSE())</f>
        <v>5</v>
      </c>
      <c r="Q383" s="0" t="n">
        <f aca="false">VLOOKUP(A383,'Team Data'!$A$1:$P$133,4,FALSE())</f>
        <v>93</v>
      </c>
      <c r="R383" s="0" t="n">
        <f aca="false">VLOOKUP(A383,'Team Data'!$A$1:$P$133,5,FALSE())</f>
        <v>60</v>
      </c>
      <c r="S383" s="0" t="n">
        <f aca="false">VLOOKUP(B383,'Team Data'!$A$1:$P$133,4,FALSE())</f>
        <v>89</v>
      </c>
      <c r="T383" s="0" t="n">
        <f aca="false">VLOOKUP(B383,'Team Data'!$A$1:$P$133,5,FALSE())</f>
        <v>77</v>
      </c>
      <c r="U383" s="0" t="n">
        <f aca="false">IF(K383=1,(MIN(35,(C383-D383)))*(O383/(O383+P383))*(S383/(S383+T383)),(MAX(-35,(C383-D383)))*(IF(P383=0,0.1,(P383/(O383+P383))))*(T383/(S383+T383)))</f>
        <v>-2.49768303985171</v>
      </c>
      <c r="V383" s="0" t="n">
        <f aca="false">IF(L383=1,(MIN(35,(D383-C383)))*(M383/(M383+N383))*(Q383/(Q383+R383)),(MAX(-35,(D383-C383)))*(IF(N383=0,0.1,(N383/(M383+N383))))*(R383/(R383+Q383)))</f>
        <v>3.54575163398693</v>
      </c>
    </row>
    <row r="384" customFormat="false" ht="15" hidden="false" customHeight="false" outlineLevel="0" collapsed="false">
      <c r="A384" s="0" t="s">
        <v>94</v>
      </c>
      <c r="B384" s="0" t="s">
        <v>83</v>
      </c>
      <c r="C384" s="0" t="n">
        <v>10</v>
      </c>
      <c r="D384" s="0" t="n">
        <v>49</v>
      </c>
      <c r="E384" s="0" t="n">
        <v>107</v>
      </c>
      <c r="F384" s="0" t="n">
        <v>252</v>
      </c>
      <c r="G384" s="0" t="n">
        <v>80</v>
      </c>
      <c r="H384" s="0" t="n">
        <v>161</v>
      </c>
      <c r="I384" s="0" t="n">
        <v>2</v>
      </c>
      <c r="J384" s="0" t="n">
        <v>2</v>
      </c>
      <c r="K384" s="0" t="n">
        <v>0</v>
      </c>
      <c r="L384" s="0" t="n">
        <v>1</v>
      </c>
      <c r="M384" s="0" t="n">
        <f aca="false">VLOOKUP(A384,'Team Data'!$A$1:$P$133,2,FALSE())</f>
        <v>4</v>
      </c>
      <c r="N384" s="0" t="n">
        <f aca="false">VLOOKUP(A384,'Team Data'!$A$1:$P$133,3,FALSE())</f>
        <v>8</v>
      </c>
      <c r="O384" s="0" t="n">
        <f aca="false">VLOOKUP(B384,'Team Data'!$A$1:$P$133,2,FALSE())</f>
        <v>11</v>
      </c>
      <c r="P384" s="0" t="n">
        <f aca="false">VLOOKUP(B384,'Team Data'!$A$1:$P$133,3,FALSE())</f>
        <v>2</v>
      </c>
      <c r="Q384" s="0" t="n">
        <f aca="false">VLOOKUP(A384,'Team Data'!$A$1:$P$133,4,FALSE())</f>
        <v>87</v>
      </c>
      <c r="R384" s="0" t="n">
        <f aca="false">VLOOKUP(A384,'Team Data'!$A$1:$P$133,5,FALSE())</f>
        <v>172</v>
      </c>
      <c r="S384" s="0" t="n">
        <f aca="false">VLOOKUP(B384,'Team Data'!$A$1:$P$133,4,FALSE())</f>
        <v>97</v>
      </c>
      <c r="T384" s="0" t="n">
        <f aca="false">VLOOKUP(B384,'Team Data'!$A$1:$P$133,5,FALSE())</f>
        <v>71</v>
      </c>
      <c r="U384" s="0" t="n">
        <f aca="false">IF(K384=1,(MIN(35,(C384-D384)))*(O384/(O384+P384))*(S384/(S384+T384)),(MAX(-35,(C384-D384)))*(IF(P384=0,0.1,(P384/(O384+P384))))*(T384/(S384+T384)))</f>
        <v>-2.27564102564103</v>
      </c>
      <c r="V384" s="0" t="n">
        <f aca="false">IF(L384=1,(MIN(35,(D384-C384)))*(M384/(M384+N384))*(Q384/(Q384+R384)),(MAX(-35,(D384-C384)))*(IF(N384=0,0.1,(N384/(M384+N384))))*(R384/(R384+Q384)))</f>
        <v>3.91891891891892</v>
      </c>
    </row>
    <row r="385" customFormat="false" ht="15" hidden="false" customHeight="false" outlineLevel="0" collapsed="false">
      <c r="A385" s="0" t="s">
        <v>80</v>
      </c>
      <c r="B385" s="0" t="s">
        <v>90</v>
      </c>
      <c r="C385" s="0" t="n">
        <v>7</v>
      </c>
      <c r="D385" s="0" t="n">
        <v>17</v>
      </c>
      <c r="E385" s="0" t="n">
        <v>31</v>
      </c>
      <c r="F385" s="0" t="n">
        <v>220</v>
      </c>
      <c r="G385" s="0" t="n">
        <v>210</v>
      </c>
      <c r="H385" s="0" t="n">
        <v>140</v>
      </c>
      <c r="I385" s="0" t="n">
        <v>3</v>
      </c>
      <c r="J385" s="0" t="n">
        <v>5</v>
      </c>
      <c r="K385" s="0" t="n">
        <v>0</v>
      </c>
      <c r="L385" s="0" t="n">
        <v>1</v>
      </c>
      <c r="M385" s="0" t="n">
        <f aca="false">VLOOKUP(A385,'Team Data'!$A$1:$P$133,2,FALSE())</f>
        <v>1</v>
      </c>
      <c r="N385" s="0" t="n">
        <f aca="false">VLOOKUP(A385,'Team Data'!$A$1:$P$133,3,FALSE())</f>
        <v>11</v>
      </c>
      <c r="O385" s="0" t="n">
        <f aca="false">VLOOKUP(B385,'Team Data'!$A$1:$P$133,2,FALSE())</f>
        <v>11</v>
      </c>
      <c r="P385" s="0" t="n">
        <f aca="false">VLOOKUP(B385,'Team Data'!$A$1:$P$133,3,FALSE())</f>
        <v>2</v>
      </c>
      <c r="Q385" s="0" t="n">
        <f aca="false">VLOOKUP(A385,'Team Data'!$A$1:$P$133,4,FALSE())</f>
        <v>97</v>
      </c>
      <c r="R385" s="0" t="n">
        <f aca="false">VLOOKUP(A385,'Team Data'!$A$1:$P$133,5,FALSE())</f>
        <v>166</v>
      </c>
      <c r="S385" s="0" t="n">
        <f aca="false">VLOOKUP(B385,'Team Data'!$A$1:$P$133,4,FALSE())</f>
        <v>92</v>
      </c>
      <c r="T385" s="0" t="n">
        <f aca="false">VLOOKUP(B385,'Team Data'!$A$1:$P$133,5,FALSE())</f>
        <v>75</v>
      </c>
      <c r="U385" s="0" t="n">
        <f aca="false">IF(K385=1,(MIN(35,(C385-D385)))*(O385/(O385+P385))*(S385/(S385+T385)),(MAX(-35,(C385-D385)))*(IF(P385=0,0.1,(P385/(O385+P385))))*(T385/(S385+T385)))</f>
        <v>-0.69092584062644</v>
      </c>
      <c r="V385" s="0" t="n">
        <f aca="false">IF(L385=1,(MIN(35,(D385-C385)))*(M385/(M385+N385))*(Q385/(Q385+R385)),(MAX(-35,(D385-C385)))*(IF(N385=0,0.1,(N385/(M385+N385))))*(R385/(R385+Q385)))</f>
        <v>0.307351077313054</v>
      </c>
    </row>
    <row r="386" customFormat="false" ht="15" hidden="false" customHeight="false" outlineLevel="0" collapsed="false">
      <c r="A386" s="0" t="s">
        <v>59</v>
      </c>
      <c r="B386" s="0" t="s">
        <v>20</v>
      </c>
      <c r="C386" s="0" t="n">
        <v>33</v>
      </c>
      <c r="D386" s="0" t="n">
        <v>34</v>
      </c>
      <c r="E386" s="0" t="n">
        <v>147</v>
      </c>
      <c r="F386" s="0" t="n">
        <v>144</v>
      </c>
      <c r="G386" s="0" t="n">
        <v>205</v>
      </c>
      <c r="H386" s="0" t="n">
        <v>304</v>
      </c>
      <c r="I386" s="0" t="n">
        <v>1</v>
      </c>
      <c r="J386" s="0" t="n">
        <v>3</v>
      </c>
      <c r="K386" s="0" t="n">
        <v>0</v>
      </c>
      <c r="L386" s="0" t="n">
        <v>1</v>
      </c>
      <c r="M386" s="0" t="n">
        <f aca="false">VLOOKUP(A386,'Team Data'!$A$1:$P$133,2,FALSE())</f>
        <v>8</v>
      </c>
      <c r="N386" s="0" t="n">
        <f aca="false">VLOOKUP(A386,'Team Data'!$A$1:$P$133,3,FALSE())</f>
        <v>5</v>
      </c>
      <c r="O386" s="0" t="n">
        <f aca="false">VLOOKUP(B386,'Team Data'!$A$1:$P$133,2,FALSE())</f>
        <v>3</v>
      </c>
      <c r="P386" s="0" t="n">
        <f aca="false">VLOOKUP(B386,'Team Data'!$A$1:$P$133,3,FALSE())</f>
        <v>9</v>
      </c>
      <c r="Q386" s="0" t="n">
        <f aca="false">VLOOKUP(A386,'Team Data'!$A$1:$P$133,4,FALSE())</f>
        <v>93</v>
      </c>
      <c r="R386" s="0" t="n">
        <f aca="false">VLOOKUP(A386,'Team Data'!$A$1:$P$133,5,FALSE())</f>
        <v>71</v>
      </c>
      <c r="S386" s="0" t="n">
        <f aca="false">VLOOKUP(B386,'Team Data'!$A$1:$P$133,4,FALSE())</f>
        <v>91</v>
      </c>
      <c r="T386" s="0" t="n">
        <f aca="false">VLOOKUP(B386,'Team Data'!$A$1:$P$133,5,FALSE())</f>
        <v>170</v>
      </c>
      <c r="U386" s="0" t="n">
        <f aca="false">IF(K386=1,(MIN(35,(C386-D386)))*(O386/(O386+P386))*(S386/(S386+T386)),(MAX(-35,(C386-D386)))*(IF(P386=0,0.1,(P386/(O386+P386))))*(T386/(S386+T386)))</f>
        <v>-0.488505747126437</v>
      </c>
      <c r="V386" s="0" t="n">
        <f aca="false">IF(L386=1,(MIN(35,(D386-C386)))*(M386/(M386+N386))*(Q386/(Q386+R386)),(MAX(-35,(D386-C386)))*(IF(N386=0,0.1,(N386/(M386+N386))))*(R386/(R386+Q386)))</f>
        <v>0.348968105065666</v>
      </c>
    </row>
    <row r="387" customFormat="false" ht="15" hidden="false" customHeight="false" outlineLevel="0" collapsed="false">
      <c r="A387" s="0" t="s">
        <v>71</v>
      </c>
      <c r="B387" s="0" t="s">
        <v>27</v>
      </c>
      <c r="C387" s="0" t="n">
        <v>20</v>
      </c>
      <c r="D387" s="0" t="n">
        <v>30</v>
      </c>
      <c r="E387" s="0" t="n">
        <v>34</v>
      </c>
      <c r="F387" s="0" t="n">
        <v>145</v>
      </c>
      <c r="G387" s="0" t="n">
        <v>245</v>
      </c>
      <c r="H387" s="0" t="n">
        <v>209</v>
      </c>
      <c r="I387" s="0" t="n">
        <v>2</v>
      </c>
      <c r="J387" s="0" t="n">
        <v>0</v>
      </c>
      <c r="K387" s="0" t="n">
        <v>0</v>
      </c>
      <c r="L387" s="0" t="n">
        <v>1</v>
      </c>
      <c r="M387" s="0" t="n">
        <f aca="false">VLOOKUP(A387,'Team Data'!$A$1:$P$133,2,FALSE())</f>
        <v>8</v>
      </c>
      <c r="N387" s="0" t="n">
        <f aca="false">VLOOKUP(A387,'Team Data'!$A$1:$P$133,3,FALSE())</f>
        <v>5</v>
      </c>
      <c r="O387" s="0" t="n">
        <f aca="false">VLOOKUP(B387,'Team Data'!$A$1:$P$133,2,FALSE())</f>
        <v>11</v>
      </c>
      <c r="P387" s="0" t="n">
        <f aca="false">VLOOKUP(B387,'Team Data'!$A$1:$P$133,3,FALSE())</f>
        <v>3</v>
      </c>
      <c r="Q387" s="0" t="n">
        <f aca="false">VLOOKUP(A387,'Team Data'!$A$1:$P$133,4,FALSE())</f>
        <v>97</v>
      </c>
      <c r="R387" s="0" t="n">
        <f aca="false">VLOOKUP(A387,'Team Data'!$A$1:$P$133,5,FALSE())</f>
        <v>178</v>
      </c>
      <c r="S387" s="0" t="n">
        <f aca="false">VLOOKUP(B387,'Team Data'!$A$1:$P$133,4,FALSE())</f>
        <v>102</v>
      </c>
      <c r="T387" s="0" t="n">
        <f aca="false">VLOOKUP(B387,'Team Data'!$A$1:$P$133,5,FALSE())</f>
        <v>184</v>
      </c>
      <c r="U387" s="0" t="n">
        <f aca="false">IF(K387=1,(MIN(35,(C387-D387)))*(O387/(O387+P387))*(S387/(S387+T387)),(MAX(-35,(C387-D387)))*(IF(P387=0,0.1,(P387/(O387+P387))))*(T387/(S387+T387)))</f>
        <v>-1.37862137862138</v>
      </c>
      <c r="V387" s="0" t="n">
        <f aca="false">IF(L387=1,(MIN(35,(D387-C387)))*(M387/(M387+N387))*(Q387/(Q387+R387)),(MAX(-35,(D387-C387)))*(IF(N387=0,0.1,(N387/(M387+N387))))*(R387/(R387+Q387)))</f>
        <v>2.17062937062937</v>
      </c>
    </row>
    <row r="388" customFormat="false" ht="15" hidden="false" customHeight="false" outlineLevel="0" collapsed="false">
      <c r="A388" s="0" t="s">
        <v>127</v>
      </c>
      <c r="B388" s="0" t="s">
        <v>31</v>
      </c>
      <c r="C388" s="0" t="n">
        <v>17</v>
      </c>
      <c r="D388" s="0" t="n">
        <v>38</v>
      </c>
      <c r="E388" s="0" t="n">
        <v>93</v>
      </c>
      <c r="F388" s="0" t="n">
        <v>248</v>
      </c>
      <c r="G388" s="0" t="n">
        <v>202</v>
      </c>
      <c r="H388" s="0" t="n">
        <v>129</v>
      </c>
      <c r="I388" s="0" t="n">
        <v>2</v>
      </c>
      <c r="J388" s="0" t="n">
        <v>0</v>
      </c>
      <c r="K388" s="0" t="n">
        <v>0</v>
      </c>
      <c r="L388" s="0" t="n">
        <v>1</v>
      </c>
      <c r="M388" s="0" t="n">
        <f aca="false">VLOOKUP(A388,'Team Data'!$A$1:$P$133,2,FALSE())</f>
        <v>3</v>
      </c>
      <c r="N388" s="0" t="n">
        <f aca="false">VLOOKUP(A388,'Team Data'!$A$1:$P$133,3,FALSE())</f>
        <v>7</v>
      </c>
      <c r="O388" s="0" t="n">
        <f aca="false">VLOOKUP(B388,'Team Data'!$A$1:$P$133,2,FALSE())</f>
        <v>9</v>
      </c>
      <c r="P388" s="0" t="n">
        <f aca="false">VLOOKUP(B388,'Team Data'!$A$1:$P$133,3,FALSE())</f>
        <v>4</v>
      </c>
      <c r="Q388" s="0" t="n">
        <f aca="false">VLOOKUP(A388,'Team Data'!$A$1:$P$133,4,FALSE())</f>
        <v>71</v>
      </c>
      <c r="R388" s="0" t="n">
        <f aca="false">VLOOKUP(A388,'Team Data'!$A$1:$P$133,5,FALSE())</f>
        <v>164</v>
      </c>
      <c r="S388" s="0" t="n">
        <f aca="false">VLOOKUP(B388,'Team Data'!$A$1:$P$133,4,FALSE())</f>
        <v>72</v>
      </c>
      <c r="T388" s="0" t="n">
        <f aca="false">VLOOKUP(B388,'Team Data'!$A$1:$P$133,5,FALSE())</f>
        <v>196</v>
      </c>
      <c r="U388" s="0" t="n">
        <f aca="false">IF(K388=1,(MIN(35,(C388-D388)))*(O388/(O388+P388))*(S388/(S388+T388)),(MAX(-35,(C388-D388)))*(IF(P388=0,0.1,(P388/(O388+P388))))*(T388/(S388+T388)))</f>
        <v>-4.7256027554535</v>
      </c>
      <c r="V388" s="0" t="n">
        <f aca="false">IF(L388=1,(MIN(35,(D388-C388)))*(M388/(M388+N388))*(Q388/(Q388+R388)),(MAX(-35,(D388-C388)))*(IF(N388=0,0.1,(N388/(M388+N388))))*(R388/(R388+Q388)))</f>
        <v>1.90340425531915</v>
      </c>
    </row>
    <row r="389" customFormat="false" ht="15" hidden="false" customHeight="false" outlineLevel="0" collapsed="false">
      <c r="A389" s="0" t="s">
        <v>129</v>
      </c>
      <c r="B389" s="0" t="s">
        <v>37</v>
      </c>
      <c r="C389" s="0" t="n">
        <v>31</v>
      </c>
      <c r="D389" s="0" t="n">
        <v>21</v>
      </c>
      <c r="E389" s="0" t="n">
        <v>171</v>
      </c>
      <c r="F389" s="0" t="n">
        <v>112</v>
      </c>
      <c r="G389" s="0" t="n">
        <v>234</v>
      </c>
      <c r="H389" s="0" t="n">
        <v>281</v>
      </c>
      <c r="I389" s="0" t="n">
        <v>0</v>
      </c>
      <c r="J389" s="0" t="n">
        <v>1</v>
      </c>
      <c r="K389" s="0" t="n">
        <v>1</v>
      </c>
      <c r="L389" s="0" t="n">
        <v>0</v>
      </c>
      <c r="M389" s="0" t="n">
        <f aca="false">VLOOKUP(A389,'Team Data'!$A$1:$P$133,2,FALSE())</f>
        <v>8</v>
      </c>
      <c r="N389" s="0" t="n">
        <f aca="false">VLOOKUP(A389,'Team Data'!$A$1:$P$133,3,FALSE())</f>
        <v>5</v>
      </c>
      <c r="O389" s="0" t="n">
        <f aca="false">VLOOKUP(B389,'Team Data'!$A$1:$P$133,2,FALSE())</f>
        <v>10</v>
      </c>
      <c r="P389" s="0" t="n">
        <f aca="false">VLOOKUP(B389,'Team Data'!$A$1:$P$133,3,FALSE())</f>
        <v>3</v>
      </c>
      <c r="Q389" s="0" t="n">
        <f aca="false">VLOOKUP(A389,'Team Data'!$A$1:$P$133,4,FALSE())</f>
        <v>98</v>
      </c>
      <c r="R389" s="0" t="n">
        <f aca="false">VLOOKUP(A389,'Team Data'!$A$1:$P$133,5,FALSE())</f>
        <v>177</v>
      </c>
      <c r="S389" s="0" t="n">
        <f aca="false">VLOOKUP(B389,'Team Data'!$A$1:$P$133,4,FALSE())</f>
        <v>91</v>
      </c>
      <c r="T389" s="0" t="n">
        <f aca="false">VLOOKUP(B389,'Team Data'!$A$1:$P$133,5,FALSE())</f>
        <v>184</v>
      </c>
      <c r="U389" s="0" t="n">
        <f aca="false">IF(K389=1,(MIN(35,(C389-D389)))*(O389/(O389+P389))*(S389/(S389+T389)),(MAX(-35,(C389-D389)))*(IF(P389=0,0.1,(P389/(O389+P389))))*(T389/(S389+T389)))</f>
        <v>2.54545454545455</v>
      </c>
      <c r="V389" s="0" t="n">
        <f aca="false">IF(L389=1,(MIN(35,(D389-C389)))*(M389/(M389+N389))*(Q389/(Q389+R389)),(MAX(-35,(D389-C389)))*(IF(N389=0,0.1,(N389/(M389+N389))))*(R389/(R389+Q389)))</f>
        <v>-2.47552447552448</v>
      </c>
    </row>
    <row r="390" customFormat="false" ht="15" hidden="false" customHeight="false" outlineLevel="0" collapsed="false">
      <c r="A390" s="0" t="s">
        <v>128</v>
      </c>
      <c r="B390" s="0" t="s">
        <v>77</v>
      </c>
      <c r="C390" s="0" t="n">
        <v>10</v>
      </c>
      <c r="D390" s="0" t="n">
        <v>41</v>
      </c>
      <c r="E390" s="0" t="n">
        <v>99</v>
      </c>
      <c r="F390" s="0" t="n">
        <v>160</v>
      </c>
      <c r="G390" s="0" t="n">
        <v>174</v>
      </c>
      <c r="H390" s="0" t="n">
        <v>367</v>
      </c>
      <c r="I390" s="0" t="n">
        <v>1</v>
      </c>
      <c r="J390" s="0" t="n">
        <v>0</v>
      </c>
      <c r="K390" s="0" t="n">
        <v>0</v>
      </c>
      <c r="L390" s="0" t="n">
        <v>1</v>
      </c>
      <c r="M390" s="0" t="n">
        <f aca="false">VLOOKUP(A390,'Team Data'!$A$1:$P$133,2,FALSE())</f>
        <v>3</v>
      </c>
      <c r="N390" s="0" t="n">
        <f aca="false">VLOOKUP(A390,'Team Data'!$A$1:$P$133,3,FALSE())</f>
        <v>8</v>
      </c>
      <c r="O390" s="0" t="n">
        <f aca="false">VLOOKUP(B390,'Team Data'!$A$1:$P$133,2,FALSE())</f>
        <v>9</v>
      </c>
      <c r="P390" s="0" t="n">
        <f aca="false">VLOOKUP(B390,'Team Data'!$A$1:$P$133,3,FALSE())</f>
        <v>5</v>
      </c>
      <c r="Q390" s="0" t="n">
        <f aca="false">VLOOKUP(A390,'Team Data'!$A$1:$P$133,4,FALSE())</f>
        <v>72</v>
      </c>
      <c r="R390" s="0" t="n">
        <f aca="false">VLOOKUP(A390,'Team Data'!$A$1:$P$133,5,FALSE())</f>
        <v>174</v>
      </c>
      <c r="S390" s="0" t="n">
        <f aca="false">VLOOKUP(B390,'Team Data'!$A$1:$P$133,4,FALSE())</f>
        <v>98</v>
      </c>
      <c r="T390" s="0" t="n">
        <f aca="false">VLOOKUP(B390,'Team Data'!$A$1:$P$133,5,FALSE())</f>
        <v>183</v>
      </c>
      <c r="U390" s="0" t="n">
        <f aca="false">IF(K390=1,(MIN(35,(C390-D390)))*(O390/(O390+P390))*(S390/(S390+T390)),(MAX(-35,(C390-D390)))*(IF(P390=0,0.1,(P390/(O390+P390))))*(T390/(S390+T390)))</f>
        <v>-7.21021860701576</v>
      </c>
      <c r="V390" s="0" t="n">
        <f aca="false">IF(L390=1,(MIN(35,(D390-C390)))*(M390/(M390+N390))*(Q390/(Q390+R390)),(MAX(-35,(D390-C390)))*(IF(N390=0,0.1,(N390/(M390+N390))))*(R390/(R390+Q390)))</f>
        <v>2.47450110864745</v>
      </c>
    </row>
    <row r="391" customFormat="false" ht="15" hidden="false" customHeight="false" outlineLevel="0" collapsed="false">
      <c r="A391" s="0" t="s">
        <v>42</v>
      </c>
      <c r="B391" s="0" t="s">
        <v>91</v>
      </c>
      <c r="C391" s="0" t="n">
        <v>26</v>
      </c>
      <c r="D391" s="0" t="n">
        <v>21</v>
      </c>
      <c r="E391" s="0" t="n">
        <v>232</v>
      </c>
      <c r="F391" s="0" t="n">
        <v>106</v>
      </c>
      <c r="G391" s="0" t="n">
        <v>102</v>
      </c>
      <c r="H391" s="0" t="n">
        <v>305</v>
      </c>
      <c r="I391" s="0" t="n">
        <v>0</v>
      </c>
      <c r="J391" s="0" t="n">
        <v>3</v>
      </c>
      <c r="K391" s="0" t="n">
        <v>1</v>
      </c>
      <c r="L391" s="0" t="n">
        <v>0</v>
      </c>
      <c r="M391" s="0" t="n">
        <f aca="false">VLOOKUP(A391,'Team Data'!$A$1:$P$133,2,FALSE())</f>
        <v>5</v>
      </c>
      <c r="N391" s="0" t="n">
        <f aca="false">VLOOKUP(A391,'Team Data'!$A$1:$P$133,3,FALSE())</f>
        <v>7</v>
      </c>
      <c r="O391" s="0" t="n">
        <f aca="false">VLOOKUP(B391,'Team Data'!$A$1:$P$133,2,FALSE())</f>
        <v>9</v>
      </c>
      <c r="P391" s="0" t="n">
        <f aca="false">VLOOKUP(B391,'Team Data'!$A$1:$P$133,3,FALSE())</f>
        <v>4</v>
      </c>
      <c r="Q391" s="0" t="n">
        <f aca="false">VLOOKUP(A391,'Team Data'!$A$1:$P$133,4,FALSE())</f>
        <v>99</v>
      </c>
      <c r="R391" s="0" t="n">
        <f aca="false">VLOOKUP(A391,'Team Data'!$A$1:$P$133,5,FALSE())</f>
        <v>163</v>
      </c>
      <c r="S391" s="0" t="n">
        <f aca="false">VLOOKUP(B391,'Team Data'!$A$1:$P$133,4,FALSE())</f>
        <v>87</v>
      </c>
      <c r="T391" s="0" t="n">
        <f aca="false">VLOOKUP(B391,'Team Data'!$A$1:$P$133,5,FALSE())</f>
        <v>181</v>
      </c>
      <c r="U391" s="0" t="n">
        <f aca="false">IF(K391=1,(MIN(35,(C391-D391)))*(O391/(O391+P391))*(S391/(S391+T391)),(MAX(-35,(C391-D391)))*(IF(P391=0,0.1,(P391/(O391+P391))))*(T391/(S391+T391)))</f>
        <v>1.12370838117107</v>
      </c>
      <c r="V391" s="0" t="n">
        <f aca="false">IF(L391=1,(MIN(35,(D391-C391)))*(M391/(M391+N391))*(Q391/(Q391+R391)),(MAX(-35,(D391-C391)))*(IF(N391=0,0.1,(N391/(M391+N391))))*(R391/(R391+Q391)))</f>
        <v>-1.81456743002545</v>
      </c>
    </row>
    <row r="392" customFormat="false" ht="15" hidden="false" customHeight="false" outlineLevel="0" collapsed="false">
      <c r="A392" s="0" t="s">
        <v>198</v>
      </c>
      <c r="B392" s="0" t="s">
        <v>102</v>
      </c>
      <c r="C392" s="0" t="n">
        <v>0</v>
      </c>
      <c r="D392" s="0" t="n">
        <v>59</v>
      </c>
      <c r="E392" s="0" t="n">
        <v>31</v>
      </c>
      <c r="F392" s="0" t="n">
        <v>388</v>
      </c>
      <c r="G392" s="0" t="n">
        <v>19</v>
      </c>
      <c r="H392" s="0" t="n">
        <v>243</v>
      </c>
      <c r="I392" s="0" t="n">
        <v>1</v>
      </c>
      <c r="J392" s="0" t="n">
        <v>0</v>
      </c>
      <c r="K392" s="0" t="n">
        <v>0</v>
      </c>
      <c r="L392" s="0" t="n">
        <v>1</v>
      </c>
      <c r="M392" s="0" t="n">
        <f aca="false">VLOOKUP(A392,'Team Data'!$A$1:$P$133,2,FALSE())</f>
        <v>8</v>
      </c>
      <c r="N392" s="0" t="n">
        <f aca="false">VLOOKUP(A392,'Team Data'!$A$1:$P$133,3,FALSE())</f>
        <v>112</v>
      </c>
      <c r="O392" s="0" t="n">
        <f aca="false">VLOOKUP(B392,'Team Data'!$A$1:$P$133,2,FALSE())</f>
        <v>7</v>
      </c>
      <c r="P392" s="0" t="n">
        <f aca="false">VLOOKUP(B392,'Team Data'!$A$1:$P$133,3,FALSE())</f>
        <v>6</v>
      </c>
      <c r="Q392" s="0" t="n">
        <f aca="false">VLOOKUP(A392,'Team Data'!$A$1:$P$133,4,FALSE())</f>
        <v>805</v>
      </c>
      <c r="R392" s="0" t="n">
        <f aca="false">VLOOKUP(A392,'Team Data'!$A$1:$P$133,5,FALSE())</f>
        <v>725</v>
      </c>
      <c r="S392" s="0" t="n">
        <f aca="false">VLOOKUP(B392,'Team Data'!$A$1:$P$133,4,FALSE())</f>
        <v>100</v>
      </c>
      <c r="T392" s="0" t="n">
        <f aca="false">VLOOKUP(B392,'Team Data'!$A$1:$P$133,5,FALSE())</f>
        <v>174</v>
      </c>
      <c r="U392" s="0" t="n">
        <f aca="false">IF(K392=1,(MIN(35,(C392-D392)))*(O392/(O392+P392))*(S392/(S392+T392)),(MAX(-35,(C392-D392)))*(IF(P392=0,0.1,(P392/(O392+P392))))*(T392/(S392+T392)))</f>
        <v>-10.2582818641213</v>
      </c>
      <c r="V392" s="0" t="n">
        <f aca="false">IF(L392=1,(MIN(35,(D392-C392)))*(M392/(M392+N392))*(Q392/(Q392+R392)),(MAX(-35,(D392-C392)))*(IF(N392=0,0.1,(N392/(M392+N392))))*(R392/(R392+Q392)))</f>
        <v>1.2276688453159</v>
      </c>
    </row>
    <row r="393" customFormat="false" ht="15" hidden="false" customHeight="false" outlineLevel="0" collapsed="false">
      <c r="A393" s="0" t="s">
        <v>118</v>
      </c>
      <c r="B393" s="0" t="s">
        <v>33</v>
      </c>
      <c r="C393" s="0" t="n">
        <v>13</v>
      </c>
      <c r="D393" s="0" t="n">
        <v>20</v>
      </c>
      <c r="E393" s="0" t="n">
        <v>168</v>
      </c>
      <c r="F393" s="0" t="n">
        <v>217</v>
      </c>
      <c r="G393" s="0" t="n">
        <v>87</v>
      </c>
      <c r="H393" s="0" t="n">
        <v>122</v>
      </c>
      <c r="I393" s="0" t="n">
        <v>1</v>
      </c>
      <c r="J393" s="0" t="n">
        <v>3</v>
      </c>
      <c r="K393" s="0" t="n">
        <v>0</v>
      </c>
      <c r="L393" s="0" t="n">
        <v>1</v>
      </c>
      <c r="M393" s="0" t="n">
        <f aca="false">VLOOKUP(A393,'Team Data'!$A$1:$P$133,2,FALSE())</f>
        <v>1</v>
      </c>
      <c r="N393" s="0" t="n">
        <f aca="false">VLOOKUP(A393,'Team Data'!$A$1:$P$133,3,FALSE())</f>
        <v>11</v>
      </c>
      <c r="O393" s="0" t="n">
        <f aca="false">VLOOKUP(B393,'Team Data'!$A$1:$P$133,2,FALSE())</f>
        <v>9</v>
      </c>
      <c r="P393" s="0" t="n">
        <f aca="false">VLOOKUP(B393,'Team Data'!$A$1:$P$133,3,FALSE())</f>
        <v>4</v>
      </c>
      <c r="Q393" s="0" t="n">
        <f aca="false">VLOOKUP(A393,'Team Data'!$A$1:$P$133,4,FALSE())</f>
        <v>83</v>
      </c>
      <c r="R393" s="0" t="n">
        <f aca="false">VLOOKUP(A393,'Team Data'!$A$1:$P$133,5,FALSE())</f>
        <v>178</v>
      </c>
      <c r="S393" s="0" t="n">
        <f aca="false">VLOOKUP(B393,'Team Data'!$A$1:$P$133,4,FALSE())</f>
        <v>65</v>
      </c>
      <c r="T393" s="0" t="n">
        <f aca="false">VLOOKUP(B393,'Team Data'!$A$1:$P$133,5,FALSE())</f>
        <v>203</v>
      </c>
      <c r="U393" s="0" t="n">
        <f aca="false">IF(K393=1,(MIN(35,(C393-D393)))*(O393/(O393+P393))*(S393/(S393+T393)),(MAX(-35,(C393-D393)))*(IF(P393=0,0.1,(P393/(O393+P393))))*(T393/(S393+T393)))</f>
        <v>-1.63145809414466</v>
      </c>
      <c r="V393" s="0" t="n">
        <f aca="false">IF(L393=1,(MIN(35,(D393-C393)))*(M393/(M393+N393))*(Q393/(Q393+R393)),(MAX(-35,(D393-C393)))*(IF(N393=0,0.1,(N393/(M393+N393))))*(R393/(R393+Q393)))</f>
        <v>0.185504469987229</v>
      </c>
    </row>
    <row r="394" customFormat="false" ht="15" hidden="false" customHeight="false" outlineLevel="0" collapsed="false">
      <c r="A394" s="0" t="s">
        <v>125</v>
      </c>
      <c r="B394" s="0" t="s">
        <v>16</v>
      </c>
      <c r="C394" s="0" t="n">
        <v>26</v>
      </c>
      <c r="D394" s="0" t="n">
        <v>38</v>
      </c>
      <c r="E394" s="0" t="n">
        <v>204</v>
      </c>
      <c r="F394" s="0" t="n">
        <v>117</v>
      </c>
      <c r="G394" s="0" t="n">
        <v>188</v>
      </c>
      <c r="H394" s="0" t="n">
        <v>280</v>
      </c>
      <c r="I394" s="0" t="n">
        <v>3</v>
      </c>
      <c r="J394" s="0" t="n">
        <v>0</v>
      </c>
      <c r="K394" s="0" t="n">
        <v>0</v>
      </c>
      <c r="L394" s="0" t="n">
        <v>1</v>
      </c>
      <c r="M394" s="0" t="n">
        <f aca="false">VLOOKUP(A394,'Team Data'!$A$1:$P$133,2,FALSE())</f>
        <v>6</v>
      </c>
      <c r="N394" s="0" t="n">
        <f aca="false">VLOOKUP(A394,'Team Data'!$A$1:$P$133,3,FALSE())</f>
        <v>7</v>
      </c>
      <c r="O394" s="0" t="n">
        <f aca="false">VLOOKUP(B394,'Team Data'!$A$1:$P$133,2,FALSE())</f>
        <v>8</v>
      </c>
      <c r="P394" s="0" t="n">
        <f aca="false">VLOOKUP(B394,'Team Data'!$A$1:$P$133,3,FALSE())</f>
        <v>5</v>
      </c>
      <c r="Q394" s="0" t="n">
        <f aca="false">VLOOKUP(A394,'Team Data'!$A$1:$P$133,4,FALSE())</f>
        <v>87</v>
      </c>
      <c r="R394" s="0" t="n">
        <f aca="false">VLOOKUP(A394,'Team Data'!$A$1:$P$133,5,FALSE())</f>
        <v>186</v>
      </c>
      <c r="S394" s="0" t="n">
        <f aca="false">VLOOKUP(B394,'Team Data'!$A$1:$P$133,4,FALSE())</f>
        <v>90</v>
      </c>
      <c r="T394" s="0" t="n">
        <f aca="false">VLOOKUP(B394,'Team Data'!$A$1:$P$133,5,FALSE())</f>
        <v>185</v>
      </c>
      <c r="U394" s="0" t="n">
        <f aca="false">IF(K394=1,(MIN(35,(C394-D394)))*(O394/(O394+P394))*(S394/(S394+T394)),(MAX(-35,(C394-D394)))*(IF(P394=0,0.1,(P394/(O394+P394))))*(T394/(S394+T394)))</f>
        <v>-3.10489510489511</v>
      </c>
      <c r="V394" s="0" t="n">
        <f aca="false">IF(L394=1,(MIN(35,(D394-C394)))*(M394/(M394+N394))*(Q394/(Q394+R394)),(MAX(-35,(D394-C394)))*(IF(N394=0,0.1,(N394/(M394+N394))))*(R394/(R394+Q394)))</f>
        <v>1.76500422654269</v>
      </c>
    </row>
    <row r="395" customFormat="false" ht="15" hidden="false" customHeight="false" outlineLevel="0" collapsed="false">
      <c r="A395" s="0" t="s">
        <v>72</v>
      </c>
      <c r="B395" s="0" t="s">
        <v>6</v>
      </c>
      <c r="C395" s="0" t="n">
        <v>10</v>
      </c>
      <c r="D395" s="0" t="n">
        <v>13</v>
      </c>
      <c r="E395" s="0" t="n">
        <v>114</v>
      </c>
      <c r="F395" s="0" t="n">
        <v>200</v>
      </c>
      <c r="G395" s="0" t="n">
        <v>129</v>
      </c>
      <c r="H395" s="0" t="n">
        <v>156</v>
      </c>
      <c r="I395" s="0" t="n">
        <v>0</v>
      </c>
      <c r="J395" s="0" t="n">
        <v>2</v>
      </c>
      <c r="K395" s="0" t="n">
        <v>0</v>
      </c>
      <c r="L395" s="0" t="n">
        <v>1</v>
      </c>
      <c r="M395" s="0" t="n">
        <f aca="false">VLOOKUP(A395,'Team Data'!$A$1:$P$133,2,FALSE())</f>
        <v>4</v>
      </c>
      <c r="N395" s="0" t="n">
        <f aca="false">VLOOKUP(A395,'Team Data'!$A$1:$P$133,3,FALSE())</f>
        <v>8</v>
      </c>
      <c r="O395" s="0" t="n">
        <f aca="false">VLOOKUP(B395,'Team Data'!$A$1:$P$133,2,FALSE())</f>
        <v>10</v>
      </c>
      <c r="P395" s="0" t="n">
        <f aca="false">VLOOKUP(B395,'Team Data'!$A$1:$P$133,3,FALSE())</f>
        <v>3</v>
      </c>
      <c r="Q395" s="0" t="n">
        <f aca="false">VLOOKUP(A395,'Team Data'!$A$1:$P$133,4,FALSE())</f>
        <v>89</v>
      </c>
      <c r="R395" s="0" t="n">
        <f aca="false">VLOOKUP(A395,'Team Data'!$A$1:$P$133,5,FALSE())</f>
        <v>172</v>
      </c>
      <c r="S395" s="0" t="n">
        <f aca="false">VLOOKUP(B395,'Team Data'!$A$1:$P$133,4,FALSE())</f>
        <v>67</v>
      </c>
      <c r="T395" s="0" t="n">
        <f aca="false">VLOOKUP(B395,'Team Data'!$A$1:$P$133,5,FALSE())</f>
        <v>203</v>
      </c>
      <c r="U395" s="0" t="n">
        <f aca="false">IF(K395=1,(MIN(35,(C395-D395)))*(O395/(O395+P395))*(S395/(S395+T395)),(MAX(-35,(C395-D395)))*(IF(P395=0,0.1,(P395/(O395+P395))))*(T395/(S395+T395)))</f>
        <v>-0.520512820512821</v>
      </c>
      <c r="V395" s="0" t="n">
        <f aca="false">IF(L395=1,(MIN(35,(D395-C395)))*(M395/(M395+N395))*(Q395/(Q395+R395)),(MAX(-35,(D395-C395)))*(IF(N395=0,0.1,(N395/(M395+N395))))*(R395/(R395+Q395)))</f>
        <v>0.340996168582375</v>
      </c>
    </row>
    <row r="396" customFormat="false" ht="15" hidden="false" customHeight="false" outlineLevel="0" collapsed="false">
      <c r="A396" s="0" t="s">
        <v>96</v>
      </c>
      <c r="B396" s="0" t="s">
        <v>19</v>
      </c>
      <c r="C396" s="0" t="n">
        <v>13</v>
      </c>
      <c r="D396" s="0" t="n">
        <v>35</v>
      </c>
      <c r="E396" s="0" t="n">
        <v>81</v>
      </c>
      <c r="F396" s="0" t="n">
        <v>316</v>
      </c>
      <c r="G396" s="0" t="n">
        <v>33</v>
      </c>
      <c r="H396" s="0" t="n">
        <v>134</v>
      </c>
      <c r="I396" s="0" t="n">
        <v>1</v>
      </c>
      <c r="J396" s="0" t="n">
        <v>1</v>
      </c>
      <c r="K396" s="0" t="n">
        <v>0</v>
      </c>
      <c r="L396" s="0" t="n">
        <v>1</v>
      </c>
      <c r="M396" s="0" t="n">
        <f aca="false">VLOOKUP(A396,'Team Data'!$A$1:$P$133,2,FALSE())</f>
        <v>7</v>
      </c>
      <c r="N396" s="0" t="n">
        <f aca="false">VLOOKUP(A396,'Team Data'!$A$1:$P$133,3,FALSE())</f>
        <v>6</v>
      </c>
      <c r="O396" s="0" t="n">
        <f aca="false">VLOOKUP(B396,'Team Data'!$A$1:$P$133,2,FALSE())</f>
        <v>10</v>
      </c>
      <c r="P396" s="0" t="n">
        <f aca="false">VLOOKUP(B396,'Team Data'!$A$1:$P$133,3,FALSE())</f>
        <v>4</v>
      </c>
      <c r="Q396" s="0" t="n">
        <f aca="false">VLOOKUP(A396,'Team Data'!$A$1:$P$133,4,FALSE())</f>
        <v>89</v>
      </c>
      <c r="R396" s="0" t="n">
        <f aca="false">VLOOKUP(A396,'Team Data'!$A$1:$P$133,5,FALSE())</f>
        <v>186</v>
      </c>
      <c r="S396" s="0" t="n">
        <f aca="false">VLOOKUP(B396,'Team Data'!$A$1:$P$133,4,FALSE())</f>
        <v>95</v>
      </c>
      <c r="T396" s="0" t="n">
        <f aca="false">VLOOKUP(B396,'Team Data'!$A$1:$P$133,5,FALSE())</f>
        <v>193</v>
      </c>
      <c r="U396" s="0" t="n">
        <f aca="false">IF(K396=1,(MIN(35,(C396-D396)))*(O396/(O396+P396))*(S396/(S396+T396)),(MAX(-35,(C396-D396)))*(IF(P396=0,0.1,(P396/(O396+P396))))*(T396/(S396+T396)))</f>
        <v>-4.21230158730159</v>
      </c>
      <c r="V396" s="0" t="n">
        <f aca="false">IF(L396=1,(MIN(35,(D396-C396)))*(M396/(M396+N396))*(Q396/(Q396+R396)),(MAX(-35,(D396-C396)))*(IF(N396=0,0.1,(N396/(M396+N396))))*(R396/(R396+Q396)))</f>
        <v>3.83384615384615</v>
      </c>
    </row>
    <row r="397" customFormat="false" ht="15" hidden="false" customHeight="false" outlineLevel="0" collapsed="false">
      <c r="A397" s="0" t="s">
        <v>75</v>
      </c>
      <c r="B397" s="0" t="s">
        <v>119</v>
      </c>
      <c r="C397" s="0" t="n">
        <v>20</v>
      </c>
      <c r="D397" s="0" t="n">
        <v>31</v>
      </c>
      <c r="E397" s="0" t="n">
        <v>114</v>
      </c>
      <c r="F397" s="0" t="n">
        <v>123</v>
      </c>
      <c r="G397" s="0" t="n">
        <v>163</v>
      </c>
      <c r="H397" s="0" t="n">
        <v>233</v>
      </c>
      <c r="I397" s="0" t="n">
        <v>2</v>
      </c>
      <c r="J397" s="0" t="n">
        <v>2</v>
      </c>
      <c r="K397" s="0" t="n">
        <v>0</v>
      </c>
      <c r="L397" s="0" t="n">
        <v>1</v>
      </c>
      <c r="M397" s="0" t="n">
        <f aca="false">VLOOKUP(A397,'Team Data'!$A$1:$P$133,2,FALSE())</f>
        <v>2</v>
      </c>
      <c r="N397" s="0" t="n">
        <f aca="false">VLOOKUP(A397,'Team Data'!$A$1:$P$133,3,FALSE())</f>
        <v>10</v>
      </c>
      <c r="O397" s="0" t="n">
        <f aca="false">VLOOKUP(B397,'Team Data'!$A$1:$P$133,2,FALSE())</f>
        <v>5</v>
      </c>
      <c r="P397" s="0" t="n">
        <f aca="false">VLOOKUP(B397,'Team Data'!$A$1:$P$133,3,FALSE())</f>
        <v>7</v>
      </c>
      <c r="Q397" s="0" t="n">
        <f aca="false">VLOOKUP(A397,'Team Data'!$A$1:$P$133,4,FALSE())</f>
        <v>88</v>
      </c>
      <c r="R397" s="0" t="n">
        <f aca="false">VLOOKUP(A397,'Team Data'!$A$1:$P$133,5,FALSE())</f>
        <v>175</v>
      </c>
      <c r="S397" s="0" t="n">
        <f aca="false">VLOOKUP(B397,'Team Data'!$A$1:$P$133,4,FALSE())</f>
        <v>75</v>
      </c>
      <c r="T397" s="0" t="n">
        <f aca="false">VLOOKUP(B397,'Team Data'!$A$1:$P$133,5,FALSE())</f>
        <v>186</v>
      </c>
      <c r="U397" s="0" t="n">
        <f aca="false">IF(K397=1,(MIN(35,(C397-D397)))*(O397/(O397+P397))*(S397/(S397+T397)),(MAX(-35,(C397-D397)))*(IF(P397=0,0.1,(P397/(O397+P397))))*(T397/(S397+T397)))</f>
        <v>-4.5727969348659</v>
      </c>
      <c r="V397" s="0" t="n">
        <f aca="false">IF(L397=1,(MIN(35,(D397-C397)))*(M397/(M397+N397))*(Q397/(Q397+R397)),(MAX(-35,(D397-C397)))*(IF(N397=0,0.1,(N397/(M397+N397))))*(R397/(R397+Q397)))</f>
        <v>0.613434727503169</v>
      </c>
    </row>
    <row r="398" customFormat="false" ht="15" hidden="false" customHeight="false" outlineLevel="0" collapsed="false">
      <c r="A398" s="0" t="s">
        <v>97</v>
      </c>
      <c r="B398" s="0" t="s">
        <v>136</v>
      </c>
      <c r="C398" s="0" t="n">
        <v>33</v>
      </c>
      <c r="D398" s="0" t="n">
        <v>16</v>
      </c>
      <c r="E398" s="0" t="n">
        <v>142</v>
      </c>
      <c r="F398" s="0" t="n">
        <v>143</v>
      </c>
      <c r="G398" s="0" t="n">
        <v>314</v>
      </c>
      <c r="H398" s="0" t="n">
        <v>110</v>
      </c>
      <c r="I398" s="0" t="n">
        <v>0</v>
      </c>
      <c r="J398" s="0" t="n">
        <v>1</v>
      </c>
      <c r="K398" s="0" t="n">
        <v>1</v>
      </c>
      <c r="L398" s="0" t="n">
        <v>0</v>
      </c>
      <c r="M398" s="0" t="n">
        <f aca="false">VLOOKUP(A398,'Team Data'!$A$1:$P$133,2,FALSE())</f>
        <v>7</v>
      </c>
      <c r="N398" s="0" t="n">
        <f aca="false">VLOOKUP(A398,'Team Data'!$A$1:$P$133,3,FALSE())</f>
        <v>5</v>
      </c>
      <c r="O398" s="0" t="n">
        <f aca="false">VLOOKUP(B398,'Team Data'!$A$1:$P$133,2,FALSE())</f>
        <v>7</v>
      </c>
      <c r="P398" s="0" t="n">
        <f aca="false">VLOOKUP(B398,'Team Data'!$A$1:$P$133,3,FALSE())</f>
        <v>6</v>
      </c>
      <c r="Q398" s="0" t="n">
        <f aca="false">VLOOKUP(A398,'Team Data'!$A$1:$P$133,4,FALSE())</f>
        <v>70</v>
      </c>
      <c r="R398" s="0" t="n">
        <f aca="false">VLOOKUP(A398,'Team Data'!$A$1:$P$133,5,FALSE())</f>
        <v>189</v>
      </c>
      <c r="S398" s="0" t="n">
        <f aca="false">VLOOKUP(B398,'Team Data'!$A$1:$P$133,4,FALSE())</f>
        <v>90</v>
      </c>
      <c r="T398" s="0" t="n">
        <f aca="false">VLOOKUP(B398,'Team Data'!$A$1:$P$133,5,FALSE())</f>
        <v>185</v>
      </c>
      <c r="U398" s="0" t="n">
        <f aca="false">IF(K398=1,(MIN(35,(C398-D398)))*(O398/(O398+P398))*(S398/(S398+T398)),(MAX(-35,(C398-D398)))*(IF(P398=0,0.1,(P398/(O398+P398))))*(T398/(S398+T398)))</f>
        <v>2.9958041958042</v>
      </c>
      <c r="V398" s="0" t="n">
        <f aca="false">IF(L398=1,(MIN(35,(D398-C398)))*(M398/(M398+N398))*(Q398/(Q398+R398)),(MAX(-35,(D398-C398)))*(IF(N398=0,0.1,(N398/(M398+N398))))*(R398/(R398+Q398)))</f>
        <v>-5.16891891891892</v>
      </c>
    </row>
    <row r="399" customFormat="false" ht="15" hidden="false" customHeight="false" outlineLevel="0" collapsed="false">
      <c r="A399" s="0" t="s">
        <v>112</v>
      </c>
      <c r="B399" s="0" t="s">
        <v>44</v>
      </c>
      <c r="C399" s="0" t="n">
        <v>27</v>
      </c>
      <c r="D399" s="0" t="n">
        <v>24</v>
      </c>
      <c r="E399" s="0" t="n">
        <v>84</v>
      </c>
      <c r="F399" s="0" t="n">
        <v>175</v>
      </c>
      <c r="G399" s="0" t="n">
        <v>189</v>
      </c>
      <c r="H399" s="0" t="n">
        <v>208</v>
      </c>
      <c r="I399" s="0" t="n">
        <v>1</v>
      </c>
      <c r="J399" s="0" t="n">
        <v>1</v>
      </c>
      <c r="K399" s="0" t="n">
        <v>1</v>
      </c>
      <c r="L399" s="0" t="n">
        <v>0</v>
      </c>
      <c r="M399" s="0" t="n">
        <f aca="false">VLOOKUP(A399,'Team Data'!$A$1:$P$133,2,FALSE())</f>
        <v>12</v>
      </c>
      <c r="N399" s="0" t="n">
        <f aca="false">VLOOKUP(A399,'Team Data'!$A$1:$P$133,3,FALSE())</f>
        <v>2</v>
      </c>
      <c r="O399" s="0" t="n">
        <f aca="false">VLOOKUP(B399,'Team Data'!$A$1:$P$133,2,FALSE())</f>
        <v>8</v>
      </c>
      <c r="P399" s="0" t="n">
        <f aca="false">VLOOKUP(B399,'Team Data'!$A$1:$P$133,3,FALSE())</f>
        <v>5</v>
      </c>
      <c r="Q399" s="0" t="n">
        <f aca="false">VLOOKUP(A399,'Team Data'!$A$1:$P$133,4,FALSE())</f>
        <v>100</v>
      </c>
      <c r="R399" s="0" t="n">
        <f aca="false">VLOOKUP(A399,'Team Data'!$A$1:$P$133,5,FALSE())</f>
        <v>190</v>
      </c>
      <c r="S399" s="0" t="n">
        <f aca="false">VLOOKUP(B399,'Team Data'!$A$1:$P$133,4,FALSE())</f>
        <v>83</v>
      </c>
      <c r="T399" s="0" t="n">
        <f aca="false">VLOOKUP(B399,'Team Data'!$A$1:$P$133,5,FALSE())</f>
        <v>84</v>
      </c>
      <c r="U399" s="0" t="n">
        <f aca="false">IF(K399=1,(MIN(35,(C399-D399)))*(O399/(O399+P399))*(S399/(S399+T399)),(MAX(-35,(C399-D399)))*(IF(P399=0,0.1,(P399/(O399+P399))))*(T399/(S399+T399)))</f>
        <v>0.917549516351912</v>
      </c>
      <c r="V399" s="0" t="n">
        <f aca="false">IF(L399=1,(MIN(35,(D399-C399)))*(M399/(M399+N399))*(Q399/(Q399+R399)),(MAX(-35,(D399-C399)))*(IF(N399=0,0.1,(N399/(M399+N399))))*(R399/(R399+Q399)))</f>
        <v>-0.280788177339901</v>
      </c>
    </row>
    <row r="400" customFormat="false" ht="15" hidden="false" customHeight="false" outlineLevel="0" collapsed="false">
      <c r="A400" s="0" t="s">
        <v>32</v>
      </c>
      <c r="B400" s="0" t="s">
        <v>121</v>
      </c>
      <c r="C400" s="0" t="n">
        <v>48</v>
      </c>
      <c r="D400" s="0" t="n">
        <v>28</v>
      </c>
      <c r="E400" s="0" t="n">
        <v>110</v>
      </c>
      <c r="F400" s="0" t="n">
        <v>202</v>
      </c>
      <c r="G400" s="0" t="n">
        <v>465</v>
      </c>
      <c r="H400" s="0" t="n">
        <v>253</v>
      </c>
      <c r="I400" s="0" t="n">
        <v>1</v>
      </c>
      <c r="J400" s="0" t="n">
        <v>1</v>
      </c>
      <c r="K400" s="0" t="n">
        <v>1</v>
      </c>
      <c r="L400" s="0" t="n">
        <v>0</v>
      </c>
      <c r="M400" s="0" t="n">
        <f aca="false">VLOOKUP(A400,'Team Data'!$A$1:$P$133,2,FALSE())</f>
        <v>8</v>
      </c>
      <c r="N400" s="0" t="n">
        <f aca="false">VLOOKUP(A400,'Team Data'!$A$1:$P$133,3,FALSE())</f>
        <v>5</v>
      </c>
      <c r="O400" s="0" t="n">
        <f aca="false">VLOOKUP(B400,'Team Data'!$A$1:$P$133,2,FALSE())</f>
        <v>1</v>
      </c>
      <c r="P400" s="0" t="n">
        <f aca="false">VLOOKUP(B400,'Team Data'!$A$1:$P$133,3,FALSE())</f>
        <v>11</v>
      </c>
      <c r="Q400" s="0" t="n">
        <f aca="false">VLOOKUP(A400,'Team Data'!$A$1:$P$133,4,FALSE())</f>
        <v>89</v>
      </c>
      <c r="R400" s="0" t="n">
        <f aca="false">VLOOKUP(A400,'Team Data'!$A$1:$P$133,5,FALSE())</f>
        <v>185</v>
      </c>
      <c r="S400" s="0" t="n">
        <f aca="false">VLOOKUP(B400,'Team Data'!$A$1:$P$133,4,FALSE())</f>
        <v>91</v>
      </c>
      <c r="T400" s="0" t="n">
        <f aca="false">VLOOKUP(B400,'Team Data'!$A$1:$P$133,5,FALSE())</f>
        <v>172</v>
      </c>
      <c r="U400" s="0" t="n">
        <f aca="false">IF(K400=1,(MIN(35,(C400-D400)))*(O400/(O400+P400))*(S400/(S400+T400)),(MAX(-35,(C400-D400)))*(IF(P400=0,0.1,(P400/(O400+P400))))*(T400/(S400+T400)))</f>
        <v>0.576679340937896</v>
      </c>
      <c r="V400" s="0" t="n">
        <f aca="false">IF(L400=1,(MIN(35,(D400-C400)))*(M400/(M400+N400))*(Q400/(Q400+R400)),(MAX(-35,(D400-C400)))*(IF(N400=0,0.1,(N400/(M400+N400))))*(R400/(R400+Q400)))</f>
        <v>-5.19371139809096</v>
      </c>
    </row>
    <row r="401" customFormat="false" ht="15" hidden="false" customHeight="false" outlineLevel="0" collapsed="false">
      <c r="A401" s="0" t="s">
        <v>26</v>
      </c>
      <c r="B401" s="0" t="s">
        <v>113</v>
      </c>
      <c r="C401" s="0" t="n">
        <v>31</v>
      </c>
      <c r="D401" s="0" t="n">
        <v>21</v>
      </c>
      <c r="E401" s="0" t="n">
        <v>198</v>
      </c>
      <c r="F401" s="0" t="n">
        <v>36</v>
      </c>
      <c r="G401" s="0" t="n">
        <v>166</v>
      </c>
      <c r="H401" s="0" t="n">
        <v>249</v>
      </c>
      <c r="I401" s="0" t="n">
        <v>1</v>
      </c>
      <c r="J401" s="0" t="n">
        <v>2</v>
      </c>
      <c r="K401" s="0" t="n">
        <v>1</v>
      </c>
      <c r="L401" s="0" t="n">
        <v>0</v>
      </c>
      <c r="M401" s="0" t="n">
        <f aca="false">VLOOKUP(A401,'Team Data'!$A$1:$P$133,2,FALSE())</f>
        <v>9</v>
      </c>
      <c r="N401" s="0" t="n">
        <f aca="false">VLOOKUP(A401,'Team Data'!$A$1:$P$133,3,FALSE())</f>
        <v>4</v>
      </c>
      <c r="O401" s="0" t="n">
        <f aca="false">VLOOKUP(B401,'Team Data'!$A$1:$P$133,2,FALSE())</f>
        <v>5</v>
      </c>
      <c r="P401" s="0" t="n">
        <f aca="false">VLOOKUP(B401,'Team Data'!$A$1:$P$133,3,FALSE())</f>
        <v>7</v>
      </c>
      <c r="Q401" s="0" t="n">
        <f aca="false">VLOOKUP(A401,'Team Data'!$A$1:$P$133,4,FALSE())</f>
        <v>82</v>
      </c>
      <c r="R401" s="0" t="n">
        <f aca="false">VLOOKUP(A401,'Team Data'!$A$1:$P$133,5,FALSE())</f>
        <v>191</v>
      </c>
      <c r="S401" s="0" t="n">
        <f aca="false">VLOOKUP(B401,'Team Data'!$A$1:$P$133,4,FALSE())</f>
        <v>77</v>
      </c>
      <c r="T401" s="0" t="n">
        <f aca="false">VLOOKUP(B401,'Team Data'!$A$1:$P$133,5,FALSE())</f>
        <v>183</v>
      </c>
      <c r="U401" s="0" t="n">
        <f aca="false">IF(K401=1,(MIN(35,(C401-D401)))*(O401/(O401+P401))*(S401/(S401+T401)),(MAX(-35,(C401-D401)))*(IF(P401=0,0.1,(P401/(O401+P401))))*(T401/(S401+T401)))</f>
        <v>1.23397435897436</v>
      </c>
      <c r="V401" s="0" t="n">
        <f aca="false">IF(L401=1,(MIN(35,(D401-C401)))*(M401/(M401+N401))*(Q401/(Q401+R401)),(MAX(-35,(D401-C401)))*(IF(N401=0,0.1,(N401/(M401+N401))))*(R401/(R401+Q401)))</f>
        <v>-2.152719075796</v>
      </c>
    </row>
    <row r="402" customFormat="false" ht="15" hidden="false" customHeight="false" outlineLevel="0" collapsed="false">
      <c r="A402" s="0" t="s">
        <v>104</v>
      </c>
      <c r="B402" s="0" t="s">
        <v>62</v>
      </c>
      <c r="C402" s="0" t="n">
        <v>3</v>
      </c>
      <c r="D402" s="0" t="n">
        <v>24</v>
      </c>
      <c r="E402" s="0" t="n">
        <v>52</v>
      </c>
      <c r="F402" s="0" t="n">
        <v>136</v>
      </c>
      <c r="G402" s="0" t="n">
        <v>245</v>
      </c>
      <c r="H402" s="0" t="n">
        <v>195</v>
      </c>
      <c r="I402" s="0" t="n">
        <v>3</v>
      </c>
      <c r="J402" s="0" t="n">
        <v>1</v>
      </c>
      <c r="K402" s="0" t="n">
        <v>0</v>
      </c>
      <c r="L402" s="0" t="n">
        <v>1</v>
      </c>
      <c r="M402" s="0" t="n">
        <f aca="false">VLOOKUP(A402,'Team Data'!$A$1:$P$133,2,FALSE())</f>
        <v>3</v>
      </c>
      <c r="N402" s="0" t="n">
        <f aca="false">VLOOKUP(A402,'Team Data'!$A$1:$P$133,3,FALSE())</f>
        <v>9</v>
      </c>
      <c r="O402" s="0" t="n">
        <f aca="false">VLOOKUP(B402,'Team Data'!$A$1:$P$133,2,FALSE())</f>
        <v>7</v>
      </c>
      <c r="P402" s="0" t="n">
        <f aca="false">VLOOKUP(B402,'Team Data'!$A$1:$P$133,3,FALSE())</f>
        <v>6</v>
      </c>
      <c r="Q402" s="0" t="n">
        <f aca="false">VLOOKUP(A402,'Team Data'!$A$1:$P$133,4,FALSE())</f>
        <v>73</v>
      </c>
      <c r="R402" s="0" t="n">
        <f aca="false">VLOOKUP(A402,'Team Data'!$A$1:$P$133,5,FALSE())</f>
        <v>186</v>
      </c>
      <c r="S402" s="0" t="n">
        <f aca="false">VLOOKUP(B402,'Team Data'!$A$1:$P$133,4,FALSE())</f>
        <v>89</v>
      </c>
      <c r="T402" s="0" t="n">
        <f aca="false">VLOOKUP(B402,'Team Data'!$A$1:$P$133,5,FALSE())</f>
        <v>186</v>
      </c>
      <c r="U402" s="0" t="n">
        <f aca="false">IF(K402=1,(MIN(35,(C402-D402)))*(O402/(O402+P402))*(S402/(S402+T402)),(MAX(-35,(C402-D402)))*(IF(P402=0,0.1,(P402/(O402+P402))))*(T402/(S402+T402)))</f>
        <v>-6.55552447552448</v>
      </c>
      <c r="V402" s="0" t="n">
        <f aca="false">IF(L402=1,(MIN(35,(D402-C402)))*(M402/(M402+N402))*(Q402/(Q402+R402)),(MAX(-35,(D402-C402)))*(IF(N402=0,0.1,(N402/(M402+N402))))*(R402/(R402+Q402)))</f>
        <v>1.47972972972973</v>
      </c>
    </row>
    <row r="403" customFormat="false" ht="15" hidden="false" customHeight="false" outlineLevel="0" collapsed="false">
      <c r="A403" s="0" t="s">
        <v>24</v>
      </c>
      <c r="B403" s="0" t="s">
        <v>110</v>
      </c>
      <c r="C403" s="0" t="n">
        <v>17</v>
      </c>
      <c r="D403" s="0" t="n">
        <v>38</v>
      </c>
      <c r="E403" s="0" t="n">
        <v>33</v>
      </c>
      <c r="F403" s="0" t="n">
        <v>261</v>
      </c>
      <c r="G403" s="0" t="n">
        <v>252</v>
      </c>
      <c r="H403" s="0" t="n">
        <v>186</v>
      </c>
      <c r="I403" s="0" t="n">
        <v>3</v>
      </c>
      <c r="J403" s="0" t="n">
        <v>1</v>
      </c>
      <c r="K403" s="0" t="n">
        <v>0</v>
      </c>
      <c r="L403" s="0" t="n">
        <v>1</v>
      </c>
      <c r="M403" s="0" t="n">
        <f aca="false">VLOOKUP(A403,'Team Data'!$A$1:$P$133,2,FALSE())</f>
        <v>4</v>
      </c>
      <c r="N403" s="0" t="n">
        <f aca="false">VLOOKUP(A403,'Team Data'!$A$1:$P$133,3,FALSE())</f>
        <v>8</v>
      </c>
      <c r="O403" s="0" t="n">
        <f aca="false">VLOOKUP(B403,'Team Data'!$A$1:$P$133,2,FALSE())</f>
        <v>9</v>
      </c>
      <c r="P403" s="0" t="n">
        <f aca="false">VLOOKUP(B403,'Team Data'!$A$1:$P$133,3,FALSE())</f>
        <v>5</v>
      </c>
      <c r="Q403" s="0" t="n">
        <f aca="false">VLOOKUP(A403,'Team Data'!$A$1:$P$133,4,FALSE())</f>
        <v>82</v>
      </c>
      <c r="R403" s="0" t="n">
        <f aca="false">VLOOKUP(A403,'Team Data'!$A$1:$P$133,5,FALSE())</f>
        <v>178</v>
      </c>
      <c r="S403" s="0" t="n">
        <f aca="false">VLOOKUP(B403,'Team Data'!$A$1:$P$133,4,FALSE())</f>
        <v>89</v>
      </c>
      <c r="T403" s="0" t="n">
        <f aca="false">VLOOKUP(B403,'Team Data'!$A$1:$P$133,5,FALSE())</f>
        <v>195</v>
      </c>
      <c r="U403" s="0" t="n">
        <f aca="false">IF(K403=1,(MIN(35,(C403-D403)))*(O403/(O403+P403))*(S403/(S403+T403)),(MAX(-35,(C403-D403)))*(IF(P403=0,0.1,(P403/(O403+P403))))*(T403/(S403+T403)))</f>
        <v>-5.14964788732394</v>
      </c>
      <c r="V403" s="0" t="n">
        <f aca="false">IF(L403=1,(MIN(35,(D403-C403)))*(M403/(M403+N403))*(Q403/(Q403+R403)),(MAX(-35,(D403-C403)))*(IF(N403=0,0.1,(N403/(M403+N403))))*(R403/(R403+Q403)))</f>
        <v>2.20769230769231</v>
      </c>
    </row>
    <row r="404" customFormat="false" ht="15" hidden="false" customHeight="false" outlineLevel="0" collapsed="false">
      <c r="A404" s="0" t="s">
        <v>79</v>
      </c>
      <c r="B404" s="0" t="s">
        <v>17</v>
      </c>
      <c r="C404" s="0" t="n">
        <v>38</v>
      </c>
      <c r="D404" s="0" t="n">
        <v>44</v>
      </c>
      <c r="E404" s="0" t="n">
        <v>332</v>
      </c>
      <c r="F404" s="0" t="n">
        <v>77</v>
      </c>
      <c r="G404" s="0" t="n">
        <v>194</v>
      </c>
      <c r="H404" s="0" t="n">
        <v>403</v>
      </c>
      <c r="I404" s="0" t="n">
        <v>2</v>
      </c>
      <c r="J404" s="0" t="n">
        <v>2</v>
      </c>
      <c r="K404" s="0" t="n">
        <v>0</v>
      </c>
      <c r="L404" s="0" t="n">
        <v>1</v>
      </c>
      <c r="M404" s="0" t="n">
        <f aca="false">VLOOKUP(A404,'Team Data'!$A$1:$P$133,2,FALSE())</f>
        <v>3</v>
      </c>
      <c r="N404" s="0" t="n">
        <f aca="false">VLOOKUP(A404,'Team Data'!$A$1:$P$133,3,FALSE())</f>
        <v>9</v>
      </c>
      <c r="O404" s="0" t="n">
        <f aca="false">VLOOKUP(B404,'Team Data'!$A$1:$P$133,2,FALSE())</f>
        <v>5</v>
      </c>
      <c r="P404" s="0" t="n">
        <f aca="false">VLOOKUP(B404,'Team Data'!$A$1:$P$133,3,FALSE())</f>
        <v>7</v>
      </c>
      <c r="Q404" s="0" t="n">
        <f aca="false">VLOOKUP(A404,'Team Data'!$A$1:$P$133,4,FALSE())</f>
        <v>75</v>
      </c>
      <c r="R404" s="0" t="n">
        <f aca="false">VLOOKUP(A404,'Team Data'!$A$1:$P$133,5,FALSE())</f>
        <v>184</v>
      </c>
      <c r="S404" s="0" t="n">
        <f aca="false">VLOOKUP(B404,'Team Data'!$A$1:$P$133,4,FALSE())</f>
        <v>82</v>
      </c>
      <c r="T404" s="0" t="n">
        <f aca="false">VLOOKUP(B404,'Team Data'!$A$1:$P$133,5,FALSE())</f>
        <v>179</v>
      </c>
      <c r="U404" s="0" t="n">
        <f aca="false">IF(K404=1,(MIN(35,(C404-D404)))*(O404/(O404+P404))*(S404/(S404+T404)),(MAX(-35,(C404-D404)))*(IF(P404=0,0.1,(P404/(O404+P404))))*(T404/(S404+T404)))</f>
        <v>-2.40038314176245</v>
      </c>
      <c r="V404" s="0" t="n">
        <f aca="false">IF(L404=1,(MIN(35,(D404-C404)))*(M404/(M404+N404))*(Q404/(Q404+R404)),(MAX(-35,(D404-C404)))*(IF(N404=0,0.1,(N404/(M404+N404))))*(R404/(R404+Q404)))</f>
        <v>0.434362934362934</v>
      </c>
    </row>
    <row r="405" customFormat="false" ht="15" hidden="false" customHeight="false" outlineLevel="0" collapsed="false">
      <c r="A405" s="0" t="s">
        <v>21</v>
      </c>
      <c r="B405" s="0" t="s">
        <v>7</v>
      </c>
      <c r="C405" s="0" t="n">
        <v>31</v>
      </c>
      <c r="D405" s="0" t="n">
        <v>28</v>
      </c>
      <c r="E405" s="0" t="n">
        <v>175</v>
      </c>
      <c r="F405" s="0" t="n">
        <v>184</v>
      </c>
      <c r="G405" s="0" t="n">
        <v>247</v>
      </c>
      <c r="H405" s="0" t="n">
        <v>224</v>
      </c>
      <c r="I405" s="0" t="n">
        <v>1</v>
      </c>
      <c r="J405" s="0" t="n">
        <v>3</v>
      </c>
      <c r="K405" s="0" t="n">
        <v>1</v>
      </c>
      <c r="L405" s="0" t="n">
        <v>0</v>
      </c>
      <c r="M405" s="0" t="n">
        <f aca="false">VLOOKUP(A405,'Team Data'!$A$1:$P$133,2,FALSE())</f>
        <v>6</v>
      </c>
      <c r="N405" s="0" t="n">
        <f aca="false">VLOOKUP(A405,'Team Data'!$A$1:$P$133,3,FALSE())</f>
        <v>7</v>
      </c>
      <c r="O405" s="0" t="n">
        <f aca="false">VLOOKUP(B405,'Team Data'!$A$1:$P$133,2,FALSE())</f>
        <v>2</v>
      </c>
      <c r="P405" s="0" t="n">
        <f aca="false">VLOOKUP(B405,'Team Data'!$A$1:$P$133,3,FALSE())</f>
        <v>10</v>
      </c>
      <c r="Q405" s="0" t="n">
        <f aca="false">VLOOKUP(A405,'Team Data'!$A$1:$P$133,4,FALSE())</f>
        <v>90</v>
      </c>
      <c r="R405" s="0" t="n">
        <f aca="false">VLOOKUP(A405,'Team Data'!$A$1:$P$133,5,FALSE())</f>
        <v>184</v>
      </c>
      <c r="S405" s="0" t="n">
        <f aca="false">VLOOKUP(B405,'Team Data'!$A$1:$P$133,4,FALSE())</f>
        <v>82</v>
      </c>
      <c r="T405" s="0" t="n">
        <f aca="false">VLOOKUP(B405,'Team Data'!$A$1:$P$133,5,FALSE())</f>
        <v>178</v>
      </c>
      <c r="U405" s="0" t="n">
        <f aca="false">IF(K405=1,(MIN(35,(C405-D405)))*(O405/(O405+P405))*(S405/(S405+T405)),(MAX(-35,(C405-D405)))*(IF(P405=0,0.1,(P405/(O405+P405))))*(T405/(S405+T405)))</f>
        <v>0.157692307692308</v>
      </c>
      <c r="V405" s="0" t="n">
        <f aca="false">IF(L405=1,(MIN(35,(D405-C405)))*(M405/(M405+N405))*(Q405/(Q405+R405)),(MAX(-35,(D405-C405)))*(IF(N405=0,0.1,(N405/(M405+N405))))*(R405/(R405+Q405)))</f>
        <v>-1.08478382930938</v>
      </c>
    </row>
    <row r="406" customFormat="false" ht="15" hidden="false" customHeight="false" outlineLevel="0" collapsed="false">
      <c r="A406" s="0" t="s">
        <v>64</v>
      </c>
      <c r="B406" s="0" t="s">
        <v>22</v>
      </c>
      <c r="C406" s="0" t="n">
        <v>20</v>
      </c>
      <c r="D406" s="0" t="n">
        <v>24</v>
      </c>
      <c r="E406" s="0" t="n">
        <v>240</v>
      </c>
      <c r="F406" s="0" t="n">
        <v>90</v>
      </c>
      <c r="G406" s="0" t="n">
        <v>119</v>
      </c>
      <c r="H406" s="0" t="n">
        <v>188</v>
      </c>
      <c r="I406" s="0" t="n">
        <v>1</v>
      </c>
      <c r="J406" s="0" t="n">
        <v>2</v>
      </c>
      <c r="K406" s="0" t="n">
        <v>0</v>
      </c>
      <c r="L406" s="0" t="n">
        <v>1</v>
      </c>
      <c r="M406" s="0" t="n">
        <f aca="false">VLOOKUP(A406,'Team Data'!$A$1:$P$133,2,FALSE())</f>
        <v>6</v>
      </c>
      <c r="N406" s="0" t="n">
        <f aca="false">VLOOKUP(A406,'Team Data'!$A$1:$P$133,3,FALSE())</f>
        <v>7</v>
      </c>
      <c r="O406" s="0" t="n">
        <f aca="false">VLOOKUP(B406,'Team Data'!$A$1:$P$133,2,FALSE())</f>
        <v>7</v>
      </c>
      <c r="P406" s="0" t="n">
        <f aca="false">VLOOKUP(B406,'Team Data'!$A$1:$P$133,3,FALSE())</f>
        <v>6</v>
      </c>
      <c r="Q406" s="0" t="n">
        <f aca="false">VLOOKUP(A406,'Team Data'!$A$1:$P$133,4,FALSE())</f>
        <v>75</v>
      </c>
      <c r="R406" s="0" t="n">
        <f aca="false">VLOOKUP(A406,'Team Data'!$A$1:$P$133,5,FALSE())</f>
        <v>196</v>
      </c>
      <c r="S406" s="0" t="n">
        <f aca="false">VLOOKUP(B406,'Team Data'!$A$1:$P$133,4,FALSE())</f>
        <v>83</v>
      </c>
      <c r="T406" s="0" t="n">
        <f aca="false">VLOOKUP(B406,'Team Data'!$A$1:$P$133,5,FALSE())</f>
        <v>191</v>
      </c>
      <c r="U406" s="0" t="n">
        <f aca="false">IF(K406=1,(MIN(35,(C406-D406)))*(O406/(O406+P406))*(S406/(S406+T406)),(MAX(-35,(C406-D406)))*(IF(P406=0,0.1,(P406/(O406+P406))))*(T406/(S406+T406)))</f>
        <v>-1.28691746209994</v>
      </c>
      <c r="V406" s="0" t="n">
        <f aca="false">IF(L406=1,(MIN(35,(D406-C406)))*(M406/(M406+N406))*(Q406/(Q406+R406)),(MAX(-35,(D406-C406)))*(IF(N406=0,0.1,(N406/(M406+N406))))*(R406/(R406+Q406)))</f>
        <v>0.510928186204939</v>
      </c>
    </row>
    <row r="407" customFormat="false" ht="15" hidden="false" customHeight="false" outlineLevel="0" collapsed="false">
      <c r="A407" s="0" t="s">
        <v>82</v>
      </c>
      <c r="B407" s="0" t="s">
        <v>52</v>
      </c>
      <c r="C407" s="0" t="n">
        <v>24</v>
      </c>
      <c r="D407" s="0" t="n">
        <v>31</v>
      </c>
      <c r="E407" s="0" t="n">
        <v>128</v>
      </c>
      <c r="F407" s="0" t="n">
        <v>338</v>
      </c>
      <c r="G407" s="0" t="n">
        <v>322</v>
      </c>
      <c r="H407" s="0" t="n">
        <v>398</v>
      </c>
      <c r="I407" s="0" t="n">
        <v>0</v>
      </c>
      <c r="J407" s="0" t="n">
        <v>2</v>
      </c>
      <c r="K407" s="0" t="n">
        <v>0</v>
      </c>
      <c r="L407" s="0" t="n">
        <v>1</v>
      </c>
      <c r="M407" s="0" t="n">
        <f aca="false">VLOOKUP(A407,'Team Data'!$A$1:$P$133,2,FALSE())</f>
        <v>10</v>
      </c>
      <c r="N407" s="0" t="n">
        <f aca="false">VLOOKUP(A407,'Team Data'!$A$1:$P$133,3,FALSE())</f>
        <v>4</v>
      </c>
      <c r="O407" s="0" t="n">
        <f aca="false">VLOOKUP(B407,'Team Data'!$A$1:$P$133,2,FALSE())</f>
        <v>5</v>
      </c>
      <c r="P407" s="0" t="n">
        <f aca="false">VLOOKUP(B407,'Team Data'!$A$1:$P$133,3,FALSE())</f>
        <v>7</v>
      </c>
      <c r="Q407" s="0" t="n">
        <f aca="false">VLOOKUP(A407,'Team Data'!$A$1:$P$133,4,FALSE())</f>
        <v>83</v>
      </c>
      <c r="R407" s="0" t="n">
        <f aca="false">VLOOKUP(A407,'Team Data'!$A$1:$P$133,5,FALSE())</f>
        <v>200</v>
      </c>
      <c r="S407" s="0" t="n">
        <f aca="false">VLOOKUP(B407,'Team Data'!$A$1:$P$133,4,FALSE())</f>
        <v>94</v>
      </c>
      <c r="T407" s="0" t="n">
        <f aca="false">VLOOKUP(B407,'Team Data'!$A$1:$P$133,5,FALSE())</f>
        <v>171</v>
      </c>
      <c r="U407" s="0" t="n">
        <f aca="false">IF(K407=1,(MIN(35,(C407-D407)))*(O407/(O407+P407))*(S407/(S407+T407)),(MAX(-35,(C407-D407)))*(IF(P407=0,0.1,(P407/(O407+P407))))*(T407/(S407+T407)))</f>
        <v>-2.63490566037736</v>
      </c>
      <c r="V407" s="0" t="n">
        <f aca="false">IF(L407=1,(MIN(35,(D407-C407)))*(M407/(M407+N407))*(Q407/(Q407+R407)),(MAX(-35,(D407-C407)))*(IF(N407=0,0.1,(N407/(M407+N407))))*(R407/(R407+Q407)))</f>
        <v>1.46643109540636</v>
      </c>
    </row>
    <row r="408" customFormat="false" ht="15" hidden="false" customHeight="false" outlineLevel="0" collapsed="false">
      <c r="A408" s="0" t="s">
        <v>198</v>
      </c>
      <c r="B408" s="0" t="s">
        <v>134</v>
      </c>
      <c r="C408" s="0" t="n">
        <v>7</v>
      </c>
      <c r="D408" s="0" t="n">
        <v>44</v>
      </c>
      <c r="E408" s="0" t="n">
        <v>44</v>
      </c>
      <c r="F408" s="0" t="n">
        <v>104</v>
      </c>
      <c r="G408" s="0" t="n">
        <v>161</v>
      </c>
      <c r="H408" s="0" t="n">
        <v>252</v>
      </c>
      <c r="I408" s="0" t="n">
        <v>4</v>
      </c>
      <c r="J408" s="0" t="n">
        <v>1</v>
      </c>
      <c r="K408" s="0" t="n">
        <v>0</v>
      </c>
      <c r="L408" s="0" t="n">
        <v>1</v>
      </c>
      <c r="M408" s="0" t="n">
        <f aca="false">VLOOKUP(A408,'Team Data'!$A$1:$P$133,2,FALSE())</f>
        <v>8</v>
      </c>
      <c r="N408" s="0" t="n">
        <f aca="false">VLOOKUP(A408,'Team Data'!$A$1:$P$133,3,FALSE())</f>
        <v>112</v>
      </c>
      <c r="O408" s="0" t="n">
        <f aca="false">VLOOKUP(B408,'Team Data'!$A$1:$P$133,2,FALSE())</f>
        <v>5</v>
      </c>
      <c r="P408" s="0" t="n">
        <f aca="false">VLOOKUP(B408,'Team Data'!$A$1:$P$133,3,FALSE())</f>
        <v>7</v>
      </c>
      <c r="Q408" s="0" t="n">
        <f aca="false">VLOOKUP(A408,'Team Data'!$A$1:$P$133,4,FALSE())</f>
        <v>805</v>
      </c>
      <c r="R408" s="0" t="n">
        <f aca="false">VLOOKUP(A408,'Team Data'!$A$1:$P$133,5,FALSE())</f>
        <v>725</v>
      </c>
      <c r="S408" s="0" t="n">
        <f aca="false">VLOOKUP(B408,'Team Data'!$A$1:$P$133,4,FALSE())</f>
        <v>81</v>
      </c>
      <c r="T408" s="0" t="n">
        <f aca="false">VLOOKUP(B408,'Team Data'!$A$1:$P$133,5,FALSE())</f>
        <v>179</v>
      </c>
      <c r="U408" s="0" t="n">
        <f aca="false">IF(K408=1,(MIN(35,(C408-D408)))*(O408/(O408+P408))*(S408/(S408+T408)),(MAX(-35,(C408-D408)))*(IF(P408=0,0.1,(P408/(O408+P408))))*(T408/(S408+T408)))</f>
        <v>-14.0560897435897</v>
      </c>
      <c r="V408" s="0" t="n">
        <f aca="false">IF(L408=1,(MIN(35,(D408-C408)))*(M408/(M408+N408))*(Q408/(Q408+R408)),(MAX(-35,(D408-C408)))*(IF(N408=0,0.1,(N408/(M408+N408))))*(R408/(R408+Q408)))</f>
        <v>1.2276688453159</v>
      </c>
    </row>
    <row r="409" customFormat="false" ht="15" hidden="false" customHeight="false" outlineLevel="0" collapsed="false">
      <c r="A409" s="0" t="s">
        <v>198</v>
      </c>
      <c r="B409" s="0" t="s">
        <v>9</v>
      </c>
      <c r="C409" s="0" t="n">
        <v>0</v>
      </c>
      <c r="D409" s="0" t="n">
        <v>49</v>
      </c>
      <c r="E409" s="0" t="n">
        <v>172</v>
      </c>
      <c r="F409" s="0" t="n">
        <v>247</v>
      </c>
      <c r="G409" s="0" t="n">
        <v>51</v>
      </c>
      <c r="H409" s="0" t="n">
        <v>298</v>
      </c>
      <c r="I409" s="0" t="n">
        <v>2</v>
      </c>
      <c r="J409" s="0" t="n">
        <v>0</v>
      </c>
      <c r="K409" s="0" t="n">
        <v>0</v>
      </c>
      <c r="L409" s="0" t="n">
        <v>1</v>
      </c>
      <c r="M409" s="0" t="n">
        <f aca="false">VLOOKUP(A409,'Team Data'!$A$1:$P$133,2,FALSE())</f>
        <v>8</v>
      </c>
      <c r="N409" s="0" t="n">
        <f aca="false">VLOOKUP(A409,'Team Data'!$A$1:$P$133,3,FALSE())</f>
        <v>112</v>
      </c>
      <c r="O409" s="0" t="n">
        <f aca="false">VLOOKUP(B409,'Team Data'!$A$1:$P$133,2,FALSE())</f>
        <v>6</v>
      </c>
      <c r="P409" s="0" t="n">
        <f aca="false">VLOOKUP(B409,'Team Data'!$A$1:$P$133,3,FALSE())</f>
        <v>6</v>
      </c>
      <c r="Q409" s="0" t="n">
        <f aca="false">VLOOKUP(A409,'Team Data'!$A$1:$P$133,4,FALSE())</f>
        <v>805</v>
      </c>
      <c r="R409" s="0" t="n">
        <f aca="false">VLOOKUP(A409,'Team Data'!$A$1:$P$133,5,FALSE())</f>
        <v>725</v>
      </c>
      <c r="S409" s="0" t="n">
        <f aca="false">VLOOKUP(B409,'Team Data'!$A$1:$P$133,4,FALSE())</f>
        <v>85</v>
      </c>
      <c r="T409" s="0" t="n">
        <f aca="false">VLOOKUP(B409,'Team Data'!$A$1:$P$133,5,FALSE())</f>
        <v>281</v>
      </c>
      <c r="U409" s="0" t="n">
        <f aca="false">IF(K409=1,(MIN(35,(C409-D409)))*(O409/(O409+P409))*(S409/(S409+T409)),(MAX(-35,(C409-D409)))*(IF(P409=0,0.1,(P409/(O409+P409))))*(T409/(S409+T409)))</f>
        <v>-13.4357923497268</v>
      </c>
      <c r="V409" s="0" t="n">
        <f aca="false">IF(L409=1,(MIN(35,(D409-C409)))*(M409/(M409+N409))*(Q409/(Q409+R409)),(MAX(-35,(D409-C409)))*(IF(N409=0,0.1,(N409/(M409+N409))))*(R409/(R409+Q409)))</f>
        <v>1.2276688453159</v>
      </c>
    </row>
    <row r="410" customFormat="false" ht="15" hidden="false" customHeight="false" outlineLevel="0" collapsed="false">
      <c r="A410" s="0" t="s">
        <v>40</v>
      </c>
      <c r="B410" s="0" t="s">
        <v>28</v>
      </c>
      <c r="C410" s="0" t="n">
        <v>30</v>
      </c>
      <c r="D410" s="0" t="n">
        <v>34</v>
      </c>
      <c r="E410" s="0" t="n">
        <v>178</v>
      </c>
      <c r="F410" s="0" t="n">
        <v>150</v>
      </c>
      <c r="G410" s="0" t="n">
        <v>284</v>
      </c>
      <c r="H410" s="0" t="n">
        <v>335</v>
      </c>
      <c r="I410" s="0" t="n">
        <v>1</v>
      </c>
      <c r="J410" s="0" t="n">
        <v>1</v>
      </c>
      <c r="K410" s="0" t="n">
        <v>0</v>
      </c>
      <c r="L410" s="0" t="n">
        <v>1</v>
      </c>
      <c r="M410" s="0" t="n">
        <f aca="false">VLOOKUP(A410,'Team Data'!$A$1:$P$133,2,FALSE())</f>
        <v>6</v>
      </c>
      <c r="N410" s="0" t="n">
        <f aca="false">VLOOKUP(A410,'Team Data'!$A$1:$P$133,3,FALSE())</f>
        <v>7</v>
      </c>
      <c r="O410" s="0" t="n">
        <f aca="false">VLOOKUP(B410,'Team Data'!$A$1:$P$133,2,FALSE())</f>
        <v>9</v>
      </c>
      <c r="P410" s="0" t="n">
        <f aca="false">VLOOKUP(B410,'Team Data'!$A$1:$P$133,3,FALSE())</f>
        <v>4</v>
      </c>
      <c r="Q410" s="0" t="n">
        <f aca="false">VLOOKUP(A410,'Team Data'!$A$1:$P$133,4,FALSE())</f>
        <v>86</v>
      </c>
      <c r="R410" s="0" t="n">
        <f aca="false">VLOOKUP(A410,'Team Data'!$A$1:$P$133,5,FALSE())</f>
        <v>183</v>
      </c>
      <c r="S410" s="0" t="n">
        <f aca="false">VLOOKUP(B410,'Team Data'!$A$1:$P$133,4,FALSE())</f>
        <v>88</v>
      </c>
      <c r="T410" s="0" t="n">
        <f aca="false">VLOOKUP(B410,'Team Data'!$A$1:$P$133,5,FALSE())</f>
        <v>182</v>
      </c>
      <c r="U410" s="0" t="n">
        <f aca="false">IF(K410=1,(MIN(35,(C410-D410)))*(O410/(O410+P410))*(S410/(S410+T410)),(MAX(-35,(C410-D410)))*(IF(P410=0,0.1,(P410/(O410+P410))))*(T410/(S410+T410)))</f>
        <v>-0.82962962962963</v>
      </c>
      <c r="V410" s="0" t="n">
        <f aca="false">IF(L410=1,(MIN(35,(D410-C410)))*(M410/(M410+N410))*(Q410/(Q410+R410)),(MAX(-35,(D410-C410)))*(IF(N410=0,0.1,(N410/(M410+N410))))*(R410/(R410+Q410)))</f>
        <v>0.5902201887332</v>
      </c>
    </row>
    <row r="411" customFormat="false" ht="15" hidden="false" customHeight="false" outlineLevel="0" collapsed="false">
      <c r="A411" s="0" t="s">
        <v>108</v>
      </c>
      <c r="B411" s="0" t="s">
        <v>49</v>
      </c>
      <c r="C411" s="0" t="n">
        <v>13</v>
      </c>
      <c r="D411" s="0" t="n">
        <v>40</v>
      </c>
      <c r="E411" s="0" t="n">
        <v>106</v>
      </c>
      <c r="F411" s="0" t="n">
        <v>203</v>
      </c>
      <c r="G411" s="0" t="n">
        <v>140</v>
      </c>
      <c r="H411" s="0" t="n">
        <v>257</v>
      </c>
      <c r="I411" s="0" t="n">
        <v>4</v>
      </c>
      <c r="J411" s="0" t="n">
        <v>3</v>
      </c>
      <c r="K411" s="0" t="n">
        <v>0</v>
      </c>
      <c r="L411" s="0" t="n">
        <v>1</v>
      </c>
      <c r="M411" s="0" t="n">
        <f aca="false">VLOOKUP(A411,'Team Data'!$A$1:$P$133,2,FALSE())</f>
        <v>4</v>
      </c>
      <c r="N411" s="0" t="n">
        <f aca="false">VLOOKUP(A411,'Team Data'!$A$1:$P$133,3,FALSE())</f>
        <v>8</v>
      </c>
      <c r="O411" s="0" t="n">
        <f aca="false">VLOOKUP(B411,'Team Data'!$A$1:$P$133,2,FALSE())</f>
        <v>8</v>
      </c>
      <c r="P411" s="0" t="n">
        <f aca="false">VLOOKUP(B411,'Team Data'!$A$1:$P$133,3,FALSE())</f>
        <v>3</v>
      </c>
      <c r="Q411" s="0" t="n">
        <f aca="false">VLOOKUP(A411,'Team Data'!$A$1:$P$133,4,FALSE())</f>
        <v>76</v>
      </c>
      <c r="R411" s="0" t="n">
        <f aca="false">VLOOKUP(A411,'Team Data'!$A$1:$P$133,5,FALSE())</f>
        <v>181</v>
      </c>
      <c r="S411" s="0" t="n">
        <f aca="false">VLOOKUP(B411,'Team Data'!$A$1:$P$133,4,FALSE())</f>
        <v>68</v>
      </c>
      <c r="T411" s="0" t="n">
        <f aca="false">VLOOKUP(B411,'Team Data'!$A$1:$P$133,5,FALSE())</f>
        <v>177</v>
      </c>
      <c r="U411" s="0" t="n">
        <f aca="false">IF(K411=1,(MIN(35,(C411-D411)))*(O411/(O411+P411))*(S411/(S411+T411)),(MAX(-35,(C411-D411)))*(IF(P411=0,0.1,(P411/(O411+P411))))*(T411/(S411+T411)))</f>
        <v>-5.31985157699443</v>
      </c>
      <c r="V411" s="0" t="n">
        <f aca="false">IF(L411=1,(MIN(35,(D411-C411)))*(M411/(M411+N411))*(Q411/(Q411+R411)),(MAX(-35,(D411-C411)))*(IF(N411=0,0.1,(N411/(M411+N411))))*(R411/(R411+Q411)))</f>
        <v>2.66147859922179</v>
      </c>
    </row>
    <row r="412" customFormat="false" ht="15" hidden="false" customHeight="false" outlineLevel="0" collapsed="false">
      <c r="A412" s="0" t="s">
        <v>198</v>
      </c>
      <c r="B412" s="0" t="s">
        <v>60</v>
      </c>
      <c r="C412" s="0" t="n">
        <v>7</v>
      </c>
      <c r="D412" s="0" t="n">
        <v>28</v>
      </c>
      <c r="E412" s="0" t="n">
        <v>19</v>
      </c>
      <c r="F412" s="0" t="n">
        <v>236</v>
      </c>
      <c r="G412" s="0" t="n">
        <v>124</v>
      </c>
      <c r="H412" s="0" t="n">
        <v>185</v>
      </c>
      <c r="I412" s="0" t="n">
        <v>4</v>
      </c>
      <c r="J412" s="0" t="n">
        <v>1</v>
      </c>
      <c r="K412" s="0" t="n">
        <v>0</v>
      </c>
      <c r="L412" s="0" t="n">
        <v>1</v>
      </c>
      <c r="M412" s="0" t="n">
        <f aca="false">VLOOKUP(A412,'Team Data'!$A$1:$P$133,2,FALSE())</f>
        <v>8</v>
      </c>
      <c r="N412" s="0" t="n">
        <f aca="false">VLOOKUP(A412,'Team Data'!$A$1:$P$133,3,FALSE())</f>
        <v>112</v>
      </c>
      <c r="O412" s="0" t="n">
        <f aca="false">VLOOKUP(B412,'Team Data'!$A$1:$P$133,2,FALSE())</f>
        <v>9</v>
      </c>
      <c r="P412" s="0" t="n">
        <f aca="false">VLOOKUP(B412,'Team Data'!$A$1:$P$133,3,FALSE())</f>
        <v>4</v>
      </c>
      <c r="Q412" s="0" t="n">
        <f aca="false">VLOOKUP(A412,'Team Data'!$A$1:$P$133,4,FALSE())</f>
        <v>805</v>
      </c>
      <c r="R412" s="0" t="n">
        <f aca="false">VLOOKUP(A412,'Team Data'!$A$1:$P$133,5,FALSE())</f>
        <v>725</v>
      </c>
      <c r="S412" s="0" t="n">
        <f aca="false">VLOOKUP(B412,'Team Data'!$A$1:$P$133,4,FALSE())</f>
        <v>91</v>
      </c>
      <c r="T412" s="0" t="n">
        <f aca="false">VLOOKUP(B412,'Team Data'!$A$1:$P$133,5,FALSE())</f>
        <v>288</v>
      </c>
      <c r="U412" s="0" t="n">
        <f aca="false">IF(K412=1,(MIN(35,(C412-D412)))*(O412/(O412+P412))*(S412/(S412+T412)),(MAX(-35,(C412-D412)))*(IF(P412=0,0.1,(P412/(O412+P412))))*(T412/(S412+T412)))</f>
        <v>-4.91008727420337</v>
      </c>
      <c r="V412" s="0" t="n">
        <f aca="false">IF(L412=1,(MIN(35,(D412-C412)))*(M412/(M412+N412))*(Q412/(Q412+R412)),(MAX(-35,(D412-C412)))*(IF(N412=0,0.1,(N412/(M412+N412))))*(R412/(R412+Q412)))</f>
        <v>0.736601307189542</v>
      </c>
    </row>
    <row r="413" customFormat="false" ht="15" hidden="false" customHeight="false" outlineLevel="0" collapsed="false">
      <c r="A413" s="0" t="s">
        <v>58</v>
      </c>
      <c r="B413" s="0" t="s">
        <v>13</v>
      </c>
      <c r="C413" s="0" t="n">
        <v>28</v>
      </c>
      <c r="D413" s="0" t="n">
        <v>45</v>
      </c>
      <c r="E413" s="0" t="n">
        <v>152</v>
      </c>
      <c r="F413" s="0" t="n">
        <v>101</v>
      </c>
      <c r="G413" s="0" t="n">
        <v>138</v>
      </c>
      <c r="H413" s="0" t="n">
        <v>254</v>
      </c>
      <c r="I413" s="0" t="n">
        <v>1</v>
      </c>
      <c r="J413" s="0" t="n">
        <v>0</v>
      </c>
      <c r="K413" s="0" t="n">
        <v>0</v>
      </c>
      <c r="L413" s="0" t="n">
        <v>1</v>
      </c>
      <c r="M413" s="0" t="n">
        <f aca="false">VLOOKUP(A413,'Team Data'!$A$1:$P$133,2,FALSE())</f>
        <v>4</v>
      </c>
      <c r="N413" s="0" t="n">
        <f aca="false">VLOOKUP(A413,'Team Data'!$A$1:$P$133,3,FALSE())</f>
        <v>8</v>
      </c>
      <c r="O413" s="0" t="n">
        <f aca="false">VLOOKUP(B413,'Team Data'!$A$1:$P$133,2,FALSE())</f>
        <v>3</v>
      </c>
      <c r="P413" s="0" t="n">
        <f aca="false">VLOOKUP(B413,'Team Data'!$A$1:$P$133,3,FALSE())</f>
        <v>9</v>
      </c>
      <c r="Q413" s="0" t="n">
        <f aca="false">VLOOKUP(A413,'Team Data'!$A$1:$P$133,4,FALSE())</f>
        <v>88</v>
      </c>
      <c r="R413" s="0" t="n">
        <f aca="false">VLOOKUP(A413,'Team Data'!$A$1:$P$133,5,FALSE())</f>
        <v>172</v>
      </c>
      <c r="S413" s="0" t="n">
        <f aca="false">VLOOKUP(B413,'Team Data'!$A$1:$P$133,4,FALSE())</f>
        <v>81</v>
      </c>
      <c r="T413" s="0" t="n">
        <f aca="false">VLOOKUP(B413,'Team Data'!$A$1:$P$133,5,FALSE())</f>
        <v>177</v>
      </c>
      <c r="U413" s="0" t="n">
        <f aca="false">IF(K413=1,(MIN(35,(C413-D413)))*(O413/(O413+P413))*(S413/(S413+T413)),(MAX(-35,(C413-D413)))*(IF(P413=0,0.1,(P413/(O413+P413))))*(T413/(S413+T413)))</f>
        <v>-8.74709302325582</v>
      </c>
      <c r="V413" s="0" t="n">
        <f aca="false">IF(L413=1,(MIN(35,(D413-C413)))*(M413/(M413+N413))*(Q413/(Q413+R413)),(MAX(-35,(D413-C413)))*(IF(N413=0,0.1,(N413/(M413+N413))))*(R413/(R413+Q413)))</f>
        <v>1.91794871794872</v>
      </c>
    </row>
    <row r="414" customFormat="false" ht="15" hidden="false" customHeight="false" outlineLevel="0" collapsed="false">
      <c r="A414" s="0" t="s">
        <v>98</v>
      </c>
      <c r="B414" s="0" t="s">
        <v>56</v>
      </c>
      <c r="C414" s="0" t="n">
        <v>20</v>
      </c>
      <c r="D414" s="0" t="n">
        <v>17</v>
      </c>
      <c r="E414" s="0" t="n">
        <v>116</v>
      </c>
      <c r="F414" s="0" t="n">
        <v>161</v>
      </c>
      <c r="G414" s="0" t="n">
        <v>245</v>
      </c>
      <c r="H414" s="0" t="n">
        <v>115</v>
      </c>
      <c r="I414" s="0" t="n">
        <v>2</v>
      </c>
      <c r="J414" s="0" t="n">
        <v>3</v>
      </c>
      <c r="K414" s="0" t="n">
        <v>1</v>
      </c>
      <c r="L414" s="0" t="n">
        <v>0</v>
      </c>
      <c r="M414" s="0" t="n">
        <f aca="false">VLOOKUP(A414,'Team Data'!$A$1:$P$133,2,FALSE())</f>
        <v>10</v>
      </c>
      <c r="N414" s="0" t="n">
        <f aca="false">VLOOKUP(A414,'Team Data'!$A$1:$P$133,3,FALSE())</f>
        <v>3</v>
      </c>
      <c r="O414" s="0" t="n">
        <f aca="false">VLOOKUP(B414,'Team Data'!$A$1:$P$133,2,FALSE())</f>
        <v>6</v>
      </c>
      <c r="P414" s="0" t="n">
        <f aca="false">VLOOKUP(B414,'Team Data'!$A$1:$P$133,3,FALSE())</f>
        <v>7</v>
      </c>
      <c r="Q414" s="0" t="n">
        <f aca="false">VLOOKUP(A414,'Team Data'!$A$1:$P$133,4,FALSE())</f>
        <v>78</v>
      </c>
      <c r="R414" s="0" t="n">
        <f aca="false">VLOOKUP(A414,'Team Data'!$A$1:$P$133,5,FALSE())</f>
        <v>194</v>
      </c>
      <c r="S414" s="0" t="n">
        <f aca="false">VLOOKUP(B414,'Team Data'!$A$1:$P$133,4,FALSE())</f>
        <v>95</v>
      </c>
      <c r="T414" s="0" t="n">
        <f aca="false">VLOOKUP(B414,'Team Data'!$A$1:$P$133,5,FALSE())</f>
        <v>179</v>
      </c>
      <c r="U414" s="0" t="n">
        <f aca="false">IF(K414=1,(MIN(35,(C414-D414)))*(O414/(O414+P414))*(S414/(S414+T414)),(MAX(-35,(C414-D414)))*(IF(P414=0,0.1,(P414/(O414+P414))))*(T414/(S414+T414)))</f>
        <v>0.480067377877597</v>
      </c>
      <c r="V414" s="0" t="n">
        <f aca="false">IF(L414=1,(MIN(35,(D414-C414)))*(M414/(M414+N414))*(Q414/(Q414+R414)),(MAX(-35,(D414-C414)))*(IF(N414=0,0.1,(N414/(M414+N414))))*(R414/(R414+Q414)))</f>
        <v>-0.493778280542986</v>
      </c>
    </row>
    <row r="415" customFormat="false" ht="15" hidden="false" customHeight="false" outlineLevel="0" collapsed="false">
      <c r="A415" s="0" t="s">
        <v>122</v>
      </c>
      <c r="B415" s="0" t="s">
        <v>25</v>
      </c>
      <c r="C415" s="0" t="n">
        <v>41</v>
      </c>
      <c r="D415" s="0" t="n">
        <v>35</v>
      </c>
      <c r="E415" s="0" t="n">
        <v>252</v>
      </c>
      <c r="F415" s="0" t="n">
        <v>96</v>
      </c>
      <c r="G415" s="0" t="n">
        <v>173</v>
      </c>
      <c r="H415" s="0" t="n">
        <v>349</v>
      </c>
      <c r="I415" s="0" t="n">
        <v>1</v>
      </c>
      <c r="J415" s="0" t="n">
        <v>3</v>
      </c>
      <c r="K415" s="0" t="n">
        <v>1</v>
      </c>
      <c r="L415" s="0" t="n">
        <v>0</v>
      </c>
      <c r="M415" s="0" t="n">
        <f aca="false">VLOOKUP(A415,'Team Data'!$A$1:$P$133,2,FALSE())</f>
        <v>5</v>
      </c>
      <c r="N415" s="0" t="n">
        <f aca="false">VLOOKUP(A415,'Team Data'!$A$1:$P$133,3,FALSE())</f>
        <v>7</v>
      </c>
      <c r="O415" s="0" t="n">
        <f aca="false">VLOOKUP(B415,'Team Data'!$A$1:$P$133,2,FALSE())</f>
        <v>3</v>
      </c>
      <c r="P415" s="0" t="n">
        <f aca="false">VLOOKUP(B415,'Team Data'!$A$1:$P$133,3,FALSE())</f>
        <v>9</v>
      </c>
      <c r="Q415" s="0" t="n">
        <f aca="false">VLOOKUP(A415,'Team Data'!$A$1:$P$133,4,FALSE())</f>
        <v>71</v>
      </c>
      <c r="R415" s="0" t="n">
        <f aca="false">VLOOKUP(A415,'Team Data'!$A$1:$P$133,5,FALSE())</f>
        <v>83</v>
      </c>
      <c r="S415" s="0" t="n">
        <f aca="false">VLOOKUP(B415,'Team Data'!$A$1:$P$133,4,FALSE())</f>
        <v>74</v>
      </c>
      <c r="T415" s="0" t="n">
        <f aca="false">VLOOKUP(B415,'Team Data'!$A$1:$P$133,5,FALSE())</f>
        <v>185</v>
      </c>
      <c r="U415" s="0" t="n">
        <f aca="false">IF(K415=1,(MIN(35,(C415-D415)))*(O415/(O415+P415))*(S415/(S415+T415)),(MAX(-35,(C415-D415)))*(IF(P415=0,0.1,(P415/(O415+P415))))*(T415/(S415+T415)))</f>
        <v>0.428571428571429</v>
      </c>
      <c r="V415" s="0" t="n">
        <f aca="false">IF(L415=1,(MIN(35,(D415-C415)))*(M415/(M415+N415))*(Q415/(Q415+R415)),(MAX(-35,(D415-C415)))*(IF(N415=0,0.1,(N415/(M415+N415))))*(R415/(R415+Q415)))</f>
        <v>-1.88636363636364</v>
      </c>
    </row>
    <row r="416" customFormat="false" ht="15" hidden="false" customHeight="false" outlineLevel="0" collapsed="false">
      <c r="A416" s="0" t="s">
        <v>34</v>
      </c>
      <c r="B416" s="0" t="s">
        <v>76</v>
      </c>
      <c r="C416" s="0" t="n">
        <v>21</v>
      </c>
      <c r="D416" s="0" t="n">
        <v>7</v>
      </c>
      <c r="E416" s="0" t="n">
        <v>152</v>
      </c>
      <c r="F416" s="0" t="n">
        <v>82</v>
      </c>
      <c r="G416" s="0" t="n">
        <v>182</v>
      </c>
      <c r="H416" s="0" t="n">
        <v>139</v>
      </c>
      <c r="I416" s="0" t="n">
        <v>0</v>
      </c>
      <c r="J416" s="0" t="n">
        <v>0</v>
      </c>
      <c r="K416" s="0" t="n">
        <v>1</v>
      </c>
      <c r="L416" s="0" t="n">
        <v>0</v>
      </c>
      <c r="M416" s="0" t="n">
        <f aca="false">VLOOKUP(A416,'Team Data'!$A$1:$P$133,2,FALSE())</f>
        <v>4</v>
      </c>
      <c r="N416" s="0" t="n">
        <f aca="false">VLOOKUP(A416,'Team Data'!$A$1:$P$133,3,FALSE())</f>
        <v>8</v>
      </c>
      <c r="O416" s="0" t="n">
        <f aca="false">VLOOKUP(B416,'Team Data'!$A$1:$P$133,2,FALSE())</f>
        <v>7</v>
      </c>
      <c r="P416" s="0" t="n">
        <f aca="false">VLOOKUP(B416,'Team Data'!$A$1:$P$133,3,FALSE())</f>
        <v>6</v>
      </c>
      <c r="Q416" s="0" t="n">
        <f aca="false">VLOOKUP(A416,'Team Data'!$A$1:$P$133,4,FALSE())</f>
        <v>76</v>
      </c>
      <c r="R416" s="0" t="n">
        <f aca="false">VLOOKUP(A416,'Team Data'!$A$1:$P$133,5,FALSE())</f>
        <v>185</v>
      </c>
      <c r="S416" s="0" t="n">
        <f aca="false">VLOOKUP(B416,'Team Data'!$A$1:$P$133,4,FALSE())</f>
        <v>69</v>
      </c>
      <c r="T416" s="0" t="n">
        <f aca="false">VLOOKUP(B416,'Team Data'!$A$1:$P$133,5,FALSE())</f>
        <v>309</v>
      </c>
      <c r="U416" s="0" t="n">
        <f aca="false">IF(K416=1,(MIN(35,(C416-D416)))*(O416/(O416+P416))*(S416/(S416+T416)),(MAX(-35,(C416-D416)))*(IF(P416=0,0.1,(P416/(O416+P416))))*(T416/(S416+T416)))</f>
        <v>1.37606837606838</v>
      </c>
      <c r="V416" s="0" t="n">
        <f aca="false">IF(L416=1,(MIN(35,(D416-C416)))*(M416/(M416+N416))*(Q416/(Q416+R416)),(MAX(-35,(D416-C416)))*(IF(N416=0,0.1,(N416/(M416+N416))))*(R416/(R416+Q416)))</f>
        <v>-6.61558109833972</v>
      </c>
    </row>
    <row r="417" customFormat="false" ht="15" hidden="false" customHeight="false" outlineLevel="0" collapsed="false">
      <c r="A417" s="0" t="s">
        <v>36</v>
      </c>
      <c r="B417" s="0" t="s">
        <v>78</v>
      </c>
      <c r="C417" s="0" t="n">
        <v>28</v>
      </c>
      <c r="D417" s="0" t="n">
        <v>45</v>
      </c>
      <c r="E417" s="0" t="n">
        <v>137</v>
      </c>
      <c r="F417" s="0" t="n">
        <v>300</v>
      </c>
      <c r="G417" s="0" t="n">
        <v>295</v>
      </c>
      <c r="H417" s="0" t="n">
        <v>181</v>
      </c>
      <c r="I417" s="0" t="n">
        <v>2</v>
      </c>
      <c r="J417" s="0" t="n">
        <v>2</v>
      </c>
      <c r="K417" s="0" t="n">
        <v>0</v>
      </c>
      <c r="L417" s="0" t="n">
        <v>1</v>
      </c>
      <c r="M417" s="0" t="n">
        <f aca="false">VLOOKUP(A417,'Team Data'!$A$1:$P$133,2,FALSE())</f>
        <v>5</v>
      </c>
      <c r="N417" s="0" t="n">
        <f aca="false">VLOOKUP(A417,'Team Data'!$A$1:$P$133,3,FALSE())</f>
        <v>7</v>
      </c>
      <c r="O417" s="0" t="n">
        <f aca="false">VLOOKUP(B417,'Team Data'!$A$1:$P$133,2,FALSE())</f>
        <v>7</v>
      </c>
      <c r="P417" s="0" t="n">
        <f aca="false">VLOOKUP(B417,'Team Data'!$A$1:$P$133,3,FALSE())</f>
        <v>7</v>
      </c>
      <c r="Q417" s="0" t="n">
        <f aca="false">VLOOKUP(A417,'Team Data'!$A$1:$P$133,4,FALSE())</f>
        <v>83</v>
      </c>
      <c r="R417" s="0" t="n">
        <f aca="false">VLOOKUP(A417,'Team Data'!$A$1:$P$133,5,FALSE())</f>
        <v>182</v>
      </c>
      <c r="S417" s="0" t="n">
        <f aca="false">VLOOKUP(B417,'Team Data'!$A$1:$P$133,4,FALSE())</f>
        <v>97</v>
      </c>
      <c r="T417" s="0" t="n">
        <f aca="false">VLOOKUP(B417,'Team Data'!$A$1:$P$133,5,FALSE())</f>
        <v>191</v>
      </c>
      <c r="U417" s="0" t="n">
        <f aca="false">IF(K417=1,(MIN(35,(C417-D417)))*(O417/(O417+P417))*(S417/(S417+T417)),(MAX(-35,(C417-D417)))*(IF(P417=0,0.1,(P417/(O417+P417))))*(T417/(S417+T417)))</f>
        <v>-5.63715277777778</v>
      </c>
      <c r="V417" s="0" t="n">
        <f aca="false">IF(L417=1,(MIN(35,(D417-C417)))*(M417/(M417+N417))*(Q417/(Q417+R417)),(MAX(-35,(D417-C417)))*(IF(N417=0,0.1,(N417/(M417+N417))))*(R417/(R417+Q417)))</f>
        <v>2.2185534591195</v>
      </c>
    </row>
    <row r="418" customFormat="false" ht="15" hidden="false" customHeight="false" outlineLevel="0" collapsed="false">
      <c r="A418" s="0" t="s">
        <v>123</v>
      </c>
      <c r="B418" s="0" t="s">
        <v>67</v>
      </c>
      <c r="C418" s="0" t="n">
        <v>45</v>
      </c>
      <c r="D418" s="0" t="n">
        <v>30</v>
      </c>
      <c r="E418" s="0" t="n">
        <v>167</v>
      </c>
      <c r="F418" s="0" t="n">
        <v>84</v>
      </c>
      <c r="G418" s="0" t="n">
        <v>423</v>
      </c>
      <c r="H418" s="0" t="n">
        <v>368</v>
      </c>
      <c r="I418" s="0" t="n">
        <v>3</v>
      </c>
      <c r="J418" s="0" t="n">
        <v>0</v>
      </c>
      <c r="K418" s="0" t="n">
        <v>1</v>
      </c>
      <c r="L418" s="0" t="n">
        <v>0</v>
      </c>
      <c r="M418" s="0" t="n">
        <f aca="false">VLOOKUP(A418,'Team Data'!$A$1:$P$133,2,FALSE())</f>
        <v>11</v>
      </c>
      <c r="N418" s="0" t="n">
        <f aca="false">VLOOKUP(A418,'Team Data'!$A$1:$P$133,3,FALSE())</f>
        <v>3</v>
      </c>
      <c r="O418" s="0" t="n">
        <f aca="false">VLOOKUP(B418,'Team Data'!$A$1:$P$133,2,FALSE())</f>
        <v>8</v>
      </c>
      <c r="P418" s="0" t="n">
        <f aca="false">VLOOKUP(B418,'Team Data'!$A$1:$P$133,3,FALSE())</f>
        <v>5</v>
      </c>
      <c r="Q418" s="0" t="n">
        <f aca="false">VLOOKUP(A418,'Team Data'!$A$1:$P$133,4,FALSE())</f>
        <v>97</v>
      </c>
      <c r="R418" s="0" t="n">
        <f aca="false">VLOOKUP(A418,'Team Data'!$A$1:$P$133,5,FALSE())</f>
        <v>192</v>
      </c>
      <c r="S418" s="0" t="n">
        <f aca="false">VLOOKUP(B418,'Team Data'!$A$1:$P$133,4,FALSE())</f>
        <v>78</v>
      </c>
      <c r="T418" s="0" t="n">
        <f aca="false">VLOOKUP(B418,'Team Data'!$A$1:$P$133,5,FALSE())</f>
        <v>191</v>
      </c>
      <c r="U418" s="0" t="n">
        <f aca="false">IF(K418=1,(MIN(35,(C418-D418)))*(O418/(O418+P418))*(S418/(S418+T418)),(MAX(-35,(C418-D418)))*(IF(P418=0,0.1,(P418/(O418+P418))))*(T418/(S418+T418)))</f>
        <v>2.67657992565056</v>
      </c>
      <c r="V418" s="0" t="n">
        <f aca="false">IF(L418=1,(MIN(35,(D418-C418)))*(M418/(M418+N418))*(Q418/(Q418+R418)),(MAX(-35,(D418-C418)))*(IF(N418=0,0.1,(N418/(M418+N418))))*(R418/(R418+Q418)))</f>
        <v>-2.13544241225902</v>
      </c>
    </row>
    <row r="419" customFormat="false" ht="15" hidden="false" customHeight="false" outlineLevel="0" collapsed="false">
      <c r="A419" s="0" t="s">
        <v>114</v>
      </c>
      <c r="B419" s="0" t="s">
        <v>93</v>
      </c>
      <c r="C419" s="0" t="n">
        <v>24</v>
      </c>
      <c r="D419" s="0" t="n">
        <v>28</v>
      </c>
      <c r="E419" s="0" t="n">
        <v>122</v>
      </c>
      <c r="F419" s="0" t="n">
        <v>105</v>
      </c>
      <c r="G419" s="0" t="n">
        <v>238</v>
      </c>
      <c r="H419" s="0" t="n">
        <v>104</v>
      </c>
      <c r="I419" s="0" t="n">
        <v>2</v>
      </c>
      <c r="J419" s="0" t="n">
        <v>1</v>
      </c>
      <c r="K419" s="0" t="n">
        <v>0</v>
      </c>
      <c r="L419" s="0" t="n">
        <v>1</v>
      </c>
      <c r="M419" s="0" t="n">
        <f aca="false">VLOOKUP(A419,'Team Data'!$A$1:$P$133,2,FALSE())</f>
        <v>7</v>
      </c>
      <c r="N419" s="0" t="n">
        <f aca="false">VLOOKUP(A419,'Team Data'!$A$1:$P$133,3,FALSE())</f>
        <v>6</v>
      </c>
      <c r="O419" s="0" t="n">
        <f aca="false">VLOOKUP(B419,'Team Data'!$A$1:$P$133,2,FALSE())</f>
        <v>5</v>
      </c>
      <c r="P419" s="0" t="n">
        <f aca="false">VLOOKUP(B419,'Team Data'!$A$1:$P$133,3,FALSE())</f>
        <v>8</v>
      </c>
      <c r="Q419" s="0" t="n">
        <f aca="false">VLOOKUP(A419,'Team Data'!$A$1:$P$133,4,FALSE())</f>
        <v>89</v>
      </c>
      <c r="R419" s="0" t="n">
        <f aca="false">VLOOKUP(A419,'Team Data'!$A$1:$P$133,5,FALSE())</f>
        <v>188</v>
      </c>
      <c r="S419" s="0" t="n">
        <f aca="false">VLOOKUP(B419,'Team Data'!$A$1:$P$133,4,FALSE())</f>
        <v>90</v>
      </c>
      <c r="T419" s="0" t="n">
        <f aca="false">VLOOKUP(B419,'Team Data'!$A$1:$P$133,5,FALSE())</f>
        <v>186</v>
      </c>
      <c r="U419" s="0" t="n">
        <f aca="false">IF(K419=1,(MIN(35,(C419-D419)))*(O419/(O419+P419))*(S419/(S419+T419)),(MAX(-35,(C419-D419)))*(IF(P419=0,0.1,(P419/(O419+P419))))*(T419/(S419+T419)))</f>
        <v>-1.65886287625418</v>
      </c>
      <c r="V419" s="0" t="n">
        <f aca="false">IF(L419=1,(MIN(35,(D419-C419)))*(M419/(M419+N419))*(Q419/(Q419+R419)),(MAX(-35,(D419-C419)))*(IF(N419=0,0.1,(N419/(M419+N419))))*(R419/(R419+Q419)))</f>
        <v>0.692029991668981</v>
      </c>
    </row>
    <row r="420" customFormat="false" ht="15" hidden="false" customHeight="false" outlineLevel="0" collapsed="false">
      <c r="A420" s="0" t="s">
        <v>111</v>
      </c>
      <c r="B420" s="0" t="s">
        <v>133</v>
      </c>
      <c r="C420" s="0" t="n">
        <v>34</v>
      </c>
      <c r="D420" s="0" t="n">
        <v>27</v>
      </c>
      <c r="E420" s="0" t="n">
        <v>135</v>
      </c>
      <c r="F420" s="0" t="n">
        <v>64</v>
      </c>
      <c r="G420" s="0" t="n">
        <v>280</v>
      </c>
      <c r="H420" s="0" t="n">
        <v>406</v>
      </c>
      <c r="I420" s="0" t="n">
        <v>1</v>
      </c>
      <c r="J420" s="0" t="n">
        <v>2</v>
      </c>
      <c r="K420" s="0" t="n">
        <v>1</v>
      </c>
      <c r="L420" s="0" t="n">
        <v>0</v>
      </c>
      <c r="M420" s="0" t="n">
        <f aca="false">VLOOKUP(A420,'Team Data'!$A$1:$P$133,2,FALSE())</f>
        <v>12</v>
      </c>
      <c r="N420" s="0" t="n">
        <f aca="false">VLOOKUP(A420,'Team Data'!$A$1:$P$133,3,FALSE())</f>
        <v>2</v>
      </c>
      <c r="O420" s="0" t="n">
        <f aca="false">VLOOKUP(B420,'Team Data'!$A$1:$P$133,2,FALSE())</f>
        <v>9</v>
      </c>
      <c r="P420" s="0" t="n">
        <f aca="false">VLOOKUP(B420,'Team Data'!$A$1:$P$133,3,FALSE())</f>
        <v>5</v>
      </c>
      <c r="Q420" s="0" t="n">
        <f aca="false">VLOOKUP(A420,'Team Data'!$A$1:$P$133,4,FALSE())</f>
        <v>100</v>
      </c>
      <c r="R420" s="0" t="n">
        <f aca="false">VLOOKUP(A420,'Team Data'!$A$1:$P$133,5,FALSE())</f>
        <v>186</v>
      </c>
      <c r="S420" s="0" t="n">
        <f aca="false">VLOOKUP(B420,'Team Data'!$A$1:$P$133,4,FALSE())</f>
        <v>92</v>
      </c>
      <c r="T420" s="0" t="n">
        <f aca="false">VLOOKUP(B420,'Team Data'!$A$1:$P$133,5,FALSE())</f>
        <v>195</v>
      </c>
      <c r="U420" s="0" t="n">
        <f aca="false">IF(K420=1,(MIN(35,(C420-D420)))*(O420/(O420+P420))*(S420/(S420+T420)),(MAX(-35,(C420-D420)))*(IF(P420=0,0.1,(P420/(O420+P420))))*(T420/(S420+T420)))</f>
        <v>1.44250871080139</v>
      </c>
      <c r="V420" s="0" t="n">
        <f aca="false">IF(L420=1,(MIN(35,(D420-C420)))*(M420/(M420+N420))*(Q420/(Q420+R420)),(MAX(-35,(D420-C420)))*(IF(N420=0,0.1,(N420/(M420+N420))))*(R420/(R420+Q420)))</f>
        <v>-0.65034965034965</v>
      </c>
    </row>
    <row r="421" customFormat="false" ht="15" hidden="false" customHeight="false" outlineLevel="0" collapsed="false">
      <c r="A421" s="0" t="s">
        <v>107</v>
      </c>
      <c r="B421" s="0" t="s">
        <v>8</v>
      </c>
      <c r="C421" s="0" t="n">
        <v>20</v>
      </c>
      <c r="D421" s="0" t="n">
        <v>24</v>
      </c>
      <c r="E421" s="0" t="n">
        <v>70</v>
      </c>
      <c r="F421" s="0" t="n">
        <v>288</v>
      </c>
      <c r="G421" s="0" t="n">
        <v>253</v>
      </c>
      <c r="H421" s="0" t="n">
        <v>111</v>
      </c>
      <c r="I421" s="0" t="n">
        <v>1</v>
      </c>
      <c r="J421" s="0" t="n">
        <v>4</v>
      </c>
      <c r="K421" s="0" t="n">
        <v>0</v>
      </c>
      <c r="L421" s="0" t="n">
        <v>1</v>
      </c>
      <c r="M421" s="0" t="n">
        <f aca="false">VLOOKUP(A421,'Team Data'!$A$1:$P$133,2,FALSE())</f>
        <v>5</v>
      </c>
      <c r="N421" s="0" t="n">
        <f aca="false">VLOOKUP(A421,'Team Data'!$A$1:$P$133,3,FALSE())</f>
        <v>7</v>
      </c>
      <c r="O421" s="0" t="n">
        <f aca="false">VLOOKUP(B421,'Team Data'!$A$1:$P$133,2,FALSE())</f>
        <v>11</v>
      </c>
      <c r="P421" s="0" t="n">
        <f aca="false">VLOOKUP(B421,'Team Data'!$A$1:$P$133,3,FALSE())</f>
        <v>2</v>
      </c>
      <c r="Q421" s="0" t="n">
        <f aca="false">VLOOKUP(A421,'Team Data'!$A$1:$P$133,4,FALSE())</f>
        <v>84</v>
      </c>
      <c r="R421" s="0" t="n">
        <f aca="false">VLOOKUP(A421,'Team Data'!$A$1:$P$133,5,FALSE())</f>
        <v>176</v>
      </c>
      <c r="S421" s="0" t="n">
        <f aca="false">VLOOKUP(B421,'Team Data'!$A$1:$P$133,4,FALSE())</f>
        <v>96</v>
      </c>
      <c r="T421" s="0" t="n">
        <f aca="false">VLOOKUP(B421,'Team Data'!$A$1:$P$133,5,FALSE())</f>
        <v>178</v>
      </c>
      <c r="U421" s="0" t="n">
        <f aca="false">IF(K421=1,(MIN(35,(C421-D421)))*(O421/(O421+P421))*(S421/(S421+T421)),(MAX(-35,(C421-D421)))*(IF(P421=0,0.1,(P421/(O421+P421))))*(T421/(S421+T421)))</f>
        <v>-0.399775407074677</v>
      </c>
      <c r="V421" s="0" t="n">
        <f aca="false">IF(L421=1,(MIN(35,(D421-C421)))*(M421/(M421+N421))*(Q421/(Q421+R421)),(MAX(-35,(D421-C421)))*(IF(N421=0,0.1,(N421/(M421+N421))))*(R421/(R421+Q421)))</f>
        <v>0.538461538461539</v>
      </c>
    </row>
    <row r="422" customFormat="false" ht="15" hidden="false" customHeight="false" outlineLevel="0" collapsed="false">
      <c r="A422" s="0" t="s">
        <v>70</v>
      </c>
      <c r="B422" s="0" t="s">
        <v>35</v>
      </c>
      <c r="C422" s="0" t="n">
        <v>17</v>
      </c>
      <c r="D422" s="0" t="n">
        <v>24</v>
      </c>
      <c r="E422" s="0" t="n">
        <v>150</v>
      </c>
      <c r="F422" s="0" t="n">
        <v>231</v>
      </c>
      <c r="G422" s="0" t="n">
        <v>220</v>
      </c>
      <c r="H422" s="0" t="n">
        <v>66</v>
      </c>
      <c r="I422" s="0" t="n">
        <v>2</v>
      </c>
      <c r="J422" s="0" t="n">
        <v>2</v>
      </c>
      <c r="K422" s="0" t="n">
        <v>0</v>
      </c>
      <c r="L422" s="0" t="n">
        <v>1</v>
      </c>
      <c r="M422" s="0" t="n">
        <f aca="false">VLOOKUP(A422,'Team Data'!$A$1:$P$133,2,FALSE())</f>
        <v>6</v>
      </c>
      <c r="N422" s="0" t="n">
        <f aca="false">VLOOKUP(A422,'Team Data'!$A$1:$P$133,3,FALSE())</f>
        <v>7</v>
      </c>
      <c r="O422" s="0" t="n">
        <f aca="false">VLOOKUP(B422,'Team Data'!$A$1:$P$133,2,FALSE())</f>
        <v>6</v>
      </c>
      <c r="P422" s="0" t="n">
        <f aca="false">VLOOKUP(B422,'Team Data'!$A$1:$P$133,3,FALSE())</f>
        <v>7</v>
      </c>
      <c r="Q422" s="0" t="n">
        <f aca="false">VLOOKUP(A422,'Team Data'!$A$1:$P$133,4,FALSE())</f>
        <v>100</v>
      </c>
      <c r="R422" s="0" t="n">
        <f aca="false">VLOOKUP(A422,'Team Data'!$A$1:$P$133,5,FALSE())</f>
        <v>176</v>
      </c>
      <c r="S422" s="0" t="n">
        <f aca="false">VLOOKUP(B422,'Team Data'!$A$1:$P$133,4,FALSE())</f>
        <v>106</v>
      </c>
      <c r="T422" s="0" t="n">
        <f aca="false">VLOOKUP(B422,'Team Data'!$A$1:$P$133,5,FALSE())</f>
        <v>171</v>
      </c>
      <c r="U422" s="0" t="n">
        <f aca="false">IF(K422=1,(MIN(35,(C422-D422)))*(O422/(O422+P422))*(S422/(S422+T422)),(MAX(-35,(C422-D422)))*(IF(P422=0,0.1,(P422/(O422+P422))))*(T422/(S422+T422)))</f>
        <v>-2.3268536517634</v>
      </c>
      <c r="V422" s="0" t="n">
        <f aca="false">IF(L422=1,(MIN(35,(D422-C422)))*(M422/(M422+N422))*(Q422/(Q422+R422)),(MAX(-35,(D422-C422)))*(IF(N422=0,0.1,(N422/(M422+N422))))*(R422/(R422+Q422)))</f>
        <v>1.17056856187291</v>
      </c>
    </row>
    <row r="423" customFormat="false" ht="15" hidden="false" customHeight="false" outlineLevel="0" collapsed="false">
      <c r="A423" s="0" t="s">
        <v>15</v>
      </c>
      <c r="B423" s="0" t="s">
        <v>39</v>
      </c>
      <c r="C423" s="0" t="n">
        <v>10</v>
      </c>
      <c r="D423" s="0" t="n">
        <v>42</v>
      </c>
      <c r="E423" s="0" t="n">
        <v>93</v>
      </c>
      <c r="F423" s="0" t="n">
        <v>292</v>
      </c>
      <c r="G423" s="0" t="n">
        <v>165</v>
      </c>
      <c r="H423" s="0" t="n">
        <v>208</v>
      </c>
      <c r="I423" s="0" t="n">
        <v>1</v>
      </c>
      <c r="J423" s="0" t="n">
        <v>1</v>
      </c>
      <c r="K423" s="0" t="n">
        <v>0</v>
      </c>
      <c r="L423" s="0" t="n">
        <v>1</v>
      </c>
      <c r="M423" s="0" t="n">
        <f aca="false">VLOOKUP(A423,'Team Data'!$A$1:$P$133,2,FALSE())</f>
        <v>5</v>
      </c>
      <c r="N423" s="0" t="n">
        <f aca="false">VLOOKUP(A423,'Team Data'!$A$1:$P$133,3,FALSE())</f>
        <v>7</v>
      </c>
      <c r="O423" s="0" t="n">
        <f aca="false">VLOOKUP(B423,'Team Data'!$A$1:$P$133,2,FALSE())</f>
        <v>15</v>
      </c>
      <c r="P423" s="0" t="n">
        <f aca="false">VLOOKUP(B423,'Team Data'!$A$1:$P$133,3,FALSE())</f>
        <v>0</v>
      </c>
      <c r="Q423" s="0" t="n">
        <f aca="false">VLOOKUP(A423,'Team Data'!$A$1:$P$133,4,FALSE())</f>
        <v>106</v>
      </c>
      <c r="R423" s="0" t="n">
        <f aca="false">VLOOKUP(A423,'Team Data'!$A$1:$P$133,5,FALSE())</f>
        <v>159</v>
      </c>
      <c r="S423" s="0" t="n">
        <f aca="false">VLOOKUP(B423,'Team Data'!$A$1:$P$133,4,FALSE())</f>
        <v>119</v>
      </c>
      <c r="T423" s="0" t="n">
        <f aca="false">VLOOKUP(B423,'Team Data'!$A$1:$P$133,5,FALSE())</f>
        <v>182</v>
      </c>
      <c r="U423" s="0" t="n">
        <f aca="false">IF(K423=1,(MIN(35,(C423-D423)))*(O423/(O423+P423))*(S423/(S423+T423)),(MAX(-35,(C423-D423)))*(IF(P423=0,0.1,(P423/(O423+P423))))*(T423/(S423+T423)))</f>
        <v>-1.93488372093023</v>
      </c>
      <c r="V423" s="0" t="n">
        <f aca="false">IF(L423=1,(MIN(35,(D423-C423)))*(M423/(M423+N423))*(Q423/(Q423+R423)),(MAX(-35,(D423-C423)))*(IF(N423=0,0.1,(N423/(M423+N423))))*(R423/(R423+Q423)))</f>
        <v>5.33333333333333</v>
      </c>
    </row>
    <row r="424" customFormat="false" ht="15" hidden="false" customHeight="false" outlineLevel="0" collapsed="false">
      <c r="A424" s="0" t="s">
        <v>99</v>
      </c>
      <c r="B424" s="0" t="s">
        <v>53</v>
      </c>
      <c r="C424" s="0" t="n">
        <v>24</v>
      </c>
      <c r="D424" s="0" t="n">
        <v>14</v>
      </c>
      <c r="E424" s="0" t="n">
        <v>179</v>
      </c>
      <c r="F424" s="0" t="n">
        <v>121</v>
      </c>
      <c r="G424" s="0" t="n">
        <v>177</v>
      </c>
      <c r="H424" s="0" t="n">
        <v>178</v>
      </c>
      <c r="I424" s="0" t="n">
        <v>2</v>
      </c>
      <c r="J424" s="0" t="n">
        <v>2</v>
      </c>
      <c r="K424" s="0" t="n">
        <v>1</v>
      </c>
      <c r="L424" s="0" t="n">
        <v>0</v>
      </c>
      <c r="M424" s="0" t="n">
        <f aca="false">VLOOKUP(A424,'Team Data'!$A$1:$P$133,2,FALSE())</f>
        <v>8</v>
      </c>
      <c r="N424" s="0" t="n">
        <f aca="false">VLOOKUP(A424,'Team Data'!$A$1:$P$133,3,FALSE())</f>
        <v>5</v>
      </c>
      <c r="O424" s="0" t="n">
        <f aca="false">VLOOKUP(B424,'Team Data'!$A$1:$P$133,2,FALSE())</f>
        <v>7</v>
      </c>
      <c r="P424" s="0" t="n">
        <f aca="false">VLOOKUP(B424,'Team Data'!$A$1:$P$133,3,FALSE())</f>
        <v>6</v>
      </c>
      <c r="Q424" s="0" t="n">
        <f aca="false">VLOOKUP(A424,'Team Data'!$A$1:$P$133,4,FALSE())</f>
        <v>97</v>
      </c>
      <c r="R424" s="0" t="n">
        <f aca="false">VLOOKUP(A424,'Team Data'!$A$1:$P$133,5,FALSE())</f>
        <v>178</v>
      </c>
      <c r="S424" s="0" t="n">
        <f aca="false">VLOOKUP(B424,'Team Data'!$A$1:$P$133,4,FALSE())</f>
        <v>101</v>
      </c>
      <c r="T424" s="0" t="n">
        <f aca="false">VLOOKUP(B424,'Team Data'!$A$1:$P$133,5,FALSE())</f>
        <v>175</v>
      </c>
      <c r="U424" s="0" t="n">
        <f aca="false">IF(K424=1,(MIN(35,(C424-D424)))*(O424/(O424+P424))*(S424/(S424+T424)),(MAX(-35,(C424-D424)))*(IF(P424=0,0.1,(P424/(O424+P424))))*(T424/(S424+T424)))</f>
        <v>1.97045707915273</v>
      </c>
      <c r="V424" s="0" t="n">
        <f aca="false">IF(L424=1,(MIN(35,(D424-C424)))*(M424/(M424+N424))*(Q424/(Q424+R424)),(MAX(-35,(D424-C424)))*(IF(N424=0,0.1,(N424/(M424+N424))))*(R424/(R424+Q424)))</f>
        <v>-2.48951048951049</v>
      </c>
    </row>
    <row r="425" customFormat="false" ht="15" hidden="false" customHeight="false" outlineLevel="0" collapsed="false">
      <c r="A425" s="0" t="s">
        <v>105</v>
      </c>
      <c r="B425" s="0" t="s">
        <v>54</v>
      </c>
      <c r="C425" s="0" t="n">
        <v>40</v>
      </c>
      <c r="D425" s="0" t="n">
        <v>13</v>
      </c>
      <c r="E425" s="0" t="n">
        <v>263</v>
      </c>
      <c r="F425" s="0" t="n">
        <v>55</v>
      </c>
      <c r="G425" s="0" t="n">
        <v>239</v>
      </c>
      <c r="H425" s="0" t="n">
        <v>300</v>
      </c>
      <c r="I425" s="0" t="n">
        <v>0</v>
      </c>
      <c r="J425" s="0" t="n">
        <v>2</v>
      </c>
      <c r="K425" s="0" t="n">
        <v>1</v>
      </c>
      <c r="L425" s="0" t="n">
        <v>0</v>
      </c>
      <c r="M425" s="0" t="n">
        <f aca="false">VLOOKUP(A425,'Team Data'!$A$1:$P$133,2,FALSE())</f>
        <v>11</v>
      </c>
      <c r="N425" s="0" t="n">
        <f aca="false">VLOOKUP(A425,'Team Data'!$A$1:$P$133,3,FALSE())</f>
        <v>2</v>
      </c>
      <c r="O425" s="0" t="n">
        <f aca="false">VLOOKUP(B425,'Team Data'!$A$1:$P$133,2,FALSE())</f>
        <v>10</v>
      </c>
      <c r="P425" s="0" t="n">
        <f aca="false">VLOOKUP(B425,'Team Data'!$A$1:$P$133,3,FALSE())</f>
        <v>4</v>
      </c>
      <c r="Q425" s="0" t="n">
        <f aca="false">VLOOKUP(A425,'Team Data'!$A$1:$P$133,4,FALSE())</f>
        <v>103</v>
      </c>
      <c r="R425" s="0" t="n">
        <f aca="false">VLOOKUP(A425,'Team Data'!$A$1:$P$133,5,FALSE())</f>
        <v>174</v>
      </c>
      <c r="S425" s="0" t="n">
        <f aca="false">VLOOKUP(B425,'Team Data'!$A$1:$P$133,4,FALSE())</f>
        <v>112</v>
      </c>
      <c r="T425" s="0" t="n">
        <f aca="false">VLOOKUP(B425,'Team Data'!$A$1:$P$133,5,FALSE())</f>
        <v>177</v>
      </c>
      <c r="U425" s="0" t="n">
        <f aca="false">IF(K425=1,(MIN(35,(C425-D425)))*(O425/(O425+P425))*(S425/(S425+T425)),(MAX(-35,(C425-D425)))*(IF(P425=0,0.1,(P425/(O425+P425))))*(T425/(S425+T425)))</f>
        <v>7.47404844290657</v>
      </c>
      <c r="V425" s="0" t="n">
        <f aca="false">IF(L425=1,(MIN(35,(D425-C425)))*(M425/(M425+N425))*(Q425/(Q425+R425)),(MAX(-35,(D425-C425)))*(IF(N425=0,0.1,(N425/(M425+N425))))*(R425/(R425+Q425)))</f>
        <v>-2.60927520133296</v>
      </c>
    </row>
    <row r="426" customFormat="false" ht="15" hidden="false" customHeight="false" outlineLevel="0" collapsed="false">
      <c r="A426" s="0" t="s">
        <v>12</v>
      </c>
      <c r="B426" s="0" t="s">
        <v>69</v>
      </c>
      <c r="C426" s="0" t="n">
        <v>17</v>
      </c>
      <c r="D426" s="0" t="n">
        <v>40</v>
      </c>
      <c r="E426" s="0" t="n">
        <v>241</v>
      </c>
      <c r="F426" s="0" t="n">
        <v>173</v>
      </c>
      <c r="G426" s="0" t="n">
        <v>242</v>
      </c>
      <c r="H426" s="0" t="n">
        <v>395</v>
      </c>
      <c r="I426" s="0" t="n">
        <v>2</v>
      </c>
      <c r="J426" s="0" t="n">
        <v>0</v>
      </c>
      <c r="K426" s="0" t="n">
        <v>0</v>
      </c>
      <c r="L426" s="0" t="n">
        <v>1</v>
      </c>
      <c r="M426" s="0" t="n">
        <f aca="false">VLOOKUP(A426,'Team Data'!$A$1:$P$133,2,FALSE())</f>
        <v>7</v>
      </c>
      <c r="N426" s="0" t="n">
        <f aca="false">VLOOKUP(A426,'Team Data'!$A$1:$P$133,3,FALSE())</f>
        <v>6</v>
      </c>
      <c r="O426" s="0" t="n">
        <f aca="false">VLOOKUP(B426,'Team Data'!$A$1:$P$133,2,FALSE())</f>
        <v>9</v>
      </c>
      <c r="P426" s="0" t="n">
        <f aca="false">VLOOKUP(B426,'Team Data'!$A$1:$P$133,3,FALSE())</f>
        <v>4</v>
      </c>
      <c r="Q426" s="0" t="n">
        <f aca="false">VLOOKUP(A426,'Team Data'!$A$1:$P$133,4,FALSE())</f>
        <v>101</v>
      </c>
      <c r="R426" s="0" t="n">
        <f aca="false">VLOOKUP(A426,'Team Data'!$A$1:$P$133,5,FALSE())</f>
        <v>174</v>
      </c>
      <c r="S426" s="0" t="n">
        <f aca="false">VLOOKUP(B426,'Team Data'!$A$1:$P$133,4,FALSE())</f>
        <v>102</v>
      </c>
      <c r="T426" s="0" t="n">
        <f aca="false">VLOOKUP(B426,'Team Data'!$A$1:$P$133,5,FALSE())</f>
        <v>174</v>
      </c>
      <c r="U426" s="0" t="n">
        <f aca="false">IF(K426=1,(MIN(35,(C426-D426)))*(O426/(O426+P426))*(S426/(S426+T426)),(MAX(-35,(C426-D426)))*(IF(P426=0,0.1,(P426/(O426+P426))))*(T426/(S426+T426)))</f>
        <v>-4.46153846153846</v>
      </c>
      <c r="V426" s="0" t="n">
        <f aca="false">IF(L426=1,(MIN(35,(D426-C426)))*(M426/(M426+N426))*(Q426/(Q426+R426)),(MAX(-35,(D426-C426)))*(IF(N426=0,0.1,(N426/(M426+N426))))*(R426/(R426+Q426)))</f>
        <v>4.54853146853147</v>
      </c>
    </row>
    <row r="427" customFormat="false" ht="15" hidden="false" customHeight="false" outlineLevel="0" collapsed="false">
      <c r="A427" s="0" t="s">
        <v>87</v>
      </c>
      <c r="B427" s="0" t="s">
        <v>126</v>
      </c>
      <c r="C427" s="0" t="n">
        <v>52</v>
      </c>
      <c r="D427" s="0" t="n">
        <v>28</v>
      </c>
      <c r="E427" s="0" t="n">
        <v>143</v>
      </c>
      <c r="F427" s="0" t="n">
        <v>122</v>
      </c>
      <c r="G427" s="0" t="n">
        <v>448</v>
      </c>
      <c r="H427" s="0" t="n">
        <v>281</v>
      </c>
      <c r="I427" s="0" t="n">
        <v>2</v>
      </c>
      <c r="J427" s="0" t="n">
        <v>1</v>
      </c>
      <c r="K427" s="0" t="n">
        <v>1</v>
      </c>
      <c r="L427" s="0" t="n">
        <v>0</v>
      </c>
      <c r="M427" s="0" t="n">
        <f aca="false">VLOOKUP(A427,'Team Data'!$A$1:$P$133,2,FALSE())</f>
        <v>8</v>
      </c>
      <c r="N427" s="0" t="n">
        <f aca="false">VLOOKUP(A427,'Team Data'!$A$1:$P$133,3,FALSE())</f>
        <v>5</v>
      </c>
      <c r="O427" s="0" t="n">
        <f aca="false">VLOOKUP(B427,'Team Data'!$A$1:$P$133,2,FALSE())</f>
        <v>5</v>
      </c>
      <c r="P427" s="0" t="n">
        <f aca="false">VLOOKUP(B427,'Team Data'!$A$1:$P$133,3,FALSE())</f>
        <v>7</v>
      </c>
      <c r="Q427" s="0" t="n">
        <f aca="false">VLOOKUP(A427,'Team Data'!$A$1:$P$133,4,FALSE())</f>
        <v>97</v>
      </c>
      <c r="R427" s="0" t="n">
        <f aca="false">VLOOKUP(A427,'Team Data'!$A$1:$P$133,5,FALSE())</f>
        <v>176</v>
      </c>
      <c r="S427" s="0" t="n">
        <f aca="false">VLOOKUP(B427,'Team Data'!$A$1:$P$133,4,FALSE())</f>
        <v>94</v>
      </c>
      <c r="T427" s="0" t="n">
        <f aca="false">VLOOKUP(B427,'Team Data'!$A$1:$P$133,5,FALSE())</f>
        <v>170</v>
      </c>
      <c r="U427" s="0" t="n">
        <f aca="false">IF(K427=1,(MIN(35,(C427-D427)))*(O427/(O427+P427))*(S427/(S427+T427)),(MAX(-35,(C427-D427)))*(IF(P427=0,0.1,(P427/(O427+P427))))*(T427/(S427+T427)))</f>
        <v>3.56060606060606</v>
      </c>
      <c r="V427" s="0" t="n">
        <f aca="false">IF(L427=1,(MIN(35,(D427-C427)))*(M427/(M427+N427))*(Q427/(Q427+R427)),(MAX(-35,(D427-C427)))*(IF(N427=0,0.1,(N427/(M427+N427))))*(R427/(R427+Q427)))</f>
        <v>-5.95097210481826</v>
      </c>
    </row>
    <row r="428" customFormat="false" ht="15" hidden="false" customHeight="false" outlineLevel="0" collapsed="false">
      <c r="A428" s="0" t="s">
        <v>88</v>
      </c>
      <c r="B428" s="0" t="s">
        <v>10</v>
      </c>
      <c r="C428" s="0" t="n">
        <v>49</v>
      </c>
      <c r="D428" s="0" t="n">
        <v>22</v>
      </c>
      <c r="E428" s="0" t="n">
        <v>306</v>
      </c>
      <c r="F428" s="0" t="n">
        <v>115</v>
      </c>
      <c r="G428" s="0" t="n">
        <v>274</v>
      </c>
      <c r="H428" s="0" t="n">
        <v>241</v>
      </c>
      <c r="I428" s="0" t="n">
        <v>0</v>
      </c>
      <c r="J428" s="0" t="n">
        <v>3</v>
      </c>
      <c r="K428" s="0" t="n">
        <v>1</v>
      </c>
      <c r="L428" s="0" t="n">
        <v>0</v>
      </c>
      <c r="M428" s="0" t="n">
        <f aca="false">VLOOKUP(A428,'Team Data'!$A$1:$P$133,2,FALSE())</f>
        <v>10</v>
      </c>
      <c r="N428" s="0" t="n">
        <f aca="false">VLOOKUP(A428,'Team Data'!$A$1:$P$133,3,FALSE())</f>
        <v>3</v>
      </c>
      <c r="O428" s="0" t="n">
        <f aca="false">VLOOKUP(B428,'Team Data'!$A$1:$P$133,2,FALSE())</f>
        <v>5</v>
      </c>
      <c r="P428" s="0" t="n">
        <f aca="false">VLOOKUP(B428,'Team Data'!$A$1:$P$133,3,FALSE())</f>
        <v>7</v>
      </c>
      <c r="Q428" s="0" t="n">
        <f aca="false">VLOOKUP(A428,'Team Data'!$A$1:$P$133,4,FALSE())</f>
        <v>100</v>
      </c>
      <c r="R428" s="0" t="n">
        <f aca="false">VLOOKUP(A428,'Team Data'!$A$1:$P$133,5,FALSE())</f>
        <v>176</v>
      </c>
      <c r="S428" s="0" t="n">
        <f aca="false">VLOOKUP(B428,'Team Data'!$A$1:$P$133,4,FALSE())</f>
        <v>90</v>
      </c>
      <c r="T428" s="0" t="n">
        <f aca="false">VLOOKUP(B428,'Team Data'!$A$1:$P$133,5,FALSE())</f>
        <v>172</v>
      </c>
      <c r="U428" s="0" t="n">
        <f aca="false">IF(K428=1,(MIN(35,(C428-D428)))*(O428/(O428+P428))*(S428/(S428+T428)),(MAX(-35,(C428-D428)))*(IF(P428=0,0.1,(P428/(O428+P428))))*(T428/(S428+T428)))</f>
        <v>3.86450381679389</v>
      </c>
      <c r="V428" s="0" t="n">
        <f aca="false">IF(L428=1,(MIN(35,(D428-C428)))*(M428/(M428+N428))*(Q428/(Q428+R428)),(MAX(-35,(D428-C428)))*(IF(N428=0,0.1,(N428/(M428+N428))))*(R428/(R428+Q428)))</f>
        <v>-3.97324414715719</v>
      </c>
    </row>
    <row r="429" customFormat="false" ht="15" hidden="false" customHeight="false" outlineLevel="0" collapsed="false">
      <c r="A429" s="0" t="s">
        <v>130</v>
      </c>
      <c r="B429" s="0" t="s">
        <v>11</v>
      </c>
      <c r="C429" s="0" t="n">
        <v>38</v>
      </c>
      <c r="D429" s="0" t="n">
        <v>45</v>
      </c>
      <c r="E429" s="0" t="n">
        <v>134</v>
      </c>
      <c r="F429" s="0" t="n">
        <v>156</v>
      </c>
      <c r="G429" s="0" t="n">
        <v>324</v>
      </c>
      <c r="H429" s="0" t="n">
        <v>241</v>
      </c>
      <c r="I429" s="0" t="n">
        <v>1</v>
      </c>
      <c r="J429" s="0" t="n">
        <v>1</v>
      </c>
      <c r="K429" s="0" t="n">
        <v>0</v>
      </c>
      <c r="L429" s="0" t="n">
        <v>1</v>
      </c>
      <c r="M429" s="0" t="n">
        <f aca="false">VLOOKUP(A429,'Team Data'!$A$1:$P$133,2,FALSE())</f>
        <v>11</v>
      </c>
      <c r="N429" s="0" t="n">
        <f aca="false">VLOOKUP(A429,'Team Data'!$A$1:$P$133,3,FALSE())</f>
        <v>2</v>
      </c>
      <c r="O429" s="0" t="n">
        <f aca="false">VLOOKUP(B429,'Team Data'!$A$1:$P$133,2,FALSE())</f>
        <v>3</v>
      </c>
      <c r="P429" s="0" t="n">
        <f aca="false">VLOOKUP(B429,'Team Data'!$A$1:$P$133,3,FALSE())</f>
        <v>9</v>
      </c>
      <c r="Q429" s="0" t="n">
        <f aca="false">VLOOKUP(A429,'Team Data'!$A$1:$P$133,4,FALSE())</f>
        <v>78</v>
      </c>
      <c r="R429" s="0" t="n">
        <f aca="false">VLOOKUP(A429,'Team Data'!$A$1:$P$133,5,FALSE())</f>
        <v>191</v>
      </c>
      <c r="S429" s="0" t="n">
        <f aca="false">VLOOKUP(B429,'Team Data'!$A$1:$P$133,4,FALSE())</f>
        <v>91</v>
      </c>
      <c r="T429" s="0" t="n">
        <f aca="false">VLOOKUP(B429,'Team Data'!$A$1:$P$133,5,FALSE())</f>
        <v>171</v>
      </c>
      <c r="U429" s="0" t="n">
        <f aca="false">IF(K429=1,(MIN(35,(C429-D429)))*(O429/(O429+P429))*(S429/(S429+T429)),(MAX(-35,(C429-D429)))*(IF(P429=0,0.1,(P429/(O429+P429))))*(T429/(S429+T429)))</f>
        <v>-3.42652671755725</v>
      </c>
      <c r="V429" s="0" t="n">
        <f aca="false">IF(L429=1,(MIN(35,(D429-C429)))*(M429/(M429+N429))*(Q429/(Q429+R429)),(MAX(-35,(D429-C429)))*(IF(N429=0,0.1,(N429/(M429+N429))))*(R429/(R429+Q429)))</f>
        <v>1.71747211895911</v>
      </c>
    </row>
    <row r="430" customFormat="false" ht="15" hidden="false" customHeight="false" outlineLevel="0" collapsed="false">
      <c r="A430" s="0" t="s">
        <v>89</v>
      </c>
      <c r="B430" s="0" t="s">
        <v>101</v>
      </c>
      <c r="C430" s="0" t="n">
        <v>28</v>
      </c>
      <c r="D430" s="0" t="n">
        <v>27</v>
      </c>
      <c r="E430" s="0" t="n">
        <v>192</v>
      </c>
      <c r="F430" s="0" t="n">
        <v>90</v>
      </c>
      <c r="G430" s="0" t="n">
        <v>250</v>
      </c>
      <c r="H430" s="0" t="n">
        <v>269</v>
      </c>
      <c r="I430" s="0" t="n">
        <v>0</v>
      </c>
      <c r="J430" s="0" t="n">
        <v>1</v>
      </c>
      <c r="K430" s="0" t="n">
        <v>1</v>
      </c>
      <c r="L430" s="0" t="n">
        <v>0</v>
      </c>
      <c r="M430" s="0" t="n">
        <f aca="false">VLOOKUP(A430,'Team Data'!$A$1:$P$133,2,FALSE())</f>
        <v>10</v>
      </c>
      <c r="N430" s="0" t="n">
        <f aca="false">VLOOKUP(A430,'Team Data'!$A$1:$P$133,3,FALSE())</f>
        <v>3</v>
      </c>
      <c r="O430" s="0" t="n">
        <f aca="false">VLOOKUP(B430,'Team Data'!$A$1:$P$133,2,FALSE())</f>
        <v>3</v>
      </c>
      <c r="P430" s="0" t="n">
        <f aca="false">VLOOKUP(B430,'Team Data'!$A$1:$P$133,3,FALSE())</f>
        <v>9</v>
      </c>
      <c r="Q430" s="0" t="n">
        <f aca="false">VLOOKUP(A430,'Team Data'!$A$1:$P$133,4,FALSE())</f>
        <v>94</v>
      </c>
      <c r="R430" s="0" t="n">
        <f aca="false">VLOOKUP(A430,'Team Data'!$A$1:$P$133,5,FALSE())</f>
        <v>182</v>
      </c>
      <c r="S430" s="0" t="n">
        <f aca="false">VLOOKUP(B430,'Team Data'!$A$1:$P$133,4,FALSE())</f>
        <v>100</v>
      </c>
      <c r="T430" s="0" t="n">
        <f aca="false">VLOOKUP(B430,'Team Data'!$A$1:$P$133,5,FALSE())</f>
        <v>163</v>
      </c>
      <c r="U430" s="0" t="n">
        <f aca="false">IF(K430=1,(MIN(35,(C430-D430)))*(O430/(O430+P430))*(S430/(S430+T430)),(MAX(-35,(C430-D430)))*(IF(P430=0,0.1,(P430/(O430+P430))))*(T430/(S430+T430)))</f>
        <v>0.0950570342205323</v>
      </c>
      <c r="V430" s="0" t="n">
        <f aca="false">IF(L430=1,(MIN(35,(D430-C430)))*(M430/(M430+N430))*(Q430/(Q430+R430)),(MAX(-35,(D430-C430)))*(IF(N430=0,0.1,(N430/(M430+N430))))*(R430/(R430+Q430)))</f>
        <v>-0.152173913043478</v>
      </c>
    </row>
    <row r="431" customFormat="false" ht="15" hidden="false" customHeight="false" outlineLevel="0" collapsed="false">
      <c r="A431" s="0" t="s">
        <v>124</v>
      </c>
      <c r="B431" s="0" t="s">
        <v>116</v>
      </c>
      <c r="C431" s="0" t="n">
        <v>32</v>
      </c>
      <c r="D431" s="0" t="n">
        <v>42</v>
      </c>
      <c r="E431" s="0" t="n">
        <v>192</v>
      </c>
      <c r="F431" s="0" t="n">
        <v>203</v>
      </c>
      <c r="G431" s="0" t="n">
        <v>287</v>
      </c>
      <c r="H431" s="0" t="n">
        <v>299</v>
      </c>
      <c r="I431" s="0" t="n">
        <v>2</v>
      </c>
      <c r="J431" s="0" t="n">
        <v>1</v>
      </c>
      <c r="K431" s="0" t="n">
        <v>0</v>
      </c>
      <c r="L431" s="0" t="n">
        <v>1</v>
      </c>
      <c r="M431" s="0" t="n">
        <f aca="false">VLOOKUP(A431,'Team Data'!$A$1:$P$133,2,FALSE())</f>
        <v>10</v>
      </c>
      <c r="N431" s="0" t="n">
        <f aca="false">VLOOKUP(A431,'Team Data'!$A$1:$P$133,3,FALSE())</f>
        <v>4</v>
      </c>
      <c r="O431" s="0" t="n">
        <f aca="false">VLOOKUP(B431,'Team Data'!$A$1:$P$133,2,FALSE())</f>
        <v>9</v>
      </c>
      <c r="P431" s="0" t="n">
        <f aca="false">VLOOKUP(B431,'Team Data'!$A$1:$P$133,3,FALSE())</f>
        <v>4</v>
      </c>
      <c r="Q431" s="0" t="n">
        <f aca="false">VLOOKUP(A431,'Team Data'!$A$1:$P$133,4,FALSE())</f>
        <v>102</v>
      </c>
      <c r="R431" s="0" t="n">
        <f aca="false">VLOOKUP(A431,'Team Data'!$A$1:$P$133,5,FALSE())</f>
        <v>185</v>
      </c>
      <c r="S431" s="0" t="n">
        <f aca="false">VLOOKUP(B431,'Team Data'!$A$1:$P$133,4,FALSE())</f>
        <v>91</v>
      </c>
      <c r="T431" s="0" t="n">
        <f aca="false">VLOOKUP(B431,'Team Data'!$A$1:$P$133,5,FALSE())</f>
        <v>182</v>
      </c>
      <c r="U431" s="0" t="n">
        <f aca="false">IF(K431=1,(MIN(35,(C431-D431)))*(O431/(O431+P431))*(S431/(S431+T431)),(MAX(-35,(C431-D431)))*(IF(P431=0,0.1,(P431/(O431+P431))))*(T431/(S431+T431)))</f>
        <v>-2.05128205128205</v>
      </c>
      <c r="V431" s="0" t="n">
        <f aca="false">IF(L431=1,(MIN(35,(D431-C431)))*(M431/(M431+N431))*(Q431/(Q431+R431)),(MAX(-35,(D431-C431)))*(IF(N431=0,0.1,(N431/(M431+N431))))*(R431/(R431+Q431)))</f>
        <v>2.53857640617223</v>
      </c>
    </row>
    <row r="432" customFormat="false" ht="15" hidden="false" customHeight="false" outlineLevel="0" collapsed="false">
      <c r="A432" s="0" t="s">
        <v>131</v>
      </c>
      <c r="B432" s="0" t="s">
        <v>120</v>
      </c>
      <c r="C432" s="0" t="n">
        <v>14</v>
      </c>
      <c r="D432" s="0" t="n">
        <v>30</v>
      </c>
      <c r="E432" s="0" t="n">
        <v>144</v>
      </c>
      <c r="F432" s="0" t="n">
        <v>181</v>
      </c>
      <c r="G432" s="0" t="n">
        <v>172</v>
      </c>
      <c r="H432" s="0" t="n">
        <v>188</v>
      </c>
      <c r="I432" s="0" t="n">
        <v>0</v>
      </c>
      <c r="J432" s="0" t="n">
        <v>0</v>
      </c>
      <c r="K432" s="0" t="n">
        <v>0</v>
      </c>
      <c r="L432" s="0" t="n">
        <v>1</v>
      </c>
      <c r="M432" s="0" t="n">
        <f aca="false">VLOOKUP(A432,'Team Data'!$A$1:$P$133,2,FALSE())</f>
        <v>7</v>
      </c>
      <c r="N432" s="0" t="n">
        <f aca="false">VLOOKUP(A432,'Team Data'!$A$1:$P$133,3,FALSE())</f>
        <v>6</v>
      </c>
      <c r="O432" s="0" t="n">
        <f aca="false">VLOOKUP(B432,'Team Data'!$A$1:$P$133,2,FALSE())</f>
        <v>11</v>
      </c>
      <c r="P432" s="0" t="n">
        <f aca="false">VLOOKUP(B432,'Team Data'!$A$1:$P$133,3,FALSE())</f>
        <v>3</v>
      </c>
      <c r="Q432" s="0" t="n">
        <f aca="false">VLOOKUP(A432,'Team Data'!$A$1:$P$133,4,FALSE())</f>
        <v>95</v>
      </c>
      <c r="R432" s="0" t="n">
        <f aca="false">VLOOKUP(A432,'Team Data'!$A$1:$P$133,5,FALSE())</f>
        <v>179</v>
      </c>
      <c r="S432" s="0" t="n">
        <f aca="false">VLOOKUP(B432,'Team Data'!$A$1:$P$133,4,FALSE())</f>
        <v>98</v>
      </c>
      <c r="T432" s="0" t="n">
        <f aca="false">VLOOKUP(B432,'Team Data'!$A$1:$P$133,5,FALSE())</f>
        <v>83</v>
      </c>
      <c r="U432" s="0" t="n">
        <f aca="false">IF(K432=1,(MIN(35,(C432-D432)))*(O432/(O432+P432))*(S432/(S432+T432)),(MAX(-35,(C432-D432)))*(IF(P432=0,0.1,(P432/(O432+P432))))*(T432/(S432+T432)))</f>
        <v>-1.57221783741121</v>
      </c>
      <c r="V432" s="0" t="n">
        <f aca="false">IF(L432=1,(MIN(35,(D432-C432)))*(M432/(M432+N432))*(Q432/(Q432+R432)),(MAX(-35,(D432-C432)))*(IF(N432=0,0.1,(N432/(M432+N432))))*(R432/(R432+Q432)))</f>
        <v>2.98708590679394</v>
      </c>
    </row>
    <row r="433" customFormat="false" ht="15" hidden="false" customHeight="false" outlineLevel="0" collapsed="false">
      <c r="A433" s="0" t="s">
        <v>51</v>
      </c>
      <c r="B433" s="0" t="s">
        <v>48</v>
      </c>
      <c r="C433" s="0" t="n">
        <v>10</v>
      </c>
      <c r="D433" s="0" t="n">
        <v>9</v>
      </c>
      <c r="E433" s="0" t="n">
        <v>131</v>
      </c>
      <c r="F433" s="0" t="n">
        <v>78</v>
      </c>
      <c r="G433" s="0" t="n">
        <v>257</v>
      </c>
      <c r="H433" s="0" t="n">
        <v>198</v>
      </c>
      <c r="I433" s="0" t="n">
        <v>1</v>
      </c>
      <c r="J433" s="0" t="n">
        <v>0</v>
      </c>
      <c r="K433" s="0" t="n">
        <v>1</v>
      </c>
      <c r="L433" s="0" t="n">
        <v>0</v>
      </c>
      <c r="M433" s="0" t="n">
        <f aca="false">VLOOKUP(A433,'Team Data'!$A$1:$P$133,2,FALSE())</f>
        <v>10</v>
      </c>
      <c r="N433" s="0" t="n">
        <f aca="false">VLOOKUP(A433,'Team Data'!$A$1:$P$133,3,FALSE())</f>
        <v>4</v>
      </c>
      <c r="O433" s="0" t="n">
        <f aca="false">VLOOKUP(B433,'Team Data'!$A$1:$P$133,2,FALSE())</f>
        <v>4</v>
      </c>
      <c r="P433" s="0" t="n">
        <f aca="false">VLOOKUP(B433,'Team Data'!$A$1:$P$133,3,FALSE())</f>
        <v>8</v>
      </c>
      <c r="Q433" s="0" t="n">
        <f aca="false">VLOOKUP(A433,'Team Data'!$A$1:$P$133,4,FALSE())</f>
        <v>113</v>
      </c>
      <c r="R433" s="0" t="n">
        <f aca="false">VLOOKUP(A433,'Team Data'!$A$1:$P$133,5,FALSE())</f>
        <v>179</v>
      </c>
      <c r="S433" s="0" t="n">
        <f aca="false">VLOOKUP(B433,'Team Data'!$A$1:$P$133,4,FALSE())</f>
        <v>95</v>
      </c>
      <c r="T433" s="0" t="n">
        <f aca="false">VLOOKUP(B433,'Team Data'!$A$1:$P$133,5,FALSE())</f>
        <v>171</v>
      </c>
      <c r="U433" s="0" t="n">
        <f aca="false">IF(K433=1,(MIN(35,(C433-D433)))*(O433/(O433+P433))*(S433/(S433+T433)),(MAX(-35,(C433-D433)))*(IF(P433=0,0.1,(P433/(O433+P433))))*(T433/(S433+T433)))</f>
        <v>0.119047619047619</v>
      </c>
      <c r="V433" s="0" t="n">
        <f aca="false">IF(L433=1,(MIN(35,(D433-C433)))*(M433/(M433+N433))*(Q433/(Q433+R433)),(MAX(-35,(D433-C433)))*(IF(N433=0,0.1,(N433/(M433+N433))))*(R433/(R433+Q433)))</f>
        <v>-0.175146771037182</v>
      </c>
    </row>
    <row r="434" customFormat="false" ht="15" hidden="false" customHeight="false" outlineLevel="0" collapsed="false">
      <c r="A434" s="0" t="s">
        <v>103</v>
      </c>
      <c r="B434" s="0" t="s">
        <v>50</v>
      </c>
      <c r="C434" s="0" t="n">
        <v>38</v>
      </c>
      <c r="D434" s="0" t="n">
        <v>31</v>
      </c>
      <c r="E434" s="0" t="n">
        <v>144</v>
      </c>
      <c r="F434" s="0" t="n">
        <v>189</v>
      </c>
      <c r="G434" s="0" t="n">
        <v>308</v>
      </c>
      <c r="H434" s="0" t="n">
        <v>351</v>
      </c>
      <c r="I434" s="0" t="n">
        <v>2</v>
      </c>
      <c r="J434" s="0" t="n">
        <v>2</v>
      </c>
      <c r="K434" s="0" t="n">
        <v>1</v>
      </c>
      <c r="L434" s="0" t="n">
        <v>0</v>
      </c>
      <c r="M434" s="0" t="n">
        <f aca="false">VLOOKUP(A434,'Team Data'!$A$1:$P$133,2,FALSE())</f>
        <v>13</v>
      </c>
      <c r="N434" s="0" t="n">
        <f aca="false">VLOOKUP(A434,'Team Data'!$A$1:$P$133,3,FALSE())</f>
        <v>2</v>
      </c>
      <c r="O434" s="0" t="n">
        <f aca="false">VLOOKUP(B434,'Team Data'!$A$1:$P$133,2,FALSE())</f>
        <v>6</v>
      </c>
      <c r="P434" s="0" t="n">
        <f aca="false">VLOOKUP(B434,'Team Data'!$A$1:$P$133,3,FALSE())</f>
        <v>7</v>
      </c>
      <c r="Q434" s="0" t="n">
        <f aca="false">VLOOKUP(A434,'Team Data'!$A$1:$P$133,4,FALSE())</f>
        <v>114</v>
      </c>
      <c r="R434" s="0" t="n">
        <f aca="false">VLOOKUP(A434,'Team Data'!$A$1:$P$133,5,FALSE())</f>
        <v>190</v>
      </c>
      <c r="S434" s="0" t="n">
        <f aca="false">VLOOKUP(B434,'Team Data'!$A$1:$P$133,4,FALSE())</f>
        <v>99</v>
      </c>
      <c r="T434" s="0" t="n">
        <f aca="false">VLOOKUP(B434,'Team Data'!$A$1:$P$133,5,FALSE())</f>
        <v>178</v>
      </c>
      <c r="U434" s="0" t="n">
        <f aca="false">IF(K434=1,(MIN(35,(C434-D434)))*(O434/(O434+P434))*(S434/(S434+T434)),(MAX(-35,(C434-D434)))*(IF(P434=0,0.1,(P434/(O434+P434))))*(T434/(S434+T434)))</f>
        <v>1.15467925576229</v>
      </c>
      <c r="V434" s="0" t="n">
        <f aca="false">IF(L434=1,(MIN(35,(D434-C434)))*(M434/(M434+N434))*(Q434/(Q434+R434)),(MAX(-35,(D434-C434)))*(IF(N434=0,0.1,(N434/(M434+N434))))*(R434/(R434+Q434)))</f>
        <v>-0.583333333333333</v>
      </c>
    </row>
    <row r="435" customFormat="false" ht="15" hidden="false" customHeight="false" outlineLevel="0" collapsed="false">
      <c r="A435" s="0" t="s">
        <v>106</v>
      </c>
      <c r="B435" s="0" t="s">
        <v>84</v>
      </c>
      <c r="C435" s="0" t="n">
        <v>49</v>
      </c>
      <c r="D435" s="0" t="n">
        <v>0</v>
      </c>
      <c r="E435" s="0" t="n">
        <v>296</v>
      </c>
      <c r="F435" s="0" t="n">
        <v>156</v>
      </c>
      <c r="G435" s="0" t="n">
        <v>289</v>
      </c>
      <c r="H435" s="0" t="n">
        <v>39</v>
      </c>
      <c r="I435" s="0" t="n">
        <v>1</v>
      </c>
      <c r="J435" s="0" t="n">
        <v>2</v>
      </c>
      <c r="K435" s="0" t="n">
        <v>1</v>
      </c>
      <c r="L435" s="0" t="n">
        <v>0</v>
      </c>
      <c r="M435" s="0" t="n">
        <f aca="false">VLOOKUP(A435,'Team Data'!$A$1:$P$133,2,FALSE())</f>
        <v>8</v>
      </c>
      <c r="N435" s="0" t="n">
        <f aca="false">VLOOKUP(A435,'Team Data'!$A$1:$P$133,3,FALSE())</f>
        <v>5</v>
      </c>
      <c r="O435" s="0" t="n">
        <f aca="false">VLOOKUP(B435,'Team Data'!$A$1:$P$133,2,FALSE())</f>
        <v>6</v>
      </c>
      <c r="P435" s="0" t="n">
        <f aca="false">VLOOKUP(B435,'Team Data'!$A$1:$P$133,3,FALSE())</f>
        <v>7</v>
      </c>
      <c r="Q435" s="0" t="n">
        <f aca="false">VLOOKUP(A435,'Team Data'!$A$1:$P$133,4,FALSE())</f>
        <v>102</v>
      </c>
      <c r="R435" s="0" t="n">
        <f aca="false">VLOOKUP(A435,'Team Data'!$A$1:$P$133,5,FALSE())</f>
        <v>68</v>
      </c>
      <c r="S435" s="0" t="n">
        <f aca="false">VLOOKUP(B435,'Team Data'!$A$1:$P$133,4,FALSE())</f>
        <v>91</v>
      </c>
      <c r="T435" s="0" t="n">
        <f aca="false">VLOOKUP(B435,'Team Data'!$A$1:$P$133,5,FALSE())</f>
        <v>76</v>
      </c>
      <c r="U435" s="0" t="n">
        <f aca="false">IF(K435=1,(MIN(35,(C435-D435)))*(O435/(O435+P435))*(S435/(S435+T435)),(MAX(-35,(C435-D435)))*(IF(P435=0,0.1,(P435/(O435+P435))))*(T435/(S435+T435)))</f>
        <v>8.80239520958084</v>
      </c>
      <c r="V435" s="0" t="n">
        <f aca="false">IF(L435=1,(MIN(35,(D435-C435)))*(M435/(M435+N435))*(Q435/(Q435+R435)),(MAX(-35,(D435-C435)))*(IF(N435=0,0.1,(N435/(M435+N435))))*(R435/(R435+Q435)))</f>
        <v>-5.38461538461539</v>
      </c>
    </row>
    <row r="436" customFormat="false" ht="15" hidden="false" customHeight="false" outlineLevel="0" collapsed="false">
      <c r="A436" s="0" t="s">
        <v>109</v>
      </c>
      <c r="B436" s="0" t="s">
        <v>85</v>
      </c>
      <c r="C436" s="0" t="n">
        <v>31</v>
      </c>
      <c r="D436" s="0" t="n">
        <v>41</v>
      </c>
      <c r="E436" s="0" t="n">
        <v>148</v>
      </c>
      <c r="F436" s="0" t="n">
        <v>137</v>
      </c>
      <c r="G436" s="0" t="n">
        <v>379</v>
      </c>
      <c r="H436" s="0" t="n">
        <v>297</v>
      </c>
      <c r="I436" s="0" t="n">
        <v>1</v>
      </c>
      <c r="J436" s="0" t="n">
        <v>0</v>
      </c>
      <c r="K436" s="0" t="n">
        <v>0</v>
      </c>
      <c r="L436" s="0" t="n">
        <v>1</v>
      </c>
      <c r="M436" s="0" t="n">
        <f aca="false">VLOOKUP(A436,'Team Data'!$A$1:$P$133,2,FALSE())</f>
        <v>8</v>
      </c>
      <c r="N436" s="0" t="n">
        <f aca="false">VLOOKUP(A436,'Team Data'!$A$1:$P$133,3,FALSE())</f>
        <v>5</v>
      </c>
      <c r="O436" s="0" t="n">
        <f aca="false">VLOOKUP(B436,'Team Data'!$A$1:$P$133,2,FALSE())</f>
        <v>7</v>
      </c>
      <c r="P436" s="0" t="n">
        <f aca="false">VLOOKUP(B436,'Team Data'!$A$1:$P$133,3,FALSE())</f>
        <v>6</v>
      </c>
      <c r="Q436" s="0" t="n">
        <f aca="false">VLOOKUP(A436,'Team Data'!$A$1:$P$133,4,FALSE())</f>
        <v>97</v>
      </c>
      <c r="R436" s="0" t="n">
        <f aca="false">VLOOKUP(A436,'Team Data'!$A$1:$P$133,5,FALSE())</f>
        <v>180</v>
      </c>
      <c r="S436" s="0" t="n">
        <f aca="false">VLOOKUP(B436,'Team Data'!$A$1:$P$133,4,FALSE())</f>
        <v>88</v>
      </c>
      <c r="T436" s="0" t="n">
        <f aca="false">VLOOKUP(B436,'Team Data'!$A$1:$P$133,5,FALSE())</f>
        <v>187</v>
      </c>
      <c r="U436" s="0" t="n">
        <f aca="false">IF(K436=1,(MIN(35,(C436-D436)))*(O436/(O436+P436))*(S436/(S436+T436)),(MAX(-35,(C436-D436)))*(IF(P436=0,0.1,(P436/(O436+P436))))*(T436/(S436+T436)))</f>
        <v>-3.13846153846154</v>
      </c>
      <c r="V436" s="0" t="n">
        <f aca="false">IF(L436=1,(MIN(35,(D436-C436)))*(M436/(M436+N436))*(Q436/(Q436+R436)),(MAX(-35,(D436-C436)))*(IF(N436=0,0.1,(N436/(M436+N436))))*(R436/(R436+Q436)))</f>
        <v>2.154956956401</v>
      </c>
    </row>
    <row r="437" customFormat="false" ht="15" hidden="false" customHeight="false" outlineLevel="0" collapsed="false">
      <c r="A437" s="0" t="s">
        <v>16</v>
      </c>
      <c r="B437" s="0" t="s">
        <v>81</v>
      </c>
      <c r="C437" s="0" t="n">
        <v>20</v>
      </c>
      <c r="D437" s="0" t="n">
        <v>28</v>
      </c>
      <c r="E437" s="0" t="n">
        <v>160</v>
      </c>
      <c r="F437" s="0" t="n">
        <v>234</v>
      </c>
      <c r="G437" s="0" t="n">
        <v>120</v>
      </c>
      <c r="H437" s="0" t="n">
        <v>262</v>
      </c>
      <c r="I437" s="0" t="n">
        <v>1</v>
      </c>
      <c r="J437" s="0" t="n">
        <v>1</v>
      </c>
      <c r="K437" s="0" t="n">
        <v>0</v>
      </c>
      <c r="L437" s="0" t="n">
        <v>1</v>
      </c>
      <c r="M437" s="0" t="n">
        <f aca="false">VLOOKUP(A437,'Team Data'!$A$1:$P$133,2,FALSE())</f>
        <v>8</v>
      </c>
      <c r="N437" s="0" t="n">
        <f aca="false">VLOOKUP(A437,'Team Data'!$A$1:$P$133,3,FALSE())</f>
        <v>5</v>
      </c>
      <c r="O437" s="0" t="n">
        <f aca="false">VLOOKUP(B437,'Team Data'!$A$1:$P$133,2,FALSE())</f>
        <v>9</v>
      </c>
      <c r="P437" s="0" t="n">
        <f aca="false">VLOOKUP(B437,'Team Data'!$A$1:$P$133,3,FALSE())</f>
        <v>4</v>
      </c>
      <c r="Q437" s="0" t="n">
        <f aca="false">VLOOKUP(A437,'Team Data'!$A$1:$P$133,4,FALSE())</f>
        <v>90</v>
      </c>
      <c r="R437" s="0" t="n">
        <f aca="false">VLOOKUP(A437,'Team Data'!$A$1:$P$133,5,FALSE())</f>
        <v>185</v>
      </c>
      <c r="S437" s="0" t="n">
        <f aca="false">VLOOKUP(B437,'Team Data'!$A$1:$P$133,4,FALSE())</f>
        <v>93</v>
      </c>
      <c r="T437" s="0" t="n">
        <f aca="false">VLOOKUP(B437,'Team Data'!$A$1:$P$133,5,FALSE())</f>
        <v>74</v>
      </c>
      <c r="U437" s="0" t="n">
        <f aca="false">IF(K437=1,(MIN(35,(C437-D437)))*(O437/(O437+P437))*(S437/(S437+T437)),(MAX(-35,(C437-D437)))*(IF(P437=0,0.1,(P437/(O437+P437))))*(T437/(S437+T437)))</f>
        <v>-1.09074159373561</v>
      </c>
      <c r="V437" s="0" t="n">
        <f aca="false">IF(L437=1,(MIN(35,(D437-C437)))*(M437/(M437+N437))*(Q437/(Q437+R437)),(MAX(-35,(D437-C437)))*(IF(N437=0,0.1,(N437/(M437+N437))))*(R437/(R437+Q437)))</f>
        <v>1.61118881118881</v>
      </c>
    </row>
    <row r="438" customFormat="false" ht="15" hidden="false" customHeight="false" outlineLevel="0" collapsed="false">
      <c r="A438" s="0" t="s">
        <v>14</v>
      </c>
      <c r="B438" s="0" t="s">
        <v>129</v>
      </c>
      <c r="C438" s="0" t="n">
        <v>10</v>
      </c>
      <c r="D438" s="0" t="n">
        <v>45</v>
      </c>
      <c r="E438" s="0" t="n">
        <v>225</v>
      </c>
      <c r="F438" s="0" t="n">
        <v>221</v>
      </c>
      <c r="G438" s="0" t="n">
        <v>182</v>
      </c>
      <c r="H438" s="0" t="n">
        <v>267</v>
      </c>
      <c r="I438" s="0" t="n">
        <v>2</v>
      </c>
      <c r="J438" s="0" t="n">
        <v>0</v>
      </c>
      <c r="K438" s="0" t="n">
        <v>0</v>
      </c>
      <c r="L438" s="0" t="n">
        <v>1</v>
      </c>
      <c r="M438" s="0" t="n">
        <f aca="false">VLOOKUP(A438,'Team Data'!$A$1:$P$133,2,FALSE())</f>
        <v>6</v>
      </c>
      <c r="N438" s="0" t="n">
        <f aca="false">VLOOKUP(A438,'Team Data'!$A$1:$P$133,3,FALSE())</f>
        <v>6</v>
      </c>
      <c r="O438" s="0" t="n">
        <f aca="false">VLOOKUP(B438,'Team Data'!$A$1:$P$133,2,FALSE())</f>
        <v>8</v>
      </c>
      <c r="P438" s="0" t="n">
        <f aca="false">VLOOKUP(B438,'Team Data'!$A$1:$P$133,3,FALSE())</f>
        <v>5</v>
      </c>
      <c r="Q438" s="0" t="n">
        <f aca="false">VLOOKUP(A438,'Team Data'!$A$1:$P$133,4,FALSE())</f>
        <v>85</v>
      </c>
      <c r="R438" s="0" t="n">
        <f aca="false">VLOOKUP(A438,'Team Data'!$A$1:$P$133,5,FALSE())</f>
        <v>283</v>
      </c>
      <c r="S438" s="0" t="n">
        <f aca="false">VLOOKUP(B438,'Team Data'!$A$1:$P$133,4,FALSE())</f>
        <v>98</v>
      </c>
      <c r="T438" s="0" t="n">
        <f aca="false">VLOOKUP(B438,'Team Data'!$A$1:$P$133,5,FALSE())</f>
        <v>177</v>
      </c>
      <c r="U438" s="0" t="n">
        <f aca="false">IF(K438=1,(MIN(35,(C438-D438)))*(O438/(O438+P438))*(S438/(S438+T438)),(MAX(-35,(C438-D438)))*(IF(P438=0,0.1,(P438/(O438+P438))))*(T438/(S438+T438)))</f>
        <v>-8.66433566433567</v>
      </c>
      <c r="V438" s="0" t="n">
        <f aca="false">IF(L438=1,(MIN(35,(D438-C438)))*(M438/(M438+N438))*(Q438/(Q438+R438)),(MAX(-35,(D438-C438)))*(IF(N438=0,0.1,(N438/(M438+N438))))*(R438/(R438+Q438)))</f>
        <v>4.04211956521739</v>
      </c>
    </row>
    <row r="439" customFormat="false" ht="15" hidden="false" customHeight="false" outlineLevel="0" collapsed="false">
      <c r="A439" s="0" t="s">
        <v>55</v>
      </c>
      <c r="B439" s="0" t="s">
        <v>118</v>
      </c>
      <c r="C439" s="0" t="n">
        <v>42</v>
      </c>
      <c r="D439" s="0" t="n">
        <v>24</v>
      </c>
      <c r="E439" s="0" t="n">
        <v>194</v>
      </c>
      <c r="F439" s="0" t="n">
        <v>145</v>
      </c>
      <c r="G439" s="0" t="n">
        <v>259</v>
      </c>
      <c r="H439" s="0" t="n">
        <v>88</v>
      </c>
      <c r="I439" s="0" t="n">
        <v>1</v>
      </c>
      <c r="J439" s="0" t="n">
        <v>1</v>
      </c>
      <c r="K439" s="0" t="n">
        <v>1</v>
      </c>
      <c r="L439" s="0" t="n">
        <v>0</v>
      </c>
      <c r="M439" s="0" t="n">
        <f aca="false">VLOOKUP(A439,'Team Data'!$A$1:$P$133,2,FALSE())</f>
        <v>8</v>
      </c>
      <c r="N439" s="0" t="n">
        <f aca="false">VLOOKUP(A439,'Team Data'!$A$1:$P$133,3,FALSE())</f>
        <v>5</v>
      </c>
      <c r="O439" s="0" t="n">
        <f aca="false">VLOOKUP(B439,'Team Data'!$A$1:$P$133,2,FALSE())</f>
        <v>1</v>
      </c>
      <c r="P439" s="0" t="n">
        <f aca="false">VLOOKUP(B439,'Team Data'!$A$1:$P$133,3,FALSE())</f>
        <v>11</v>
      </c>
      <c r="Q439" s="0" t="n">
        <f aca="false">VLOOKUP(A439,'Team Data'!$A$1:$P$133,4,FALSE())</f>
        <v>76</v>
      </c>
      <c r="R439" s="0" t="n">
        <f aca="false">VLOOKUP(A439,'Team Data'!$A$1:$P$133,5,FALSE())</f>
        <v>196</v>
      </c>
      <c r="S439" s="0" t="n">
        <f aca="false">VLOOKUP(B439,'Team Data'!$A$1:$P$133,4,FALSE())</f>
        <v>83</v>
      </c>
      <c r="T439" s="0" t="n">
        <f aca="false">VLOOKUP(B439,'Team Data'!$A$1:$P$133,5,FALSE())</f>
        <v>178</v>
      </c>
      <c r="U439" s="0" t="n">
        <f aca="false">IF(K439=1,(MIN(35,(C439-D439)))*(O439/(O439+P439))*(S439/(S439+T439)),(MAX(-35,(C439-D439)))*(IF(P439=0,0.1,(P439/(O439+P439))))*(T439/(S439+T439)))</f>
        <v>0.477011494252874</v>
      </c>
      <c r="V439" s="0" t="n">
        <f aca="false">IF(L439=1,(MIN(35,(D439-C439)))*(M439/(M439+N439))*(Q439/(Q439+R439)),(MAX(-35,(D439-C439)))*(IF(N439=0,0.1,(N439/(M439+N439))))*(R439/(R439+Q439)))</f>
        <v>-4.98868778280543</v>
      </c>
    </row>
    <row r="440" customFormat="false" ht="15" hidden="false" customHeight="false" outlineLevel="0" collapsed="false">
      <c r="A440" s="0" t="s">
        <v>47</v>
      </c>
      <c r="B440" s="0" t="s">
        <v>45</v>
      </c>
      <c r="C440" s="0" t="n">
        <v>6</v>
      </c>
      <c r="D440" s="0" t="n">
        <v>9</v>
      </c>
      <c r="E440" s="0" t="n">
        <v>52</v>
      </c>
      <c r="F440" s="0" t="n">
        <v>200</v>
      </c>
      <c r="G440" s="0" t="n">
        <v>170</v>
      </c>
      <c r="H440" s="0" t="n">
        <v>116</v>
      </c>
      <c r="I440" s="0" t="n">
        <v>1</v>
      </c>
      <c r="J440" s="0" t="n">
        <v>3</v>
      </c>
      <c r="K440" s="0" t="n">
        <v>0</v>
      </c>
      <c r="L440" s="0" t="n">
        <v>1</v>
      </c>
      <c r="M440" s="0" t="n">
        <f aca="false">VLOOKUP(A440,'Team Data'!$A$1:$P$133,2,FALSE())</f>
        <v>8</v>
      </c>
      <c r="N440" s="0" t="n">
        <f aca="false">VLOOKUP(A440,'Team Data'!$A$1:$P$133,3,FALSE())</f>
        <v>5</v>
      </c>
      <c r="O440" s="0" t="n">
        <f aca="false">VLOOKUP(B440,'Team Data'!$A$1:$P$133,2,FALSE())</f>
        <v>8</v>
      </c>
      <c r="P440" s="0" t="n">
        <f aca="false">VLOOKUP(B440,'Team Data'!$A$1:$P$133,3,FALSE())</f>
        <v>5</v>
      </c>
      <c r="Q440" s="0" t="n">
        <f aca="false">VLOOKUP(A440,'Team Data'!$A$1:$P$133,4,FALSE())</f>
        <v>86</v>
      </c>
      <c r="R440" s="0" t="n">
        <f aca="false">VLOOKUP(A440,'Team Data'!$A$1:$P$133,5,FALSE())</f>
        <v>187</v>
      </c>
      <c r="S440" s="0" t="n">
        <f aca="false">VLOOKUP(B440,'Team Data'!$A$1:$P$133,4,FALSE())</f>
        <v>86</v>
      </c>
      <c r="T440" s="0" t="n">
        <f aca="false">VLOOKUP(B440,'Team Data'!$A$1:$P$133,5,FALSE())</f>
        <v>185</v>
      </c>
      <c r="U440" s="0" t="n">
        <f aca="false">IF(K440=1,(MIN(35,(C440-D440)))*(O440/(O440+P440))*(S440/(S440+T440)),(MAX(-35,(C440-D440)))*(IF(P440=0,0.1,(P440/(O440+P440))))*(T440/(S440+T440)))</f>
        <v>-0.787680953732614</v>
      </c>
      <c r="V440" s="0" t="n">
        <f aca="false">IF(L440=1,(MIN(35,(D440-C440)))*(M440/(M440+N440))*(Q440/(Q440+R440)),(MAX(-35,(D440-C440)))*(IF(N440=0,0.1,(N440/(M440+N440))))*(R440/(R440+Q440)))</f>
        <v>0.581572273879966</v>
      </c>
    </row>
    <row r="441" customFormat="false" ht="15" hidden="false" customHeight="false" outlineLevel="0" collapsed="false">
      <c r="A441" s="0" t="s">
        <v>135</v>
      </c>
      <c r="B441" s="0" t="s">
        <v>80</v>
      </c>
      <c r="C441" s="0" t="n">
        <v>42</v>
      </c>
      <c r="D441" s="0" t="n">
        <v>7</v>
      </c>
      <c r="E441" s="0" t="n">
        <v>193</v>
      </c>
      <c r="F441" s="0" t="n">
        <v>79</v>
      </c>
      <c r="G441" s="0" t="n">
        <v>322</v>
      </c>
      <c r="H441" s="0" t="n">
        <v>263</v>
      </c>
      <c r="I441" s="0" t="n">
        <v>0</v>
      </c>
      <c r="J441" s="0" t="n">
        <v>3</v>
      </c>
      <c r="K441" s="0" t="n">
        <v>1</v>
      </c>
      <c r="L441" s="0" t="n">
        <v>0</v>
      </c>
      <c r="M441" s="0" t="n">
        <f aca="false">VLOOKUP(A441,'Team Data'!$A$1:$P$133,2,FALSE())</f>
        <v>7</v>
      </c>
      <c r="N441" s="0" t="n">
        <f aca="false">VLOOKUP(A441,'Team Data'!$A$1:$P$133,3,FALSE())</f>
        <v>6</v>
      </c>
      <c r="O441" s="0" t="n">
        <f aca="false">VLOOKUP(B441,'Team Data'!$A$1:$P$133,2,FALSE())</f>
        <v>1</v>
      </c>
      <c r="P441" s="0" t="n">
        <f aca="false">VLOOKUP(B441,'Team Data'!$A$1:$P$133,3,FALSE())</f>
        <v>11</v>
      </c>
      <c r="Q441" s="0" t="n">
        <f aca="false">VLOOKUP(A441,'Team Data'!$A$1:$P$133,4,FALSE())</f>
        <v>91</v>
      </c>
      <c r="R441" s="0" t="n">
        <f aca="false">VLOOKUP(A441,'Team Data'!$A$1:$P$133,5,FALSE())</f>
        <v>183</v>
      </c>
      <c r="S441" s="0" t="n">
        <f aca="false">VLOOKUP(B441,'Team Data'!$A$1:$P$133,4,FALSE())</f>
        <v>97</v>
      </c>
      <c r="T441" s="0" t="n">
        <f aca="false">VLOOKUP(B441,'Team Data'!$A$1:$P$133,5,FALSE())</f>
        <v>166</v>
      </c>
      <c r="U441" s="0" t="n">
        <f aca="false">IF(K441=1,(MIN(35,(C441-D441)))*(O441/(O441+P441))*(S441/(S441+T441)),(MAX(-35,(C441-D441)))*(IF(P441=0,0.1,(P441/(O441+P441))))*(T441/(S441+T441)))</f>
        <v>1.07572877059569</v>
      </c>
      <c r="V441" s="0" t="n">
        <f aca="false">IF(L441=1,(MIN(35,(D441-C441)))*(M441/(M441+N441))*(Q441/(Q441+R441)),(MAX(-35,(D441-C441)))*(IF(N441=0,0.1,(N441/(M441+N441))))*(R441/(R441+Q441)))</f>
        <v>-10.7888826501965</v>
      </c>
    </row>
    <row r="442" customFormat="false" ht="15" hidden="false" customHeight="false" outlineLevel="0" collapsed="false">
      <c r="A442" s="0" t="s">
        <v>65</v>
      </c>
      <c r="B442" s="0" t="s">
        <v>46</v>
      </c>
      <c r="C442" s="0" t="n">
        <v>31</v>
      </c>
      <c r="D442" s="0" t="n">
        <v>10</v>
      </c>
      <c r="E442" s="0" t="n">
        <v>165</v>
      </c>
      <c r="F442" s="0" t="n">
        <v>19</v>
      </c>
      <c r="G442" s="0" t="n">
        <v>304</v>
      </c>
      <c r="H442" s="0" t="n">
        <v>203</v>
      </c>
      <c r="I442" s="0" t="n">
        <v>1</v>
      </c>
      <c r="J442" s="0" t="n">
        <v>1</v>
      </c>
      <c r="K442" s="0" t="n">
        <v>1</v>
      </c>
      <c r="L442" s="0" t="n">
        <v>0</v>
      </c>
      <c r="M442" s="0" t="n">
        <f aca="false">VLOOKUP(A442,'Team Data'!$A$1:$P$133,2,FALSE())</f>
        <v>13</v>
      </c>
      <c r="N442" s="0" t="n">
        <f aca="false">VLOOKUP(A442,'Team Data'!$A$1:$P$133,3,FALSE())</f>
        <v>1</v>
      </c>
      <c r="O442" s="0" t="n">
        <f aca="false">VLOOKUP(B442,'Team Data'!$A$1:$P$133,2,FALSE())</f>
        <v>4</v>
      </c>
      <c r="P442" s="0" t="n">
        <f aca="false">VLOOKUP(B442,'Team Data'!$A$1:$P$133,3,FALSE())</f>
        <v>8</v>
      </c>
      <c r="Q442" s="0" t="n">
        <f aca="false">VLOOKUP(A442,'Team Data'!$A$1:$P$133,4,FALSE())</f>
        <v>96</v>
      </c>
      <c r="R442" s="0" t="n">
        <f aca="false">VLOOKUP(A442,'Team Data'!$A$1:$P$133,5,FALSE())</f>
        <v>84</v>
      </c>
      <c r="S442" s="0" t="n">
        <f aca="false">VLOOKUP(B442,'Team Data'!$A$1:$P$133,4,FALSE())</f>
        <v>98</v>
      </c>
      <c r="T442" s="0" t="n">
        <f aca="false">VLOOKUP(B442,'Team Data'!$A$1:$P$133,5,FALSE())</f>
        <v>165</v>
      </c>
      <c r="U442" s="0" t="n">
        <f aca="false">IF(K442=1,(MIN(35,(C442-D442)))*(O442/(O442+P442))*(S442/(S442+T442)),(MAX(-35,(C442-D442)))*(IF(P442=0,0.1,(P442/(O442+P442))))*(T442/(S442+T442)))</f>
        <v>2.60836501901141</v>
      </c>
      <c r="V442" s="0" t="n">
        <f aca="false">IF(L442=1,(MIN(35,(D442-C442)))*(M442/(M442+N442))*(Q442/(Q442+R442)),(MAX(-35,(D442-C442)))*(IF(N442=0,0.1,(N442/(M442+N442))))*(R442/(R442+Q442)))</f>
        <v>-0.7</v>
      </c>
    </row>
    <row r="443" customFormat="false" ht="15" hidden="false" customHeight="false" outlineLevel="0" collapsed="false">
      <c r="A443" s="0" t="s">
        <v>92</v>
      </c>
      <c r="B443" s="0" t="s">
        <v>61</v>
      </c>
      <c r="C443" s="0" t="n">
        <v>31</v>
      </c>
      <c r="D443" s="0" t="n">
        <v>29</v>
      </c>
      <c r="E443" s="0" t="n">
        <v>13</v>
      </c>
      <c r="F443" s="0" t="n">
        <v>72</v>
      </c>
      <c r="G443" s="0" t="n">
        <v>360</v>
      </c>
      <c r="H443" s="0" t="n">
        <v>315</v>
      </c>
      <c r="I443" s="0" t="n">
        <v>3</v>
      </c>
      <c r="J443" s="0" t="n">
        <v>1</v>
      </c>
      <c r="K443" s="0" t="n">
        <v>1</v>
      </c>
      <c r="L443" s="0" t="n">
        <v>0</v>
      </c>
      <c r="M443" s="0" t="n">
        <f aca="false">VLOOKUP(A443,'Team Data'!$A$1:$P$133,2,FALSE())</f>
        <v>8</v>
      </c>
      <c r="N443" s="0" t="n">
        <f aca="false">VLOOKUP(A443,'Team Data'!$A$1:$P$133,3,FALSE())</f>
        <v>6</v>
      </c>
      <c r="O443" s="0" t="n">
        <f aca="false">VLOOKUP(B443,'Team Data'!$A$1:$P$133,2,FALSE())</f>
        <v>8</v>
      </c>
      <c r="P443" s="0" t="n">
        <f aca="false">VLOOKUP(B443,'Team Data'!$A$1:$P$133,3,FALSE())</f>
        <v>5</v>
      </c>
      <c r="Q443" s="0" t="n">
        <f aca="false">VLOOKUP(A443,'Team Data'!$A$1:$P$133,4,FALSE())</f>
        <v>103</v>
      </c>
      <c r="R443" s="0" t="n">
        <f aca="false">VLOOKUP(A443,'Team Data'!$A$1:$P$133,5,FALSE())</f>
        <v>184</v>
      </c>
      <c r="S443" s="0" t="n">
        <f aca="false">VLOOKUP(B443,'Team Data'!$A$1:$P$133,4,FALSE())</f>
        <v>89</v>
      </c>
      <c r="T443" s="0" t="n">
        <f aca="false">VLOOKUP(B443,'Team Data'!$A$1:$P$133,5,FALSE())</f>
        <v>77</v>
      </c>
      <c r="U443" s="0" t="n">
        <f aca="false">IF(K443=1,(MIN(35,(C443-D443)))*(O443/(O443+P443))*(S443/(S443+T443)),(MAX(-35,(C443-D443)))*(IF(P443=0,0.1,(P443/(O443+P443))))*(T443/(S443+T443)))</f>
        <v>0.659870250231696</v>
      </c>
      <c r="V443" s="0" t="n">
        <f aca="false">IF(L443=1,(MIN(35,(D443-C443)))*(M443/(M443+N443))*(Q443/(Q443+R443)),(MAX(-35,(D443-C443)))*(IF(N443=0,0.1,(N443/(M443+N443))))*(R443/(R443+Q443)))</f>
        <v>-0.54952712792434</v>
      </c>
    </row>
    <row r="444" customFormat="false" ht="15" hidden="false" customHeight="false" outlineLevel="0" collapsed="false">
      <c r="A444" s="0" t="s">
        <v>83</v>
      </c>
      <c r="B444" s="0" t="s">
        <v>66</v>
      </c>
      <c r="C444" s="0" t="n">
        <v>49</v>
      </c>
      <c r="D444" s="0" t="n">
        <v>20</v>
      </c>
      <c r="E444" s="0" t="n">
        <v>237</v>
      </c>
      <c r="F444" s="0" t="n">
        <v>7</v>
      </c>
      <c r="G444" s="0" t="n">
        <v>377</v>
      </c>
      <c r="H444" s="0" t="n">
        <v>195</v>
      </c>
      <c r="I444" s="0" t="n">
        <v>1</v>
      </c>
      <c r="J444" s="0" t="n">
        <v>1</v>
      </c>
      <c r="K444" s="0" t="n">
        <v>1</v>
      </c>
      <c r="L444" s="0" t="n">
        <v>0</v>
      </c>
      <c r="M444" s="0" t="n">
        <f aca="false">VLOOKUP(A444,'Team Data'!$A$1:$P$133,2,FALSE())</f>
        <v>11</v>
      </c>
      <c r="N444" s="0" t="n">
        <f aca="false">VLOOKUP(A444,'Team Data'!$A$1:$P$133,3,FALSE())</f>
        <v>2</v>
      </c>
      <c r="O444" s="0" t="n">
        <f aca="false">VLOOKUP(B444,'Team Data'!$A$1:$P$133,2,FALSE())</f>
        <v>5</v>
      </c>
      <c r="P444" s="0" t="n">
        <f aca="false">VLOOKUP(B444,'Team Data'!$A$1:$P$133,3,FALSE())</f>
        <v>7</v>
      </c>
      <c r="Q444" s="0" t="n">
        <f aca="false">VLOOKUP(A444,'Team Data'!$A$1:$P$133,4,FALSE())</f>
        <v>97</v>
      </c>
      <c r="R444" s="0" t="n">
        <f aca="false">VLOOKUP(A444,'Team Data'!$A$1:$P$133,5,FALSE())</f>
        <v>71</v>
      </c>
      <c r="S444" s="0" t="n">
        <f aca="false">VLOOKUP(B444,'Team Data'!$A$1:$P$133,4,FALSE())</f>
        <v>93</v>
      </c>
      <c r="T444" s="0" t="n">
        <f aca="false">VLOOKUP(B444,'Team Data'!$A$1:$P$133,5,FALSE())</f>
        <v>60</v>
      </c>
      <c r="U444" s="0" t="n">
        <f aca="false">IF(K444=1,(MIN(35,(C444-D444)))*(O444/(O444+P444))*(S444/(S444+T444)),(MAX(-35,(C444-D444)))*(IF(P444=0,0.1,(P444/(O444+P444))))*(T444/(S444+T444)))</f>
        <v>7.34477124183007</v>
      </c>
      <c r="V444" s="0" t="n">
        <f aca="false">IF(L444=1,(MIN(35,(D444-C444)))*(M444/(M444+N444))*(Q444/(Q444+R444)),(MAX(-35,(D444-C444)))*(IF(N444=0,0.1,(N444/(M444+N444))))*(R444/(R444+Q444)))</f>
        <v>-1.88553113553114</v>
      </c>
    </row>
    <row r="445" customFormat="false" ht="15" hidden="false" customHeight="false" outlineLevel="0" collapsed="false">
      <c r="A445" s="0" t="s">
        <v>73</v>
      </c>
      <c r="B445" s="0" t="s">
        <v>94</v>
      </c>
      <c r="C445" s="0" t="n">
        <v>14</v>
      </c>
      <c r="D445" s="0" t="n">
        <v>13</v>
      </c>
      <c r="E445" s="0" t="n">
        <v>72</v>
      </c>
      <c r="F445" s="0" t="n">
        <v>115</v>
      </c>
      <c r="G445" s="0" t="n">
        <v>232</v>
      </c>
      <c r="H445" s="0" t="n">
        <v>233</v>
      </c>
      <c r="I445" s="0" t="n">
        <v>2</v>
      </c>
      <c r="J445" s="0" t="n">
        <v>3</v>
      </c>
      <c r="K445" s="0" t="n">
        <v>1</v>
      </c>
      <c r="L445" s="0" t="n">
        <v>0</v>
      </c>
      <c r="M445" s="0" t="n">
        <f aca="false">VLOOKUP(A445,'Team Data'!$A$1:$P$133,2,FALSE())</f>
        <v>4</v>
      </c>
      <c r="N445" s="0" t="n">
        <f aca="false">VLOOKUP(A445,'Team Data'!$A$1:$P$133,3,FALSE())</f>
        <v>8</v>
      </c>
      <c r="O445" s="0" t="n">
        <f aca="false">VLOOKUP(B445,'Team Data'!$A$1:$P$133,2,FALSE())</f>
        <v>4</v>
      </c>
      <c r="P445" s="0" t="n">
        <f aca="false">VLOOKUP(B445,'Team Data'!$A$1:$P$133,3,FALSE())</f>
        <v>8</v>
      </c>
      <c r="Q445" s="0" t="n">
        <f aca="false">VLOOKUP(A445,'Team Data'!$A$1:$P$133,4,FALSE())</f>
        <v>82</v>
      </c>
      <c r="R445" s="0" t="n">
        <f aca="false">VLOOKUP(A445,'Team Data'!$A$1:$P$133,5,FALSE())</f>
        <v>180</v>
      </c>
      <c r="S445" s="0" t="n">
        <f aca="false">VLOOKUP(B445,'Team Data'!$A$1:$P$133,4,FALSE())</f>
        <v>87</v>
      </c>
      <c r="T445" s="0" t="n">
        <f aca="false">VLOOKUP(B445,'Team Data'!$A$1:$P$133,5,FALSE())</f>
        <v>172</v>
      </c>
      <c r="U445" s="0" t="n">
        <f aca="false">IF(K445=1,(MIN(35,(C445-D445)))*(O445/(O445+P445))*(S445/(S445+T445)),(MAX(-35,(C445-D445)))*(IF(P445=0,0.1,(P445/(O445+P445))))*(T445/(S445+T445)))</f>
        <v>0.111969111969112</v>
      </c>
      <c r="V445" s="0" t="n">
        <f aca="false">IF(L445=1,(MIN(35,(D445-C445)))*(M445/(M445+N445))*(Q445/(Q445+R445)),(MAX(-35,(D445-C445)))*(IF(N445=0,0.1,(N445/(M445+N445))))*(R445/(R445+Q445)))</f>
        <v>-0.458015267175573</v>
      </c>
    </row>
    <row r="446" customFormat="false" ht="15" hidden="false" customHeight="false" outlineLevel="0" collapsed="false">
      <c r="A446" s="0" t="s">
        <v>27</v>
      </c>
      <c r="B446" s="0" t="s">
        <v>20</v>
      </c>
      <c r="C446" s="0" t="n">
        <v>31</v>
      </c>
      <c r="D446" s="0" t="n">
        <v>3</v>
      </c>
      <c r="E446" s="0" t="n">
        <v>144</v>
      </c>
      <c r="F446" s="0" t="n">
        <v>34</v>
      </c>
      <c r="G446" s="0" t="n">
        <v>220</v>
      </c>
      <c r="H446" s="0" t="n">
        <v>220</v>
      </c>
      <c r="I446" s="0" t="n">
        <v>1</v>
      </c>
      <c r="J446" s="0" t="n">
        <v>1</v>
      </c>
      <c r="K446" s="0" t="n">
        <v>1</v>
      </c>
      <c r="L446" s="0" t="n">
        <v>0</v>
      </c>
      <c r="M446" s="0" t="n">
        <f aca="false">VLOOKUP(A446,'Team Data'!$A$1:$P$133,2,FALSE())</f>
        <v>11</v>
      </c>
      <c r="N446" s="0" t="n">
        <f aca="false">VLOOKUP(A446,'Team Data'!$A$1:$P$133,3,FALSE())</f>
        <v>3</v>
      </c>
      <c r="O446" s="0" t="n">
        <f aca="false">VLOOKUP(B446,'Team Data'!$A$1:$P$133,2,FALSE())</f>
        <v>3</v>
      </c>
      <c r="P446" s="0" t="n">
        <f aca="false">VLOOKUP(B446,'Team Data'!$A$1:$P$133,3,FALSE())</f>
        <v>9</v>
      </c>
      <c r="Q446" s="0" t="n">
        <f aca="false">VLOOKUP(A446,'Team Data'!$A$1:$P$133,4,FALSE())</f>
        <v>102</v>
      </c>
      <c r="R446" s="0" t="n">
        <f aca="false">VLOOKUP(A446,'Team Data'!$A$1:$P$133,5,FALSE())</f>
        <v>184</v>
      </c>
      <c r="S446" s="0" t="n">
        <f aca="false">VLOOKUP(B446,'Team Data'!$A$1:$P$133,4,FALSE())</f>
        <v>91</v>
      </c>
      <c r="T446" s="0" t="n">
        <f aca="false">VLOOKUP(B446,'Team Data'!$A$1:$P$133,5,FALSE())</f>
        <v>170</v>
      </c>
      <c r="U446" s="0" t="n">
        <f aca="false">IF(K446=1,(MIN(35,(C446-D446)))*(O446/(O446+P446))*(S446/(S446+T446)),(MAX(-35,(C446-D446)))*(IF(P446=0,0.1,(P446/(O446+P446))))*(T446/(S446+T446)))</f>
        <v>2.44061302681992</v>
      </c>
      <c r="V446" s="0" t="n">
        <f aca="false">IF(L446=1,(MIN(35,(D446-C446)))*(M446/(M446+N446))*(Q446/(Q446+R446)),(MAX(-35,(D446-C446)))*(IF(N446=0,0.1,(N446/(M446+N446))))*(R446/(R446+Q446)))</f>
        <v>-3.86013986013986</v>
      </c>
    </row>
    <row r="447" customFormat="false" ht="15" hidden="false" customHeight="false" outlineLevel="0" collapsed="false">
      <c r="A447" s="0" t="s">
        <v>31</v>
      </c>
      <c r="B447" s="0" t="s">
        <v>42</v>
      </c>
      <c r="C447" s="0" t="n">
        <v>20</v>
      </c>
      <c r="D447" s="0" t="n">
        <v>23</v>
      </c>
      <c r="E447" s="0" t="n">
        <v>142</v>
      </c>
      <c r="F447" s="0" t="n">
        <v>180</v>
      </c>
      <c r="G447" s="0" t="n">
        <v>136</v>
      </c>
      <c r="H447" s="0" t="n">
        <v>232</v>
      </c>
      <c r="I447" s="0" t="n">
        <v>1</v>
      </c>
      <c r="J447" s="0" t="n">
        <v>0</v>
      </c>
      <c r="K447" s="0" t="n">
        <v>0</v>
      </c>
      <c r="L447" s="0" t="n">
        <v>1</v>
      </c>
      <c r="M447" s="0" t="n">
        <f aca="false">VLOOKUP(A447,'Team Data'!$A$1:$P$133,2,FALSE())</f>
        <v>9</v>
      </c>
      <c r="N447" s="0" t="n">
        <f aca="false">VLOOKUP(A447,'Team Data'!$A$1:$P$133,3,FALSE())</f>
        <v>4</v>
      </c>
      <c r="O447" s="0" t="n">
        <f aca="false">VLOOKUP(B447,'Team Data'!$A$1:$P$133,2,FALSE())</f>
        <v>5</v>
      </c>
      <c r="P447" s="0" t="n">
        <f aca="false">VLOOKUP(B447,'Team Data'!$A$1:$P$133,3,FALSE())</f>
        <v>7</v>
      </c>
      <c r="Q447" s="0" t="n">
        <f aca="false">VLOOKUP(A447,'Team Data'!$A$1:$P$133,4,FALSE())</f>
        <v>72</v>
      </c>
      <c r="R447" s="0" t="n">
        <f aca="false">VLOOKUP(A447,'Team Data'!$A$1:$P$133,5,FALSE())</f>
        <v>196</v>
      </c>
      <c r="S447" s="0" t="n">
        <f aca="false">VLOOKUP(B447,'Team Data'!$A$1:$P$133,4,FALSE())</f>
        <v>99</v>
      </c>
      <c r="T447" s="0" t="n">
        <f aca="false">VLOOKUP(B447,'Team Data'!$A$1:$P$133,5,FALSE())</f>
        <v>163</v>
      </c>
      <c r="U447" s="0" t="n">
        <f aca="false">IF(K447=1,(MIN(35,(C447-D447)))*(O447/(O447+P447))*(S447/(S447+T447)),(MAX(-35,(C447-D447)))*(IF(P447=0,0.1,(P447/(O447+P447))))*(T447/(S447+T447)))</f>
        <v>-1.08874045801527</v>
      </c>
      <c r="V447" s="0" t="n">
        <f aca="false">IF(L447=1,(MIN(35,(D447-C447)))*(M447/(M447+N447))*(Q447/(Q447+R447)),(MAX(-35,(D447-C447)))*(IF(N447=0,0.1,(N447/(M447+N447))))*(R447/(R447+Q447)))</f>
        <v>0.557979334098737</v>
      </c>
    </row>
    <row r="448" customFormat="false" ht="15" hidden="false" customHeight="false" outlineLevel="0" collapsed="false">
      <c r="A448" s="0" t="s">
        <v>77</v>
      </c>
      <c r="B448" s="0" t="s">
        <v>63</v>
      </c>
      <c r="C448" s="0" t="n">
        <v>27</v>
      </c>
      <c r="D448" s="0" t="n">
        <v>24</v>
      </c>
      <c r="E448" s="0" t="n">
        <v>161</v>
      </c>
      <c r="F448" s="0" t="n">
        <v>42</v>
      </c>
      <c r="G448" s="0" t="n">
        <v>309</v>
      </c>
      <c r="H448" s="0" t="n">
        <v>496</v>
      </c>
      <c r="I448" s="0" t="n">
        <v>2</v>
      </c>
      <c r="J448" s="0" t="n">
        <v>2</v>
      </c>
      <c r="K448" s="0" t="n">
        <v>1</v>
      </c>
      <c r="L448" s="0" t="n">
        <v>0</v>
      </c>
      <c r="M448" s="0" t="n">
        <f aca="false">VLOOKUP(A448,'Team Data'!$A$1:$P$133,2,FALSE())</f>
        <v>9</v>
      </c>
      <c r="N448" s="0" t="n">
        <f aca="false">VLOOKUP(A448,'Team Data'!$A$1:$P$133,3,FALSE())</f>
        <v>5</v>
      </c>
      <c r="O448" s="0" t="n">
        <f aca="false">VLOOKUP(B448,'Team Data'!$A$1:$P$133,2,FALSE())</f>
        <v>5</v>
      </c>
      <c r="P448" s="0" t="n">
        <f aca="false">VLOOKUP(B448,'Team Data'!$A$1:$P$133,3,FALSE())</f>
        <v>7</v>
      </c>
      <c r="Q448" s="0" t="n">
        <f aca="false">VLOOKUP(A448,'Team Data'!$A$1:$P$133,4,FALSE())</f>
        <v>98</v>
      </c>
      <c r="R448" s="0" t="n">
        <f aca="false">VLOOKUP(A448,'Team Data'!$A$1:$P$133,5,FALSE())</f>
        <v>183</v>
      </c>
      <c r="S448" s="0" t="n">
        <f aca="false">VLOOKUP(B448,'Team Data'!$A$1:$P$133,4,FALSE())</f>
        <v>87</v>
      </c>
      <c r="T448" s="0" t="n">
        <f aca="false">VLOOKUP(B448,'Team Data'!$A$1:$P$133,5,FALSE())</f>
        <v>171</v>
      </c>
      <c r="U448" s="0" t="n">
        <f aca="false">IF(K448=1,(MIN(35,(C448-D448)))*(O448/(O448+P448))*(S448/(S448+T448)),(MAX(-35,(C448-D448)))*(IF(P448=0,0.1,(P448/(O448+P448))))*(T448/(S448+T448)))</f>
        <v>0.421511627906977</v>
      </c>
      <c r="V448" s="0" t="n">
        <f aca="false">IF(L448=1,(MIN(35,(D448-C448)))*(M448/(M448+N448))*(Q448/(Q448+R448)),(MAX(-35,(D448-C448)))*(IF(N448=0,0.1,(N448/(M448+N448))))*(R448/(R448+Q448)))</f>
        <v>-0.697763091001525</v>
      </c>
    </row>
    <row r="449" customFormat="false" ht="15" hidden="false" customHeight="false" outlineLevel="0" collapsed="false">
      <c r="A449" s="0" t="s">
        <v>37</v>
      </c>
      <c r="B449" s="0" t="s">
        <v>71</v>
      </c>
      <c r="C449" s="0" t="n">
        <v>17</v>
      </c>
      <c r="D449" s="0" t="n">
        <v>19</v>
      </c>
      <c r="E449" s="0" t="n">
        <v>206</v>
      </c>
      <c r="F449" s="0" t="n">
        <v>182</v>
      </c>
      <c r="G449" s="0" t="n">
        <v>181</v>
      </c>
      <c r="H449" s="0" t="n">
        <v>125</v>
      </c>
      <c r="I449" s="0" t="n">
        <v>2</v>
      </c>
      <c r="J449" s="0" t="n">
        <v>1</v>
      </c>
      <c r="K449" s="0" t="n">
        <v>0</v>
      </c>
      <c r="L449" s="0" t="n">
        <v>1</v>
      </c>
      <c r="M449" s="0" t="n">
        <f aca="false">VLOOKUP(A449,'Team Data'!$A$1:$P$133,2,FALSE())</f>
        <v>10</v>
      </c>
      <c r="N449" s="0" t="n">
        <f aca="false">VLOOKUP(A449,'Team Data'!$A$1:$P$133,3,FALSE())</f>
        <v>3</v>
      </c>
      <c r="O449" s="0" t="n">
        <f aca="false">VLOOKUP(B449,'Team Data'!$A$1:$P$133,2,FALSE())</f>
        <v>8</v>
      </c>
      <c r="P449" s="0" t="n">
        <f aca="false">VLOOKUP(B449,'Team Data'!$A$1:$P$133,3,FALSE())</f>
        <v>5</v>
      </c>
      <c r="Q449" s="0" t="n">
        <f aca="false">VLOOKUP(A449,'Team Data'!$A$1:$P$133,4,FALSE())</f>
        <v>91</v>
      </c>
      <c r="R449" s="0" t="n">
        <f aca="false">VLOOKUP(A449,'Team Data'!$A$1:$P$133,5,FALSE())</f>
        <v>184</v>
      </c>
      <c r="S449" s="0" t="n">
        <f aca="false">VLOOKUP(B449,'Team Data'!$A$1:$P$133,4,FALSE())</f>
        <v>97</v>
      </c>
      <c r="T449" s="0" t="n">
        <f aca="false">VLOOKUP(B449,'Team Data'!$A$1:$P$133,5,FALSE())</f>
        <v>178</v>
      </c>
      <c r="U449" s="0" t="n">
        <f aca="false">IF(K449=1,(MIN(35,(C449-D449)))*(O449/(O449+P449))*(S449/(S449+T449)),(MAX(-35,(C449-D449)))*(IF(P449=0,0.1,(P449/(O449+P449))))*(T449/(S449+T449)))</f>
        <v>-0.497902097902098</v>
      </c>
      <c r="V449" s="0" t="n">
        <f aca="false">IF(L449=1,(MIN(35,(D449-C449)))*(M449/(M449+N449))*(Q449/(Q449+R449)),(MAX(-35,(D449-C449)))*(IF(N449=0,0.1,(N449/(M449+N449))))*(R449/(R449+Q449)))</f>
        <v>0.509090909090909</v>
      </c>
    </row>
    <row r="450" customFormat="false" ht="15" hidden="false" customHeight="false" outlineLevel="0" collapsed="false">
      <c r="A450" s="0" t="s">
        <v>128</v>
      </c>
      <c r="B450" s="0" t="s">
        <v>91</v>
      </c>
      <c r="C450" s="0" t="n">
        <v>29</v>
      </c>
      <c r="D450" s="0" t="n">
        <v>45</v>
      </c>
      <c r="E450" s="0" t="n">
        <v>126</v>
      </c>
      <c r="F450" s="0" t="n">
        <v>326</v>
      </c>
      <c r="G450" s="0" t="n">
        <v>277</v>
      </c>
      <c r="H450" s="0" t="n">
        <v>170</v>
      </c>
      <c r="I450" s="0" t="n">
        <v>2</v>
      </c>
      <c r="J450" s="0" t="n">
        <v>1</v>
      </c>
      <c r="K450" s="0" t="n">
        <v>0</v>
      </c>
      <c r="L450" s="0" t="n">
        <v>1</v>
      </c>
      <c r="M450" s="0" t="n">
        <f aca="false">VLOOKUP(A450,'Team Data'!$A$1:$P$133,2,FALSE())</f>
        <v>3</v>
      </c>
      <c r="N450" s="0" t="n">
        <f aca="false">VLOOKUP(A450,'Team Data'!$A$1:$P$133,3,FALSE())</f>
        <v>8</v>
      </c>
      <c r="O450" s="0" t="n">
        <f aca="false">VLOOKUP(B450,'Team Data'!$A$1:$P$133,2,FALSE())</f>
        <v>9</v>
      </c>
      <c r="P450" s="0" t="n">
        <f aca="false">VLOOKUP(B450,'Team Data'!$A$1:$P$133,3,FALSE())</f>
        <v>4</v>
      </c>
      <c r="Q450" s="0" t="n">
        <f aca="false">VLOOKUP(A450,'Team Data'!$A$1:$P$133,4,FALSE())</f>
        <v>72</v>
      </c>
      <c r="R450" s="0" t="n">
        <f aca="false">VLOOKUP(A450,'Team Data'!$A$1:$P$133,5,FALSE())</f>
        <v>174</v>
      </c>
      <c r="S450" s="0" t="n">
        <f aca="false">VLOOKUP(B450,'Team Data'!$A$1:$P$133,4,FALSE())</f>
        <v>87</v>
      </c>
      <c r="T450" s="0" t="n">
        <f aca="false">VLOOKUP(B450,'Team Data'!$A$1:$P$133,5,FALSE())</f>
        <v>181</v>
      </c>
      <c r="U450" s="0" t="n">
        <f aca="false">IF(K450=1,(MIN(35,(C450-D450)))*(O450/(O450+P450))*(S450/(S450+T450)),(MAX(-35,(C450-D450)))*(IF(P450=0,0.1,(P450/(O450+P450))))*(T450/(S450+T450)))</f>
        <v>-3.32491389207807</v>
      </c>
      <c r="V450" s="0" t="n">
        <f aca="false">IF(L450=1,(MIN(35,(D450-C450)))*(M450/(M450+N450))*(Q450/(Q450+R450)),(MAX(-35,(D450-C450)))*(IF(N450=0,0.1,(N450/(M450+N450))))*(R450/(R450+Q450)))</f>
        <v>1.27716186252772</v>
      </c>
    </row>
    <row r="451" customFormat="false" ht="15" hidden="false" customHeight="false" outlineLevel="0" collapsed="false">
      <c r="A451" s="0" t="s">
        <v>59</v>
      </c>
      <c r="B451" s="0" t="s">
        <v>127</v>
      </c>
      <c r="C451" s="0" t="n">
        <v>34</v>
      </c>
      <c r="D451" s="0" t="n">
        <v>17</v>
      </c>
      <c r="E451" s="0" t="n">
        <v>198</v>
      </c>
      <c r="F451" s="0" t="n">
        <v>6</v>
      </c>
      <c r="G451" s="0" t="n">
        <v>275</v>
      </c>
      <c r="H451" s="0" t="n">
        <v>313</v>
      </c>
      <c r="I451" s="0" t="n">
        <v>2</v>
      </c>
      <c r="J451" s="0" t="n">
        <v>3</v>
      </c>
      <c r="K451" s="0" t="n">
        <v>1</v>
      </c>
      <c r="L451" s="0" t="n">
        <v>0</v>
      </c>
      <c r="M451" s="0" t="n">
        <f aca="false">VLOOKUP(A451,'Team Data'!$A$1:$P$133,2,FALSE())</f>
        <v>8</v>
      </c>
      <c r="N451" s="0" t="n">
        <f aca="false">VLOOKUP(A451,'Team Data'!$A$1:$P$133,3,FALSE())</f>
        <v>5</v>
      </c>
      <c r="O451" s="0" t="n">
        <f aca="false">VLOOKUP(B451,'Team Data'!$A$1:$P$133,2,FALSE())</f>
        <v>3</v>
      </c>
      <c r="P451" s="0" t="n">
        <f aca="false">VLOOKUP(B451,'Team Data'!$A$1:$P$133,3,FALSE())</f>
        <v>7</v>
      </c>
      <c r="Q451" s="0" t="n">
        <f aca="false">VLOOKUP(A451,'Team Data'!$A$1:$P$133,4,FALSE())</f>
        <v>93</v>
      </c>
      <c r="R451" s="0" t="n">
        <f aca="false">VLOOKUP(A451,'Team Data'!$A$1:$P$133,5,FALSE())</f>
        <v>71</v>
      </c>
      <c r="S451" s="0" t="n">
        <f aca="false">VLOOKUP(B451,'Team Data'!$A$1:$P$133,4,FALSE())</f>
        <v>71</v>
      </c>
      <c r="T451" s="0" t="n">
        <f aca="false">VLOOKUP(B451,'Team Data'!$A$1:$P$133,5,FALSE())</f>
        <v>164</v>
      </c>
      <c r="U451" s="0" t="n">
        <f aca="false">IF(K451=1,(MIN(35,(C451-D451)))*(O451/(O451+P451))*(S451/(S451+T451)),(MAX(-35,(C451-D451)))*(IF(P451=0,0.1,(P451/(O451+P451))))*(T451/(S451+T451)))</f>
        <v>1.54085106382979</v>
      </c>
      <c r="V451" s="0" t="n">
        <f aca="false">IF(L451=1,(MIN(35,(D451-C451)))*(M451/(M451+N451))*(Q451/(Q451+R451)),(MAX(-35,(D451-C451)))*(IF(N451=0,0.1,(N451/(M451+N451))))*(R451/(R451+Q451)))</f>
        <v>-2.83067542213884</v>
      </c>
    </row>
    <row r="452" customFormat="false" ht="15" hidden="false" customHeight="false" outlineLevel="0" collapsed="false">
      <c r="A452" s="0" t="s">
        <v>6</v>
      </c>
      <c r="B452" s="0" t="s">
        <v>125</v>
      </c>
      <c r="C452" s="0" t="n">
        <v>27</v>
      </c>
      <c r="D452" s="0" t="n">
        <v>34</v>
      </c>
      <c r="E452" s="0" t="n">
        <v>264</v>
      </c>
      <c r="F452" s="0" t="n">
        <v>199</v>
      </c>
      <c r="G452" s="0" t="n">
        <v>95</v>
      </c>
      <c r="H452" s="0" t="n">
        <v>215</v>
      </c>
      <c r="I452" s="0" t="n">
        <v>2</v>
      </c>
      <c r="J452" s="0" t="n">
        <v>1</v>
      </c>
      <c r="K452" s="0" t="n">
        <v>0</v>
      </c>
      <c r="L452" s="0" t="n">
        <v>1</v>
      </c>
      <c r="M452" s="0" t="n">
        <f aca="false">VLOOKUP(A452,'Team Data'!$A$1:$P$133,2,FALSE())</f>
        <v>10</v>
      </c>
      <c r="N452" s="0" t="n">
        <f aca="false">VLOOKUP(A452,'Team Data'!$A$1:$P$133,3,FALSE())</f>
        <v>3</v>
      </c>
      <c r="O452" s="0" t="n">
        <f aca="false">VLOOKUP(B452,'Team Data'!$A$1:$P$133,2,FALSE())</f>
        <v>6</v>
      </c>
      <c r="P452" s="0" t="n">
        <f aca="false">VLOOKUP(B452,'Team Data'!$A$1:$P$133,3,FALSE())</f>
        <v>7</v>
      </c>
      <c r="Q452" s="0" t="n">
        <f aca="false">VLOOKUP(A452,'Team Data'!$A$1:$P$133,4,FALSE())</f>
        <v>67</v>
      </c>
      <c r="R452" s="0" t="n">
        <f aca="false">VLOOKUP(A452,'Team Data'!$A$1:$P$133,5,FALSE())</f>
        <v>203</v>
      </c>
      <c r="S452" s="0" t="n">
        <f aca="false">VLOOKUP(B452,'Team Data'!$A$1:$P$133,4,FALSE())</f>
        <v>87</v>
      </c>
      <c r="T452" s="0" t="n">
        <f aca="false">VLOOKUP(B452,'Team Data'!$A$1:$P$133,5,FALSE())</f>
        <v>186</v>
      </c>
      <c r="U452" s="0" t="n">
        <f aca="false">IF(K452=1,(MIN(35,(C452-D452)))*(O452/(O452+P452))*(S452/(S452+T452)),(MAX(-35,(C452-D452)))*(IF(P452=0,0.1,(P452/(O452+P452))))*(T452/(S452+T452)))</f>
        <v>-2.56804733727811</v>
      </c>
      <c r="V452" s="0" t="n">
        <f aca="false">IF(L452=1,(MIN(35,(D452-C452)))*(M452/(M452+N452))*(Q452/(Q452+R452)),(MAX(-35,(D452-C452)))*(IF(N452=0,0.1,(N452/(M452+N452))))*(R452/(R452+Q452)))</f>
        <v>1.33618233618234</v>
      </c>
    </row>
    <row r="453" customFormat="false" ht="15" hidden="false" customHeight="false" outlineLevel="0" collapsed="false">
      <c r="A453" s="0" t="s">
        <v>38</v>
      </c>
      <c r="B453" s="0" t="s">
        <v>19</v>
      </c>
      <c r="C453" s="0" t="n">
        <v>20</v>
      </c>
      <c r="D453" s="0" t="n">
        <v>40</v>
      </c>
      <c r="E453" s="0" t="n">
        <v>99</v>
      </c>
      <c r="F453" s="0" t="n">
        <v>316</v>
      </c>
      <c r="G453" s="0" t="n">
        <v>134</v>
      </c>
      <c r="H453" s="0" t="n">
        <v>127</v>
      </c>
      <c r="I453" s="0" t="n">
        <v>2</v>
      </c>
      <c r="J453" s="0" t="n">
        <v>1</v>
      </c>
      <c r="K453" s="0" t="n">
        <v>0</v>
      </c>
      <c r="L453" s="0" t="n">
        <v>1</v>
      </c>
      <c r="M453" s="0" t="n">
        <f aca="false">VLOOKUP(A453,'Team Data'!$A$1:$P$133,2,FALSE())</f>
        <v>10</v>
      </c>
      <c r="N453" s="0" t="n">
        <f aca="false">VLOOKUP(A453,'Team Data'!$A$1:$P$133,3,FALSE())</f>
        <v>4</v>
      </c>
      <c r="O453" s="0" t="n">
        <f aca="false">VLOOKUP(B453,'Team Data'!$A$1:$P$133,2,FALSE())</f>
        <v>10</v>
      </c>
      <c r="P453" s="0" t="n">
        <f aca="false">VLOOKUP(B453,'Team Data'!$A$1:$P$133,3,FALSE())</f>
        <v>4</v>
      </c>
      <c r="Q453" s="0" t="n">
        <f aca="false">VLOOKUP(A453,'Team Data'!$A$1:$P$133,4,FALSE())</f>
        <v>95</v>
      </c>
      <c r="R453" s="0" t="n">
        <f aca="false">VLOOKUP(A453,'Team Data'!$A$1:$P$133,5,FALSE())</f>
        <v>193</v>
      </c>
      <c r="S453" s="0" t="n">
        <f aca="false">VLOOKUP(B453,'Team Data'!$A$1:$P$133,4,FALSE())</f>
        <v>95</v>
      </c>
      <c r="T453" s="0" t="n">
        <f aca="false">VLOOKUP(B453,'Team Data'!$A$1:$P$133,5,FALSE())</f>
        <v>193</v>
      </c>
      <c r="U453" s="0" t="n">
        <f aca="false">IF(K453=1,(MIN(35,(C453-D453)))*(O453/(O453+P453))*(S453/(S453+T453)),(MAX(-35,(C453-D453)))*(IF(P453=0,0.1,(P453/(O453+P453))))*(T453/(S453+T453)))</f>
        <v>-3.82936507936508</v>
      </c>
      <c r="V453" s="0" t="n">
        <f aca="false">IF(L453=1,(MIN(35,(D453-C453)))*(M453/(M453+N453))*(Q453/(Q453+R453)),(MAX(-35,(D453-C453)))*(IF(N453=0,0.1,(N453/(M453+N453))))*(R453/(R453+Q453)))</f>
        <v>4.71230158730159</v>
      </c>
    </row>
    <row r="454" customFormat="false" ht="15" hidden="false" customHeight="false" outlineLevel="0" collapsed="false">
      <c r="A454" s="0" t="s">
        <v>30</v>
      </c>
      <c r="B454" s="0" t="s">
        <v>74</v>
      </c>
      <c r="C454" s="0" t="n">
        <v>17</v>
      </c>
      <c r="D454" s="0" t="n">
        <v>14</v>
      </c>
      <c r="E454" s="0" t="n">
        <v>177</v>
      </c>
      <c r="F454" s="0" t="n">
        <v>114</v>
      </c>
      <c r="G454" s="0" t="n">
        <v>78</v>
      </c>
      <c r="H454" s="0" t="n">
        <v>244</v>
      </c>
      <c r="I454" s="0" t="n">
        <v>3</v>
      </c>
      <c r="J454" s="0" t="n">
        <v>2</v>
      </c>
      <c r="K454" s="0" t="n">
        <v>1</v>
      </c>
      <c r="L454" s="0" t="n">
        <v>0</v>
      </c>
      <c r="M454" s="0" t="n">
        <f aca="false">VLOOKUP(A454,'Team Data'!$A$1:$P$133,2,FALSE())</f>
        <v>3</v>
      </c>
      <c r="N454" s="0" t="n">
        <f aca="false">VLOOKUP(A454,'Team Data'!$A$1:$P$133,3,FALSE())</f>
        <v>9</v>
      </c>
      <c r="O454" s="0" t="n">
        <f aca="false">VLOOKUP(B454,'Team Data'!$A$1:$P$133,2,FALSE())</f>
        <v>2</v>
      </c>
      <c r="P454" s="0" t="n">
        <f aca="false">VLOOKUP(B454,'Team Data'!$A$1:$P$133,3,FALSE())</f>
        <v>10</v>
      </c>
      <c r="Q454" s="0" t="n">
        <f aca="false">VLOOKUP(A454,'Team Data'!$A$1:$P$133,4,FALSE())</f>
        <v>83</v>
      </c>
      <c r="R454" s="0" t="n">
        <f aca="false">VLOOKUP(A454,'Team Data'!$A$1:$P$133,5,FALSE())</f>
        <v>179</v>
      </c>
      <c r="S454" s="0" t="n">
        <f aca="false">VLOOKUP(B454,'Team Data'!$A$1:$P$133,4,FALSE())</f>
        <v>82</v>
      </c>
      <c r="T454" s="0" t="n">
        <f aca="false">VLOOKUP(B454,'Team Data'!$A$1:$P$133,5,FALSE())</f>
        <v>179</v>
      </c>
      <c r="U454" s="0" t="n">
        <f aca="false">IF(K454=1,(MIN(35,(C454-D454)))*(O454/(O454+P454))*(S454/(S454+T454)),(MAX(-35,(C454-D454)))*(IF(P454=0,0.1,(P454/(O454+P454))))*(T454/(S454+T454)))</f>
        <v>0.157088122605364</v>
      </c>
      <c r="V454" s="0" t="n">
        <f aca="false">IF(L454=1,(MIN(35,(D454-C454)))*(M454/(M454+N454))*(Q454/(Q454+R454)),(MAX(-35,(D454-C454)))*(IF(N454=0,0.1,(N454/(M454+N454))))*(R454/(R454+Q454)))</f>
        <v>-1.53721374045802</v>
      </c>
    </row>
    <row r="455" customFormat="false" ht="15" hidden="false" customHeight="false" outlineLevel="0" collapsed="false">
      <c r="A455" s="0" t="s">
        <v>136</v>
      </c>
      <c r="B455" s="0" t="s">
        <v>75</v>
      </c>
      <c r="C455" s="0" t="n">
        <v>27</v>
      </c>
      <c r="D455" s="0" t="n">
        <v>14</v>
      </c>
      <c r="E455" s="0" t="n">
        <v>130</v>
      </c>
      <c r="F455" s="0" t="n">
        <v>197</v>
      </c>
      <c r="G455" s="0" t="n">
        <v>174</v>
      </c>
      <c r="H455" s="0" t="n">
        <v>122</v>
      </c>
      <c r="I455" s="0" t="n">
        <v>0</v>
      </c>
      <c r="J455" s="0" t="n">
        <v>3</v>
      </c>
      <c r="K455" s="0" t="n">
        <v>1</v>
      </c>
      <c r="L455" s="0" t="n">
        <v>0</v>
      </c>
      <c r="M455" s="0" t="n">
        <f aca="false">VLOOKUP(A455,'Team Data'!$A$1:$P$133,2,FALSE())</f>
        <v>7</v>
      </c>
      <c r="N455" s="0" t="n">
        <f aca="false">VLOOKUP(A455,'Team Data'!$A$1:$P$133,3,FALSE())</f>
        <v>6</v>
      </c>
      <c r="O455" s="0" t="n">
        <f aca="false">VLOOKUP(B455,'Team Data'!$A$1:$P$133,2,FALSE())</f>
        <v>2</v>
      </c>
      <c r="P455" s="0" t="n">
        <f aca="false">VLOOKUP(B455,'Team Data'!$A$1:$P$133,3,FALSE())</f>
        <v>10</v>
      </c>
      <c r="Q455" s="0" t="n">
        <f aca="false">VLOOKUP(A455,'Team Data'!$A$1:$P$133,4,FALSE())</f>
        <v>90</v>
      </c>
      <c r="R455" s="0" t="n">
        <f aca="false">VLOOKUP(A455,'Team Data'!$A$1:$P$133,5,FALSE())</f>
        <v>185</v>
      </c>
      <c r="S455" s="0" t="n">
        <f aca="false">VLOOKUP(B455,'Team Data'!$A$1:$P$133,4,FALSE())</f>
        <v>88</v>
      </c>
      <c r="T455" s="0" t="n">
        <f aca="false">VLOOKUP(B455,'Team Data'!$A$1:$P$133,5,FALSE())</f>
        <v>175</v>
      </c>
      <c r="U455" s="0" t="n">
        <f aca="false">IF(K455=1,(MIN(35,(C455-D455)))*(O455/(O455+P455))*(S455/(S455+T455)),(MAX(-35,(C455-D455)))*(IF(P455=0,0.1,(P455/(O455+P455))))*(T455/(S455+T455)))</f>
        <v>0.724968314321926</v>
      </c>
      <c r="V455" s="0" t="n">
        <f aca="false">IF(L455=1,(MIN(35,(D455-C455)))*(M455/(M455+N455))*(Q455/(Q455+R455)),(MAX(-35,(D455-C455)))*(IF(N455=0,0.1,(N455/(M455+N455))))*(R455/(R455+Q455)))</f>
        <v>-4.03636363636364</v>
      </c>
    </row>
    <row r="456" customFormat="false" ht="15" hidden="false" customHeight="false" outlineLevel="0" collapsed="false">
      <c r="A456" s="0" t="s">
        <v>43</v>
      </c>
      <c r="B456" s="0" t="s">
        <v>96</v>
      </c>
      <c r="C456" s="0" t="n">
        <v>14</v>
      </c>
      <c r="D456" s="0" t="n">
        <v>16</v>
      </c>
      <c r="E456" s="0" t="n">
        <v>146</v>
      </c>
      <c r="F456" s="0" t="n">
        <v>95</v>
      </c>
      <c r="G456" s="0" t="n">
        <v>196</v>
      </c>
      <c r="H456" s="0" t="n">
        <v>322</v>
      </c>
      <c r="I456" s="0" t="n">
        <v>1</v>
      </c>
      <c r="J456" s="0" t="n">
        <v>0</v>
      </c>
      <c r="K456" s="0" t="n">
        <v>0</v>
      </c>
      <c r="L456" s="0" t="n">
        <v>1</v>
      </c>
      <c r="M456" s="0" t="n">
        <f aca="false">VLOOKUP(A456,'Team Data'!$A$1:$P$133,2,FALSE())</f>
        <v>3</v>
      </c>
      <c r="N456" s="0" t="n">
        <f aca="false">VLOOKUP(A456,'Team Data'!$A$1:$P$133,3,FALSE())</f>
        <v>10</v>
      </c>
      <c r="O456" s="0" t="n">
        <f aca="false">VLOOKUP(B456,'Team Data'!$A$1:$P$133,2,FALSE())</f>
        <v>7</v>
      </c>
      <c r="P456" s="0" t="n">
        <f aca="false">VLOOKUP(B456,'Team Data'!$A$1:$P$133,3,FALSE())</f>
        <v>6</v>
      </c>
      <c r="Q456" s="0" t="n">
        <f aca="false">VLOOKUP(A456,'Team Data'!$A$1:$P$133,4,FALSE())</f>
        <v>89</v>
      </c>
      <c r="R456" s="0" t="n">
        <f aca="false">VLOOKUP(A456,'Team Data'!$A$1:$P$133,5,FALSE())</f>
        <v>185</v>
      </c>
      <c r="S456" s="0" t="n">
        <f aca="false">VLOOKUP(B456,'Team Data'!$A$1:$P$133,4,FALSE())</f>
        <v>89</v>
      </c>
      <c r="T456" s="0" t="n">
        <f aca="false">VLOOKUP(B456,'Team Data'!$A$1:$P$133,5,FALSE())</f>
        <v>186</v>
      </c>
      <c r="U456" s="0" t="n">
        <f aca="false">IF(K456=1,(MIN(35,(C456-D456)))*(O456/(O456+P456))*(S456/(S456+T456)),(MAX(-35,(C456-D456)))*(IF(P456=0,0.1,(P456/(O456+P456))))*(T456/(S456+T456)))</f>
        <v>-0.624335664335664</v>
      </c>
      <c r="V456" s="0" t="n">
        <f aca="false">IF(L456=1,(MIN(35,(D456-C456)))*(M456/(M456+N456))*(Q456/(Q456+R456)),(MAX(-35,(D456-C456)))*(IF(N456=0,0.1,(N456/(M456+N456))))*(R456/(R456+Q456)))</f>
        <v>0.149915777653004</v>
      </c>
    </row>
    <row r="457" customFormat="false" ht="15" hidden="false" customHeight="false" outlineLevel="0" collapsed="false">
      <c r="A457" s="0" t="s">
        <v>119</v>
      </c>
      <c r="B457" s="0" t="s">
        <v>97</v>
      </c>
      <c r="C457" s="0" t="n">
        <v>7</v>
      </c>
      <c r="D457" s="0" t="n">
        <v>40</v>
      </c>
      <c r="E457" s="0" t="n">
        <v>52</v>
      </c>
      <c r="F457" s="0" t="n">
        <v>203</v>
      </c>
      <c r="G457" s="0" t="n">
        <v>161</v>
      </c>
      <c r="H457" s="0" t="n">
        <v>230</v>
      </c>
      <c r="I457" s="0" t="n">
        <v>1</v>
      </c>
      <c r="J457" s="0" t="n">
        <v>0</v>
      </c>
      <c r="K457" s="0" t="n">
        <v>0</v>
      </c>
      <c r="L457" s="0" t="n">
        <v>1</v>
      </c>
      <c r="M457" s="0" t="n">
        <f aca="false">VLOOKUP(A457,'Team Data'!$A$1:$P$133,2,FALSE())</f>
        <v>5</v>
      </c>
      <c r="N457" s="0" t="n">
        <f aca="false">VLOOKUP(A457,'Team Data'!$A$1:$P$133,3,FALSE())</f>
        <v>7</v>
      </c>
      <c r="O457" s="0" t="n">
        <f aca="false">VLOOKUP(B457,'Team Data'!$A$1:$P$133,2,FALSE())</f>
        <v>7</v>
      </c>
      <c r="P457" s="0" t="n">
        <f aca="false">VLOOKUP(B457,'Team Data'!$A$1:$P$133,3,FALSE())</f>
        <v>5</v>
      </c>
      <c r="Q457" s="0" t="n">
        <f aca="false">VLOOKUP(A457,'Team Data'!$A$1:$P$133,4,FALSE())</f>
        <v>75</v>
      </c>
      <c r="R457" s="0" t="n">
        <f aca="false">VLOOKUP(A457,'Team Data'!$A$1:$P$133,5,FALSE())</f>
        <v>186</v>
      </c>
      <c r="S457" s="0" t="n">
        <f aca="false">VLOOKUP(B457,'Team Data'!$A$1:$P$133,4,FALSE())</f>
        <v>70</v>
      </c>
      <c r="T457" s="0" t="n">
        <f aca="false">VLOOKUP(B457,'Team Data'!$A$1:$P$133,5,FALSE())</f>
        <v>189</v>
      </c>
      <c r="U457" s="0" t="n">
        <f aca="false">IF(K457=1,(MIN(35,(C457-D457)))*(O457/(O457+P457))*(S457/(S457+T457)),(MAX(-35,(C457-D457)))*(IF(P457=0,0.1,(P457/(O457+P457))))*(T457/(S457+T457)))</f>
        <v>-10.0337837837838</v>
      </c>
      <c r="V457" s="0" t="n">
        <f aca="false">IF(L457=1,(MIN(35,(D457-C457)))*(M457/(M457+N457))*(Q457/(Q457+R457)),(MAX(-35,(D457-C457)))*(IF(N457=0,0.1,(N457/(M457+N457))))*(R457/(R457+Q457)))</f>
        <v>3.95114942528736</v>
      </c>
    </row>
    <row r="458" customFormat="false" ht="15" hidden="false" customHeight="false" outlineLevel="0" collapsed="false">
      <c r="A458" s="0" t="s">
        <v>95</v>
      </c>
      <c r="B458" s="0" t="s">
        <v>115</v>
      </c>
      <c r="C458" s="0" t="n">
        <v>19</v>
      </c>
      <c r="D458" s="0" t="n">
        <v>41</v>
      </c>
      <c r="E458" s="0" t="n">
        <v>113</v>
      </c>
      <c r="F458" s="0" t="n">
        <v>160</v>
      </c>
      <c r="G458" s="0" t="n">
        <v>363</v>
      </c>
      <c r="H458" s="0" t="n">
        <v>324</v>
      </c>
      <c r="I458" s="0" t="n">
        <v>2</v>
      </c>
      <c r="J458" s="0" t="n">
        <v>0</v>
      </c>
      <c r="K458" s="0" t="n">
        <v>0</v>
      </c>
      <c r="L458" s="0" t="n">
        <v>1</v>
      </c>
      <c r="M458" s="0" t="n">
        <f aca="false">VLOOKUP(A458,'Team Data'!$A$1:$P$133,2,FALSE())</f>
        <v>7</v>
      </c>
      <c r="N458" s="0" t="n">
        <f aca="false">VLOOKUP(A458,'Team Data'!$A$1:$P$133,3,FALSE())</f>
        <v>6</v>
      </c>
      <c r="O458" s="0" t="n">
        <f aca="false">VLOOKUP(B458,'Team Data'!$A$1:$P$133,2,FALSE())</f>
        <v>9</v>
      </c>
      <c r="P458" s="0" t="n">
        <f aca="false">VLOOKUP(B458,'Team Data'!$A$1:$P$133,3,FALSE())</f>
        <v>5</v>
      </c>
      <c r="Q458" s="0" t="n">
        <f aca="false">VLOOKUP(A458,'Team Data'!$A$1:$P$133,4,FALSE())</f>
        <v>99</v>
      </c>
      <c r="R458" s="0" t="n">
        <f aca="false">VLOOKUP(A458,'Team Data'!$A$1:$P$133,5,FALSE())</f>
        <v>179</v>
      </c>
      <c r="S458" s="0" t="n">
        <f aca="false">VLOOKUP(B458,'Team Data'!$A$1:$P$133,4,FALSE())</f>
        <v>98</v>
      </c>
      <c r="T458" s="0" t="n">
        <f aca="false">VLOOKUP(B458,'Team Data'!$A$1:$P$133,5,FALSE())</f>
        <v>188</v>
      </c>
      <c r="U458" s="0" t="n">
        <f aca="false">IF(K458=1,(MIN(35,(C458-D458)))*(O458/(O458+P458))*(S458/(S458+T458)),(MAX(-35,(C458-D458)))*(IF(P458=0,0.1,(P458/(O458+P458))))*(T458/(S458+T458)))</f>
        <v>-5.16483516483517</v>
      </c>
      <c r="V458" s="0" t="n">
        <f aca="false">IF(L458=1,(MIN(35,(D458-C458)))*(M458/(M458+N458))*(Q458/(Q458+R458)),(MAX(-35,(D458-C458)))*(IF(N458=0,0.1,(N458/(M458+N458))))*(R458/(R458+Q458)))</f>
        <v>4.218594355285</v>
      </c>
    </row>
    <row r="459" customFormat="false" ht="15" hidden="false" customHeight="false" outlineLevel="0" collapsed="false">
      <c r="A459" s="0" t="s">
        <v>44</v>
      </c>
      <c r="B459" s="0" t="s">
        <v>62</v>
      </c>
      <c r="C459" s="0" t="n">
        <v>33</v>
      </c>
      <c r="D459" s="0" t="n">
        <v>32</v>
      </c>
      <c r="E459" s="0" t="n">
        <v>97</v>
      </c>
      <c r="F459" s="0" t="n">
        <v>156</v>
      </c>
      <c r="G459" s="0" t="n">
        <v>366</v>
      </c>
      <c r="H459" s="0" t="n">
        <v>282</v>
      </c>
      <c r="I459" s="0" t="n">
        <v>1</v>
      </c>
      <c r="J459" s="0" t="n">
        <v>1</v>
      </c>
      <c r="K459" s="0" t="n">
        <v>1</v>
      </c>
      <c r="L459" s="0" t="n">
        <v>0</v>
      </c>
      <c r="M459" s="0" t="n">
        <f aca="false">VLOOKUP(A459,'Team Data'!$A$1:$P$133,2,FALSE())</f>
        <v>8</v>
      </c>
      <c r="N459" s="0" t="n">
        <f aca="false">VLOOKUP(A459,'Team Data'!$A$1:$P$133,3,FALSE())</f>
        <v>5</v>
      </c>
      <c r="O459" s="0" t="n">
        <f aca="false">VLOOKUP(B459,'Team Data'!$A$1:$P$133,2,FALSE())</f>
        <v>7</v>
      </c>
      <c r="P459" s="0" t="n">
        <f aca="false">VLOOKUP(B459,'Team Data'!$A$1:$P$133,3,FALSE())</f>
        <v>6</v>
      </c>
      <c r="Q459" s="0" t="n">
        <f aca="false">VLOOKUP(A459,'Team Data'!$A$1:$P$133,4,FALSE())</f>
        <v>83</v>
      </c>
      <c r="R459" s="0" t="n">
        <f aca="false">VLOOKUP(A459,'Team Data'!$A$1:$P$133,5,FALSE())</f>
        <v>84</v>
      </c>
      <c r="S459" s="0" t="n">
        <f aca="false">VLOOKUP(B459,'Team Data'!$A$1:$P$133,4,FALSE())</f>
        <v>89</v>
      </c>
      <c r="T459" s="0" t="n">
        <f aca="false">VLOOKUP(B459,'Team Data'!$A$1:$P$133,5,FALSE())</f>
        <v>186</v>
      </c>
      <c r="U459" s="0" t="n">
        <f aca="false">IF(K459=1,(MIN(35,(C459-D459)))*(O459/(O459+P459))*(S459/(S459+T459)),(MAX(-35,(C459-D459)))*(IF(P459=0,0.1,(P459/(O459+P459))))*(T459/(S459+T459)))</f>
        <v>0.174265734265734</v>
      </c>
      <c r="V459" s="0" t="n">
        <f aca="false">IF(L459=1,(MIN(35,(D459-C459)))*(M459/(M459+N459))*(Q459/(Q459+R459)),(MAX(-35,(D459-C459)))*(IF(N459=0,0.1,(N459/(M459+N459))))*(R459/(R459+Q459)))</f>
        <v>-0.193459235375403</v>
      </c>
    </row>
    <row r="460" customFormat="false" ht="15" hidden="false" customHeight="false" outlineLevel="0" collapsed="false">
      <c r="A460" s="0" t="s">
        <v>32</v>
      </c>
      <c r="B460" s="0" t="s">
        <v>112</v>
      </c>
      <c r="C460" s="0" t="n">
        <v>9</v>
      </c>
      <c r="D460" s="0" t="n">
        <v>24</v>
      </c>
      <c r="E460" s="0" t="n">
        <v>131</v>
      </c>
      <c r="F460" s="0" t="n">
        <v>41</v>
      </c>
      <c r="G460" s="0" t="n">
        <v>288</v>
      </c>
      <c r="H460" s="0" t="n">
        <v>350</v>
      </c>
      <c r="I460" s="0" t="n">
        <v>2</v>
      </c>
      <c r="J460" s="0" t="n">
        <v>0</v>
      </c>
      <c r="K460" s="0" t="n">
        <v>0</v>
      </c>
      <c r="L460" s="0" t="n">
        <v>1</v>
      </c>
      <c r="M460" s="0" t="n">
        <f aca="false">VLOOKUP(A460,'Team Data'!$A$1:$P$133,2,FALSE())</f>
        <v>8</v>
      </c>
      <c r="N460" s="0" t="n">
        <f aca="false">VLOOKUP(A460,'Team Data'!$A$1:$P$133,3,FALSE())</f>
        <v>5</v>
      </c>
      <c r="O460" s="0" t="n">
        <f aca="false">VLOOKUP(B460,'Team Data'!$A$1:$P$133,2,FALSE())</f>
        <v>12</v>
      </c>
      <c r="P460" s="0" t="n">
        <f aca="false">VLOOKUP(B460,'Team Data'!$A$1:$P$133,3,FALSE())</f>
        <v>2</v>
      </c>
      <c r="Q460" s="0" t="n">
        <f aca="false">VLOOKUP(A460,'Team Data'!$A$1:$P$133,4,FALSE())</f>
        <v>89</v>
      </c>
      <c r="R460" s="0" t="n">
        <f aca="false">VLOOKUP(A460,'Team Data'!$A$1:$P$133,5,FALSE())</f>
        <v>185</v>
      </c>
      <c r="S460" s="0" t="n">
        <f aca="false">VLOOKUP(B460,'Team Data'!$A$1:$P$133,4,FALSE())</f>
        <v>100</v>
      </c>
      <c r="T460" s="0" t="n">
        <f aca="false">VLOOKUP(B460,'Team Data'!$A$1:$P$133,5,FALSE())</f>
        <v>190</v>
      </c>
      <c r="U460" s="0" t="n">
        <f aca="false">IF(K460=1,(MIN(35,(C460-D460)))*(O460/(O460+P460))*(S460/(S460+T460)),(MAX(-35,(C460-D460)))*(IF(P460=0,0.1,(P460/(O460+P460))))*(T460/(S460+T460)))</f>
        <v>-1.40394088669951</v>
      </c>
      <c r="V460" s="0" t="n">
        <f aca="false">IF(L460=1,(MIN(35,(D460-C460)))*(M460/(M460+N460))*(Q460/(Q460+R460)),(MAX(-35,(D460-C460)))*(IF(N460=0,0.1,(N460/(M460+N460))))*(R460/(R460+Q460)))</f>
        <v>2.99831555306008</v>
      </c>
    </row>
    <row r="461" customFormat="false" ht="15" hidden="false" customHeight="false" outlineLevel="0" collapsed="false">
      <c r="A461" s="0" t="s">
        <v>113</v>
      </c>
      <c r="B461" s="0" t="s">
        <v>72</v>
      </c>
      <c r="C461" s="0" t="n">
        <v>21</v>
      </c>
      <c r="D461" s="0" t="n">
        <v>53</v>
      </c>
      <c r="E461" s="0" t="n">
        <v>25</v>
      </c>
      <c r="F461" s="0" t="n">
        <v>455</v>
      </c>
      <c r="G461" s="0" t="n">
        <v>284</v>
      </c>
      <c r="H461" s="0" t="n">
        <v>35</v>
      </c>
      <c r="I461" s="0" t="n">
        <v>4</v>
      </c>
      <c r="J461" s="0" t="n">
        <v>1</v>
      </c>
      <c r="K461" s="0" t="n">
        <v>0</v>
      </c>
      <c r="L461" s="0" t="n">
        <v>1</v>
      </c>
      <c r="M461" s="0" t="n">
        <f aca="false">VLOOKUP(A461,'Team Data'!$A$1:$P$133,2,FALSE())</f>
        <v>5</v>
      </c>
      <c r="N461" s="0" t="n">
        <f aca="false">VLOOKUP(A461,'Team Data'!$A$1:$P$133,3,FALSE())</f>
        <v>7</v>
      </c>
      <c r="O461" s="0" t="n">
        <f aca="false">VLOOKUP(B461,'Team Data'!$A$1:$P$133,2,FALSE())</f>
        <v>4</v>
      </c>
      <c r="P461" s="0" t="n">
        <f aca="false">VLOOKUP(B461,'Team Data'!$A$1:$P$133,3,FALSE())</f>
        <v>8</v>
      </c>
      <c r="Q461" s="0" t="n">
        <f aca="false">VLOOKUP(A461,'Team Data'!$A$1:$P$133,4,FALSE())</f>
        <v>77</v>
      </c>
      <c r="R461" s="0" t="n">
        <f aca="false">VLOOKUP(A461,'Team Data'!$A$1:$P$133,5,FALSE())</f>
        <v>183</v>
      </c>
      <c r="S461" s="0" t="n">
        <f aca="false">VLOOKUP(B461,'Team Data'!$A$1:$P$133,4,FALSE())</f>
        <v>89</v>
      </c>
      <c r="T461" s="0" t="n">
        <f aca="false">VLOOKUP(B461,'Team Data'!$A$1:$P$133,5,FALSE())</f>
        <v>172</v>
      </c>
      <c r="U461" s="0" t="n">
        <f aca="false">IF(K461=1,(MIN(35,(C461-D461)))*(O461/(O461+P461))*(S461/(S461+T461)),(MAX(-35,(C461-D461)))*(IF(P461=0,0.1,(P461/(O461+P461))))*(T461/(S461+T461)))</f>
        <v>-14.058748403576</v>
      </c>
      <c r="V461" s="0" t="n">
        <f aca="false">IF(L461=1,(MIN(35,(D461-C461)))*(M461/(M461+N461))*(Q461/(Q461+R461)),(MAX(-35,(D461-C461)))*(IF(N461=0,0.1,(N461/(M461+N461))))*(R461/(R461+Q461)))</f>
        <v>3.94871794871795</v>
      </c>
    </row>
    <row r="462" customFormat="false" ht="15" hidden="false" customHeight="false" outlineLevel="0" collapsed="false">
      <c r="A462" s="0" t="s">
        <v>121</v>
      </c>
      <c r="B462" s="0" t="s">
        <v>26</v>
      </c>
      <c r="C462" s="0" t="n">
        <v>24</v>
      </c>
      <c r="D462" s="0" t="n">
        <v>28</v>
      </c>
      <c r="E462" s="0" t="n">
        <v>224</v>
      </c>
      <c r="F462" s="0" t="n">
        <v>221</v>
      </c>
      <c r="G462" s="0" t="n">
        <v>139</v>
      </c>
      <c r="H462" s="0" t="n">
        <v>193</v>
      </c>
      <c r="I462" s="0" t="n">
        <v>0</v>
      </c>
      <c r="J462" s="0" t="n">
        <v>2</v>
      </c>
      <c r="K462" s="0" t="n">
        <v>0</v>
      </c>
      <c r="L462" s="0" t="n">
        <v>1</v>
      </c>
      <c r="M462" s="0" t="n">
        <f aca="false">VLOOKUP(A462,'Team Data'!$A$1:$P$133,2,FALSE())</f>
        <v>1</v>
      </c>
      <c r="N462" s="0" t="n">
        <f aca="false">VLOOKUP(A462,'Team Data'!$A$1:$P$133,3,FALSE())</f>
        <v>11</v>
      </c>
      <c r="O462" s="0" t="n">
        <f aca="false">VLOOKUP(B462,'Team Data'!$A$1:$P$133,2,FALSE())</f>
        <v>9</v>
      </c>
      <c r="P462" s="0" t="n">
        <f aca="false">VLOOKUP(B462,'Team Data'!$A$1:$P$133,3,FALSE())</f>
        <v>4</v>
      </c>
      <c r="Q462" s="0" t="n">
        <f aca="false">VLOOKUP(A462,'Team Data'!$A$1:$P$133,4,FALSE())</f>
        <v>91</v>
      </c>
      <c r="R462" s="0" t="n">
        <f aca="false">VLOOKUP(A462,'Team Data'!$A$1:$P$133,5,FALSE())</f>
        <v>172</v>
      </c>
      <c r="S462" s="0" t="n">
        <f aca="false">VLOOKUP(B462,'Team Data'!$A$1:$P$133,4,FALSE())</f>
        <v>82</v>
      </c>
      <c r="T462" s="0" t="n">
        <f aca="false">VLOOKUP(B462,'Team Data'!$A$1:$P$133,5,FALSE())</f>
        <v>191</v>
      </c>
      <c r="U462" s="0" t="n">
        <f aca="false">IF(K462=1,(MIN(35,(C462-D462)))*(O462/(O462+P462))*(S462/(S462+T462)),(MAX(-35,(C462-D462)))*(IF(P462=0,0.1,(P462/(O462+P462))))*(T462/(S462+T462)))</f>
        <v>-0.8610876303184</v>
      </c>
      <c r="V462" s="0" t="n">
        <f aca="false">IF(L462=1,(MIN(35,(D462-C462)))*(M462/(M462+N462))*(Q462/(Q462+R462)),(MAX(-35,(D462-C462)))*(IF(N462=0,0.1,(N462/(M462+N462))))*(R462/(R462+Q462)))</f>
        <v>0.115335868187579</v>
      </c>
    </row>
    <row r="463" customFormat="false" ht="15" hidden="false" customHeight="false" outlineLevel="0" collapsed="false">
      <c r="A463" s="0" t="s">
        <v>17</v>
      </c>
      <c r="B463" s="0" t="s">
        <v>24</v>
      </c>
      <c r="C463" s="0" t="n">
        <v>17</v>
      </c>
      <c r="D463" s="0" t="n">
        <v>16</v>
      </c>
      <c r="E463" s="0" t="n">
        <v>114</v>
      </c>
      <c r="F463" s="0" t="n">
        <v>130</v>
      </c>
      <c r="G463" s="0" t="n">
        <v>122</v>
      </c>
      <c r="H463" s="0" t="n">
        <v>210</v>
      </c>
      <c r="I463" s="0" t="n">
        <v>2</v>
      </c>
      <c r="J463" s="0" t="n">
        <v>2</v>
      </c>
      <c r="K463" s="0" t="n">
        <v>1</v>
      </c>
      <c r="L463" s="0" t="n">
        <v>0</v>
      </c>
      <c r="M463" s="0" t="n">
        <f aca="false">VLOOKUP(A463,'Team Data'!$A$1:$P$133,2,FALSE())</f>
        <v>5</v>
      </c>
      <c r="N463" s="0" t="n">
        <f aca="false">VLOOKUP(A463,'Team Data'!$A$1:$P$133,3,FALSE())</f>
        <v>7</v>
      </c>
      <c r="O463" s="0" t="n">
        <f aca="false">VLOOKUP(B463,'Team Data'!$A$1:$P$133,2,FALSE())</f>
        <v>4</v>
      </c>
      <c r="P463" s="0" t="n">
        <f aca="false">VLOOKUP(B463,'Team Data'!$A$1:$P$133,3,FALSE())</f>
        <v>8</v>
      </c>
      <c r="Q463" s="0" t="n">
        <f aca="false">VLOOKUP(A463,'Team Data'!$A$1:$P$133,4,FALSE())</f>
        <v>82</v>
      </c>
      <c r="R463" s="0" t="n">
        <f aca="false">VLOOKUP(A463,'Team Data'!$A$1:$P$133,5,FALSE())</f>
        <v>179</v>
      </c>
      <c r="S463" s="0" t="n">
        <f aca="false">VLOOKUP(B463,'Team Data'!$A$1:$P$133,4,FALSE())</f>
        <v>82</v>
      </c>
      <c r="T463" s="0" t="n">
        <f aca="false">VLOOKUP(B463,'Team Data'!$A$1:$P$133,5,FALSE())</f>
        <v>178</v>
      </c>
      <c r="U463" s="0" t="n">
        <f aca="false">IF(K463=1,(MIN(35,(C463-D463)))*(O463/(O463+P463))*(S463/(S463+T463)),(MAX(-35,(C463-D463)))*(IF(P463=0,0.1,(P463/(O463+P463))))*(T463/(S463+T463)))</f>
        <v>0.105128205128205</v>
      </c>
      <c r="V463" s="0" t="n">
        <f aca="false">IF(L463=1,(MIN(35,(D463-C463)))*(M463/(M463+N463))*(Q463/(Q463+R463)),(MAX(-35,(D463-C463)))*(IF(N463=0,0.1,(N463/(M463+N463))))*(R463/(R463+Q463)))</f>
        <v>-0.400063856960409</v>
      </c>
    </row>
    <row r="464" customFormat="false" ht="15" hidden="false" customHeight="false" outlineLevel="0" collapsed="false">
      <c r="A464" s="0" t="s">
        <v>33</v>
      </c>
      <c r="B464" s="0" t="s">
        <v>134</v>
      </c>
      <c r="C464" s="0" t="n">
        <v>45</v>
      </c>
      <c r="D464" s="0" t="n">
        <v>23</v>
      </c>
      <c r="E464" s="0" t="n">
        <v>120</v>
      </c>
      <c r="F464" s="0" t="n">
        <v>91</v>
      </c>
      <c r="G464" s="0" t="n">
        <v>293</v>
      </c>
      <c r="H464" s="0" t="n">
        <v>208</v>
      </c>
      <c r="I464" s="0" t="n">
        <v>1</v>
      </c>
      <c r="J464" s="0" t="n">
        <v>1</v>
      </c>
      <c r="K464" s="0" t="n">
        <v>1</v>
      </c>
      <c r="L464" s="0" t="n">
        <v>0</v>
      </c>
      <c r="M464" s="0" t="n">
        <f aca="false">VLOOKUP(A464,'Team Data'!$A$1:$P$133,2,FALSE())</f>
        <v>9</v>
      </c>
      <c r="N464" s="0" t="n">
        <f aca="false">VLOOKUP(A464,'Team Data'!$A$1:$P$133,3,FALSE())</f>
        <v>4</v>
      </c>
      <c r="O464" s="0" t="n">
        <f aca="false">VLOOKUP(B464,'Team Data'!$A$1:$P$133,2,FALSE())</f>
        <v>5</v>
      </c>
      <c r="P464" s="0" t="n">
        <f aca="false">VLOOKUP(B464,'Team Data'!$A$1:$P$133,3,FALSE())</f>
        <v>7</v>
      </c>
      <c r="Q464" s="0" t="n">
        <f aca="false">VLOOKUP(A464,'Team Data'!$A$1:$P$133,4,FALSE())</f>
        <v>65</v>
      </c>
      <c r="R464" s="0" t="n">
        <f aca="false">VLOOKUP(A464,'Team Data'!$A$1:$P$133,5,FALSE())</f>
        <v>203</v>
      </c>
      <c r="S464" s="0" t="n">
        <f aca="false">VLOOKUP(B464,'Team Data'!$A$1:$P$133,4,FALSE())</f>
        <v>81</v>
      </c>
      <c r="T464" s="0" t="n">
        <f aca="false">VLOOKUP(B464,'Team Data'!$A$1:$P$133,5,FALSE())</f>
        <v>179</v>
      </c>
      <c r="U464" s="0" t="n">
        <f aca="false">IF(K464=1,(MIN(35,(C464-D464)))*(O464/(O464+P464))*(S464/(S464+T464)),(MAX(-35,(C464-D464)))*(IF(P464=0,0.1,(P464/(O464+P464))))*(T464/(S464+T464)))</f>
        <v>2.85576923076923</v>
      </c>
      <c r="V464" s="0" t="n">
        <f aca="false">IF(L464=1,(MIN(35,(D464-C464)))*(M464/(M464+N464))*(Q464/(Q464+R464)),(MAX(-35,(D464-C464)))*(IF(N464=0,0.1,(N464/(M464+N464))))*(R464/(R464+Q464)))</f>
        <v>-5.12743972445465</v>
      </c>
    </row>
    <row r="465" customFormat="false" ht="15" hidden="false" customHeight="false" outlineLevel="0" collapsed="false">
      <c r="A465" s="0" t="s">
        <v>110</v>
      </c>
      <c r="B465" s="0" t="s">
        <v>79</v>
      </c>
      <c r="C465" s="0" t="n">
        <v>52</v>
      </c>
      <c r="D465" s="0" t="n">
        <v>32</v>
      </c>
      <c r="E465" s="0" t="n">
        <v>159</v>
      </c>
      <c r="F465" s="0" t="n">
        <v>140</v>
      </c>
      <c r="G465" s="0" t="n">
        <v>190</v>
      </c>
      <c r="H465" s="0" t="n">
        <v>284</v>
      </c>
      <c r="I465" s="0" t="n">
        <v>0</v>
      </c>
      <c r="J465" s="0" t="n">
        <v>4</v>
      </c>
      <c r="K465" s="0" t="n">
        <v>1</v>
      </c>
      <c r="L465" s="0" t="n">
        <v>0</v>
      </c>
      <c r="M465" s="0" t="n">
        <f aca="false">VLOOKUP(A465,'Team Data'!$A$1:$P$133,2,FALSE())</f>
        <v>9</v>
      </c>
      <c r="N465" s="0" t="n">
        <f aca="false">VLOOKUP(A465,'Team Data'!$A$1:$P$133,3,FALSE())</f>
        <v>5</v>
      </c>
      <c r="O465" s="0" t="n">
        <f aca="false">VLOOKUP(B465,'Team Data'!$A$1:$P$133,2,FALSE())</f>
        <v>3</v>
      </c>
      <c r="P465" s="0" t="n">
        <f aca="false">VLOOKUP(B465,'Team Data'!$A$1:$P$133,3,FALSE())</f>
        <v>9</v>
      </c>
      <c r="Q465" s="0" t="n">
        <f aca="false">VLOOKUP(A465,'Team Data'!$A$1:$P$133,4,FALSE())</f>
        <v>89</v>
      </c>
      <c r="R465" s="0" t="n">
        <f aca="false">VLOOKUP(A465,'Team Data'!$A$1:$P$133,5,FALSE())</f>
        <v>195</v>
      </c>
      <c r="S465" s="0" t="n">
        <f aca="false">VLOOKUP(B465,'Team Data'!$A$1:$P$133,4,FALSE())</f>
        <v>75</v>
      </c>
      <c r="T465" s="0" t="n">
        <f aca="false">VLOOKUP(B465,'Team Data'!$A$1:$P$133,5,FALSE())</f>
        <v>184</v>
      </c>
      <c r="U465" s="0" t="n">
        <f aca="false">IF(K465=1,(MIN(35,(C465-D465)))*(O465/(O465+P465))*(S465/(S465+T465)),(MAX(-35,(C465-D465)))*(IF(P465=0,0.1,(P465/(O465+P465))))*(T465/(S465+T465)))</f>
        <v>1.44787644787645</v>
      </c>
      <c r="V465" s="0" t="n">
        <f aca="false">IF(L465=1,(MIN(35,(D465-C465)))*(M465/(M465+N465))*(Q465/(Q465+R465)),(MAX(-35,(D465-C465)))*(IF(N465=0,0.1,(N465/(M465+N465))))*(R465/(R465+Q465)))</f>
        <v>-4.90442655935614</v>
      </c>
    </row>
    <row r="466" customFormat="false" ht="15" hidden="false" customHeight="false" outlineLevel="0" collapsed="false">
      <c r="A466" s="0" t="s">
        <v>7</v>
      </c>
      <c r="B466" s="0" t="s">
        <v>82</v>
      </c>
      <c r="C466" s="0" t="n">
        <v>34</v>
      </c>
      <c r="D466" s="0" t="n">
        <v>55</v>
      </c>
      <c r="E466" s="0" t="n">
        <v>60</v>
      </c>
      <c r="F466" s="0" t="n">
        <v>134</v>
      </c>
      <c r="G466" s="0" t="n">
        <v>413</v>
      </c>
      <c r="H466" s="0" t="n">
        <v>427</v>
      </c>
      <c r="I466" s="0" t="n">
        <v>2</v>
      </c>
      <c r="J466" s="0" t="n">
        <v>0</v>
      </c>
      <c r="K466" s="0" t="n">
        <v>0</v>
      </c>
      <c r="L466" s="0" t="n">
        <v>1</v>
      </c>
      <c r="M466" s="0" t="n">
        <f aca="false">VLOOKUP(A466,'Team Data'!$A$1:$P$133,2,FALSE())</f>
        <v>2</v>
      </c>
      <c r="N466" s="0" t="n">
        <f aca="false">VLOOKUP(A466,'Team Data'!$A$1:$P$133,3,FALSE())</f>
        <v>10</v>
      </c>
      <c r="O466" s="0" t="n">
        <f aca="false">VLOOKUP(B466,'Team Data'!$A$1:$P$133,2,FALSE())</f>
        <v>10</v>
      </c>
      <c r="P466" s="0" t="n">
        <f aca="false">VLOOKUP(B466,'Team Data'!$A$1:$P$133,3,FALSE())</f>
        <v>4</v>
      </c>
      <c r="Q466" s="0" t="n">
        <f aca="false">VLOOKUP(A466,'Team Data'!$A$1:$P$133,4,FALSE())</f>
        <v>82</v>
      </c>
      <c r="R466" s="0" t="n">
        <f aca="false">VLOOKUP(A466,'Team Data'!$A$1:$P$133,5,FALSE())</f>
        <v>178</v>
      </c>
      <c r="S466" s="0" t="n">
        <f aca="false">VLOOKUP(B466,'Team Data'!$A$1:$P$133,4,FALSE())</f>
        <v>83</v>
      </c>
      <c r="T466" s="0" t="n">
        <f aca="false">VLOOKUP(B466,'Team Data'!$A$1:$P$133,5,FALSE())</f>
        <v>200</v>
      </c>
      <c r="U466" s="0" t="n">
        <f aca="false">IF(K466=1,(MIN(35,(C466-D466)))*(O466/(O466+P466))*(S466/(S466+T466)),(MAX(-35,(C466-D466)))*(IF(P466=0,0.1,(P466/(O466+P466))))*(T466/(S466+T466)))</f>
        <v>-4.24028268551237</v>
      </c>
      <c r="V466" s="0" t="n">
        <f aca="false">IF(L466=1,(MIN(35,(D466-C466)))*(M466/(M466+N466))*(Q466/(Q466+R466)),(MAX(-35,(D466-C466)))*(IF(N466=0,0.1,(N466/(M466+N466))))*(R466/(R466+Q466)))</f>
        <v>1.10384615384615</v>
      </c>
    </row>
    <row r="467" customFormat="false" ht="15" hidden="false" customHeight="false" outlineLevel="0" collapsed="false">
      <c r="A467" s="0" t="s">
        <v>22</v>
      </c>
      <c r="B467" s="0" t="s">
        <v>21</v>
      </c>
      <c r="C467" s="0" t="n">
        <v>38</v>
      </c>
      <c r="D467" s="0" t="n">
        <v>7</v>
      </c>
      <c r="E467" s="0" t="n">
        <v>280</v>
      </c>
      <c r="F467" s="0" t="n">
        <v>99</v>
      </c>
      <c r="G467" s="0" t="n">
        <v>186</v>
      </c>
      <c r="H467" s="0" t="n">
        <v>281</v>
      </c>
      <c r="I467" s="0" t="n">
        <v>1</v>
      </c>
      <c r="J467" s="0" t="n">
        <v>4</v>
      </c>
      <c r="K467" s="0" t="n">
        <v>1</v>
      </c>
      <c r="L467" s="0" t="n">
        <v>0</v>
      </c>
      <c r="M467" s="0" t="n">
        <f aca="false">VLOOKUP(A467,'Team Data'!$A$1:$P$133,2,FALSE())</f>
        <v>7</v>
      </c>
      <c r="N467" s="0" t="n">
        <f aca="false">VLOOKUP(A467,'Team Data'!$A$1:$P$133,3,FALSE())</f>
        <v>6</v>
      </c>
      <c r="O467" s="0" t="n">
        <f aca="false">VLOOKUP(B467,'Team Data'!$A$1:$P$133,2,FALSE())</f>
        <v>6</v>
      </c>
      <c r="P467" s="0" t="n">
        <f aca="false">VLOOKUP(B467,'Team Data'!$A$1:$P$133,3,FALSE())</f>
        <v>7</v>
      </c>
      <c r="Q467" s="0" t="n">
        <f aca="false">VLOOKUP(A467,'Team Data'!$A$1:$P$133,4,FALSE())</f>
        <v>83</v>
      </c>
      <c r="R467" s="0" t="n">
        <f aca="false">VLOOKUP(A467,'Team Data'!$A$1:$P$133,5,FALSE())</f>
        <v>191</v>
      </c>
      <c r="S467" s="0" t="n">
        <f aca="false">VLOOKUP(B467,'Team Data'!$A$1:$P$133,4,FALSE())</f>
        <v>90</v>
      </c>
      <c r="T467" s="0" t="n">
        <f aca="false">VLOOKUP(B467,'Team Data'!$A$1:$P$133,5,FALSE())</f>
        <v>184</v>
      </c>
      <c r="U467" s="0" t="n">
        <f aca="false">IF(K467=1,(MIN(35,(C467-D467)))*(O467/(O467+P467))*(S467/(S467+T467)),(MAX(-35,(C467-D467)))*(IF(P467=0,0.1,(P467/(O467+P467))))*(T467/(S467+T467)))</f>
        <v>4.69960696238069</v>
      </c>
      <c r="V467" s="0" t="n">
        <f aca="false">IF(L467=1,(MIN(35,(D467-C467)))*(M467/(M467+N467))*(Q467/(Q467+R467)),(MAX(-35,(D467-C467)))*(IF(N467=0,0.1,(N467/(M467+N467))))*(R467/(R467+Q467)))</f>
        <v>-9.97361033127457</v>
      </c>
    </row>
    <row r="468" customFormat="false" ht="15" hidden="false" customHeight="false" outlineLevel="0" collapsed="false">
      <c r="A468" s="0" t="s">
        <v>52</v>
      </c>
      <c r="B468" s="0" t="s">
        <v>64</v>
      </c>
      <c r="C468" s="0" t="n">
        <v>24</v>
      </c>
      <c r="D468" s="0" t="n">
        <v>27</v>
      </c>
      <c r="E468" s="0" t="n">
        <v>109</v>
      </c>
      <c r="F468" s="0" t="n">
        <v>236</v>
      </c>
      <c r="G468" s="0" t="n">
        <v>306</v>
      </c>
      <c r="H468" s="0" t="n">
        <v>179</v>
      </c>
      <c r="I468" s="0" t="n">
        <v>1</v>
      </c>
      <c r="J468" s="0" t="n">
        <v>1</v>
      </c>
      <c r="K468" s="0" t="n">
        <v>0</v>
      </c>
      <c r="L468" s="0" t="n">
        <v>1</v>
      </c>
      <c r="M468" s="0" t="n">
        <f aca="false">VLOOKUP(A468,'Team Data'!$A$1:$P$133,2,FALSE())</f>
        <v>5</v>
      </c>
      <c r="N468" s="0" t="n">
        <f aca="false">VLOOKUP(A468,'Team Data'!$A$1:$P$133,3,FALSE())</f>
        <v>7</v>
      </c>
      <c r="O468" s="0" t="n">
        <f aca="false">VLOOKUP(B468,'Team Data'!$A$1:$P$133,2,FALSE())</f>
        <v>6</v>
      </c>
      <c r="P468" s="0" t="n">
        <f aca="false">VLOOKUP(B468,'Team Data'!$A$1:$P$133,3,FALSE())</f>
        <v>7</v>
      </c>
      <c r="Q468" s="0" t="n">
        <f aca="false">VLOOKUP(A468,'Team Data'!$A$1:$P$133,4,FALSE())</f>
        <v>94</v>
      </c>
      <c r="R468" s="0" t="n">
        <f aca="false">VLOOKUP(A468,'Team Data'!$A$1:$P$133,5,FALSE())</f>
        <v>171</v>
      </c>
      <c r="S468" s="0" t="n">
        <f aca="false">VLOOKUP(B468,'Team Data'!$A$1:$P$133,4,FALSE())</f>
        <v>75</v>
      </c>
      <c r="T468" s="0" t="n">
        <f aca="false">VLOOKUP(B468,'Team Data'!$A$1:$P$133,5,FALSE())</f>
        <v>196</v>
      </c>
      <c r="U468" s="0" t="n">
        <f aca="false">IF(K468=1,(MIN(35,(C468-D468)))*(O468/(O468+P468))*(S468/(S468+T468)),(MAX(-35,(C468-D468)))*(IF(P468=0,0.1,(P468/(O468+P468))))*(T468/(S468+T468)))</f>
        <v>-1.16832245245529</v>
      </c>
      <c r="V468" s="0" t="n">
        <f aca="false">IF(L468=1,(MIN(35,(D468-C468)))*(M468/(M468+N468))*(Q468/(Q468+R468)),(MAX(-35,(D468-C468)))*(IF(N468=0,0.1,(N468/(M468+N468))))*(R468/(R468+Q468)))</f>
        <v>0.443396226415094</v>
      </c>
    </row>
    <row r="469" customFormat="false" ht="15" hidden="false" customHeight="false" outlineLevel="0" collapsed="false">
      <c r="A469" s="0" t="s">
        <v>40</v>
      </c>
      <c r="B469" s="0" t="s">
        <v>41</v>
      </c>
      <c r="C469" s="0" t="n">
        <v>33</v>
      </c>
      <c r="D469" s="0" t="n">
        <v>41</v>
      </c>
      <c r="E469" s="0" t="n">
        <v>92</v>
      </c>
      <c r="F469" s="0" t="n">
        <v>335</v>
      </c>
      <c r="G469" s="0" t="n">
        <v>357</v>
      </c>
      <c r="H469" s="0" t="n">
        <v>186</v>
      </c>
      <c r="I469" s="0" t="n">
        <v>5</v>
      </c>
      <c r="J469" s="0" t="n">
        <v>2</v>
      </c>
      <c r="K469" s="0" t="n">
        <v>0</v>
      </c>
      <c r="L469" s="0" t="n">
        <v>1</v>
      </c>
      <c r="M469" s="0" t="n">
        <f aca="false">VLOOKUP(A469,'Team Data'!$A$1:$P$133,2,FALSE())</f>
        <v>6</v>
      </c>
      <c r="N469" s="0" t="n">
        <f aca="false">VLOOKUP(A469,'Team Data'!$A$1:$P$133,3,FALSE())</f>
        <v>7</v>
      </c>
      <c r="O469" s="0" t="n">
        <f aca="false">VLOOKUP(B469,'Team Data'!$A$1:$P$133,2,FALSE())</f>
        <v>4</v>
      </c>
      <c r="P469" s="0" t="n">
        <f aca="false">VLOOKUP(B469,'Team Data'!$A$1:$P$133,3,FALSE())</f>
        <v>8</v>
      </c>
      <c r="Q469" s="0" t="n">
        <f aca="false">VLOOKUP(A469,'Team Data'!$A$1:$P$133,4,FALSE())</f>
        <v>86</v>
      </c>
      <c r="R469" s="0" t="n">
        <f aca="false">VLOOKUP(A469,'Team Data'!$A$1:$P$133,5,FALSE())</f>
        <v>183</v>
      </c>
      <c r="S469" s="0" t="n">
        <f aca="false">VLOOKUP(B469,'Team Data'!$A$1:$P$133,4,FALSE())</f>
        <v>78</v>
      </c>
      <c r="T469" s="0" t="n">
        <f aca="false">VLOOKUP(B469,'Team Data'!$A$1:$P$133,5,FALSE())</f>
        <v>72</v>
      </c>
      <c r="U469" s="0" t="n">
        <f aca="false">IF(K469=1,(MIN(35,(C469-D469)))*(O469/(O469+P469))*(S469/(S469+T469)),(MAX(-35,(C469-D469)))*(IF(P469=0,0.1,(P469/(O469+P469))))*(T469/(S469+T469)))</f>
        <v>-2.56</v>
      </c>
      <c r="V469" s="0" t="n">
        <f aca="false">IF(L469=1,(MIN(35,(D469-C469)))*(M469/(M469+N469))*(Q469/(Q469+R469)),(MAX(-35,(D469-C469)))*(IF(N469=0,0.1,(N469/(M469+N469))))*(R469/(R469+Q469)))</f>
        <v>1.1804403774664</v>
      </c>
    </row>
    <row r="470" customFormat="false" ht="15" hidden="false" customHeight="false" outlineLevel="0" collapsed="false">
      <c r="A470" s="0" t="s">
        <v>49</v>
      </c>
      <c r="B470" s="0" t="s">
        <v>13</v>
      </c>
      <c r="C470" s="0" t="n">
        <v>42</v>
      </c>
      <c r="D470" s="0" t="n">
        <v>20</v>
      </c>
      <c r="E470" s="0" t="n">
        <v>204</v>
      </c>
      <c r="F470" s="0" t="n">
        <v>20</v>
      </c>
      <c r="G470" s="0" t="n">
        <v>394</v>
      </c>
      <c r="H470" s="0" t="n">
        <v>247</v>
      </c>
      <c r="I470" s="0" t="n">
        <v>0</v>
      </c>
      <c r="J470" s="0" t="n">
        <v>1</v>
      </c>
      <c r="K470" s="0" t="n">
        <v>1</v>
      </c>
      <c r="L470" s="0" t="n">
        <v>0</v>
      </c>
      <c r="M470" s="0" t="n">
        <f aca="false">VLOOKUP(A470,'Team Data'!$A$1:$P$133,2,FALSE())</f>
        <v>8</v>
      </c>
      <c r="N470" s="0" t="n">
        <f aca="false">VLOOKUP(A470,'Team Data'!$A$1:$P$133,3,FALSE())</f>
        <v>3</v>
      </c>
      <c r="O470" s="0" t="n">
        <f aca="false">VLOOKUP(B470,'Team Data'!$A$1:$P$133,2,FALSE())</f>
        <v>3</v>
      </c>
      <c r="P470" s="0" t="n">
        <f aca="false">VLOOKUP(B470,'Team Data'!$A$1:$P$133,3,FALSE())</f>
        <v>9</v>
      </c>
      <c r="Q470" s="0" t="n">
        <f aca="false">VLOOKUP(A470,'Team Data'!$A$1:$P$133,4,FALSE())</f>
        <v>68</v>
      </c>
      <c r="R470" s="0" t="n">
        <f aca="false">VLOOKUP(A470,'Team Data'!$A$1:$P$133,5,FALSE())</f>
        <v>177</v>
      </c>
      <c r="S470" s="0" t="n">
        <f aca="false">VLOOKUP(B470,'Team Data'!$A$1:$P$133,4,FALSE())</f>
        <v>81</v>
      </c>
      <c r="T470" s="0" t="n">
        <f aca="false">VLOOKUP(B470,'Team Data'!$A$1:$P$133,5,FALSE())</f>
        <v>177</v>
      </c>
      <c r="U470" s="0" t="n">
        <f aca="false">IF(K470=1,(MIN(35,(C470-D470)))*(O470/(O470+P470))*(S470/(S470+T470)),(MAX(-35,(C470-D470)))*(IF(P470=0,0.1,(P470/(O470+P470))))*(T470/(S470+T470)))</f>
        <v>1.72674418604651</v>
      </c>
      <c r="V470" s="0" t="n">
        <f aca="false">IF(L470=1,(MIN(35,(D470-C470)))*(M470/(M470+N470))*(Q470/(Q470+R470)),(MAX(-35,(D470-C470)))*(IF(N470=0,0.1,(N470/(M470+N470))))*(R470/(R470+Q470)))</f>
        <v>-4.33469387755102</v>
      </c>
    </row>
    <row r="471" customFormat="false" ht="15" hidden="false" customHeight="false" outlineLevel="0" collapsed="false">
      <c r="A471" s="0" t="s">
        <v>28</v>
      </c>
      <c r="B471" s="0" t="s">
        <v>58</v>
      </c>
      <c r="C471" s="0" t="n">
        <v>28</v>
      </c>
      <c r="D471" s="0" t="n">
        <v>21</v>
      </c>
      <c r="E471" s="0" t="n">
        <v>187</v>
      </c>
      <c r="F471" s="0" t="n">
        <v>145</v>
      </c>
      <c r="G471" s="0" t="n">
        <v>246</v>
      </c>
      <c r="H471" s="0" t="n">
        <v>279</v>
      </c>
      <c r="I471" s="0" t="n">
        <v>0</v>
      </c>
      <c r="J471" s="0" t="n">
        <v>2</v>
      </c>
      <c r="K471" s="0" t="n">
        <v>1</v>
      </c>
      <c r="L471" s="0" t="n">
        <v>0</v>
      </c>
      <c r="M471" s="0" t="n">
        <f aca="false">VLOOKUP(A471,'Team Data'!$A$1:$P$133,2,FALSE())</f>
        <v>9</v>
      </c>
      <c r="N471" s="0" t="n">
        <f aca="false">VLOOKUP(A471,'Team Data'!$A$1:$P$133,3,FALSE())</f>
        <v>4</v>
      </c>
      <c r="O471" s="0" t="n">
        <f aca="false">VLOOKUP(B471,'Team Data'!$A$1:$P$133,2,FALSE())</f>
        <v>4</v>
      </c>
      <c r="P471" s="0" t="n">
        <f aca="false">VLOOKUP(B471,'Team Data'!$A$1:$P$133,3,FALSE())</f>
        <v>8</v>
      </c>
      <c r="Q471" s="0" t="n">
        <f aca="false">VLOOKUP(A471,'Team Data'!$A$1:$P$133,4,FALSE())</f>
        <v>88</v>
      </c>
      <c r="R471" s="0" t="n">
        <f aca="false">VLOOKUP(A471,'Team Data'!$A$1:$P$133,5,FALSE())</f>
        <v>182</v>
      </c>
      <c r="S471" s="0" t="n">
        <f aca="false">VLOOKUP(B471,'Team Data'!$A$1:$P$133,4,FALSE())</f>
        <v>88</v>
      </c>
      <c r="T471" s="0" t="n">
        <f aca="false">VLOOKUP(B471,'Team Data'!$A$1:$P$133,5,FALSE())</f>
        <v>172</v>
      </c>
      <c r="U471" s="0" t="n">
        <f aca="false">IF(K471=1,(MIN(35,(C471-D471)))*(O471/(O471+P471))*(S471/(S471+T471)),(MAX(-35,(C471-D471)))*(IF(P471=0,0.1,(P471/(O471+P471))))*(T471/(S471+T471)))</f>
        <v>0.78974358974359</v>
      </c>
      <c r="V471" s="0" t="n">
        <f aca="false">IF(L471=1,(MIN(35,(D471-C471)))*(M471/(M471+N471))*(Q471/(Q471+R471)),(MAX(-35,(D471-C471)))*(IF(N471=0,0.1,(N471/(M471+N471))))*(R471/(R471+Q471)))</f>
        <v>-1.45185185185185</v>
      </c>
    </row>
    <row r="472" customFormat="false" ht="15" hidden="false" customHeight="false" outlineLevel="0" collapsed="false">
      <c r="A472" s="0" t="s">
        <v>9</v>
      </c>
      <c r="B472" s="0" t="s">
        <v>108</v>
      </c>
      <c r="C472" s="0" t="n">
        <v>24</v>
      </c>
      <c r="D472" s="0" t="n">
        <v>36</v>
      </c>
      <c r="E472" s="0" t="n">
        <v>41</v>
      </c>
      <c r="F472" s="0" t="n">
        <v>53</v>
      </c>
      <c r="G472" s="0" t="n">
        <v>395</v>
      </c>
      <c r="H472" s="0" t="n">
        <v>281</v>
      </c>
      <c r="I472" s="0" t="n">
        <v>2</v>
      </c>
      <c r="J472" s="0" t="n">
        <v>1</v>
      </c>
      <c r="K472" s="0" t="n">
        <v>0</v>
      </c>
      <c r="L472" s="0" t="n">
        <v>1</v>
      </c>
      <c r="M472" s="0" t="n">
        <f aca="false">VLOOKUP(A472,'Team Data'!$A$1:$P$133,2,FALSE())</f>
        <v>6</v>
      </c>
      <c r="N472" s="0" t="n">
        <f aca="false">VLOOKUP(A472,'Team Data'!$A$1:$P$133,3,FALSE())</f>
        <v>6</v>
      </c>
      <c r="O472" s="0" t="n">
        <f aca="false">VLOOKUP(B472,'Team Data'!$A$1:$P$133,2,FALSE())</f>
        <v>4</v>
      </c>
      <c r="P472" s="0" t="n">
        <f aca="false">VLOOKUP(B472,'Team Data'!$A$1:$P$133,3,FALSE())</f>
        <v>8</v>
      </c>
      <c r="Q472" s="0" t="n">
        <f aca="false">VLOOKUP(A472,'Team Data'!$A$1:$P$133,4,FALSE())</f>
        <v>85</v>
      </c>
      <c r="R472" s="0" t="n">
        <f aca="false">VLOOKUP(A472,'Team Data'!$A$1:$P$133,5,FALSE())</f>
        <v>281</v>
      </c>
      <c r="S472" s="0" t="n">
        <f aca="false">VLOOKUP(B472,'Team Data'!$A$1:$P$133,4,FALSE())</f>
        <v>76</v>
      </c>
      <c r="T472" s="0" t="n">
        <f aca="false">VLOOKUP(B472,'Team Data'!$A$1:$P$133,5,FALSE())</f>
        <v>181</v>
      </c>
      <c r="U472" s="0" t="n">
        <f aca="false">IF(K472=1,(MIN(35,(C472-D472)))*(O472/(O472+P472))*(S472/(S472+T472)),(MAX(-35,(C472-D472)))*(IF(P472=0,0.1,(P472/(O472+P472))))*(T472/(S472+T472)))</f>
        <v>-5.63424124513619</v>
      </c>
      <c r="V472" s="0" t="n">
        <f aca="false">IF(L472=1,(MIN(35,(D472-C472)))*(M472/(M472+N472))*(Q472/(Q472+R472)),(MAX(-35,(D472-C472)))*(IF(N472=0,0.1,(N472/(M472+N472))))*(R472/(R472+Q472)))</f>
        <v>1.39344262295082</v>
      </c>
    </row>
    <row r="473" customFormat="false" ht="15" hidden="false" customHeight="false" outlineLevel="0" collapsed="false">
      <c r="A473" s="0" t="s">
        <v>100</v>
      </c>
      <c r="B473" s="0" t="s">
        <v>111</v>
      </c>
      <c r="C473" s="0" t="n">
        <v>10</v>
      </c>
      <c r="D473" s="0" t="n">
        <v>27</v>
      </c>
      <c r="E473" s="0" t="n">
        <v>48</v>
      </c>
      <c r="F473" s="0" t="n">
        <v>101</v>
      </c>
      <c r="G473" s="0" t="n">
        <v>157</v>
      </c>
      <c r="H473" s="0" t="n">
        <v>237</v>
      </c>
      <c r="I473" s="0" t="n">
        <v>4</v>
      </c>
      <c r="J473" s="0" t="n">
        <v>2</v>
      </c>
      <c r="K473" s="0" t="n">
        <v>0</v>
      </c>
      <c r="L473" s="0" t="n">
        <v>1</v>
      </c>
      <c r="M473" s="0" t="n">
        <f aca="false">VLOOKUP(A473,'Team Data'!$A$1:$P$133,2,FALSE())</f>
        <v>7</v>
      </c>
      <c r="N473" s="0" t="n">
        <f aca="false">VLOOKUP(A473,'Team Data'!$A$1:$P$133,3,FALSE())</f>
        <v>6</v>
      </c>
      <c r="O473" s="0" t="n">
        <f aca="false">VLOOKUP(B473,'Team Data'!$A$1:$P$133,2,FALSE())</f>
        <v>12</v>
      </c>
      <c r="P473" s="0" t="n">
        <f aca="false">VLOOKUP(B473,'Team Data'!$A$1:$P$133,3,FALSE())</f>
        <v>2</v>
      </c>
      <c r="Q473" s="0" t="n">
        <f aca="false">VLOOKUP(A473,'Team Data'!$A$1:$P$133,4,FALSE())</f>
        <v>90</v>
      </c>
      <c r="R473" s="0" t="n">
        <f aca="false">VLOOKUP(A473,'Team Data'!$A$1:$P$133,5,FALSE())</f>
        <v>183</v>
      </c>
      <c r="S473" s="0" t="n">
        <f aca="false">VLOOKUP(B473,'Team Data'!$A$1:$P$133,4,FALSE())</f>
        <v>100</v>
      </c>
      <c r="T473" s="0" t="n">
        <f aca="false">VLOOKUP(B473,'Team Data'!$A$1:$P$133,5,FALSE())</f>
        <v>186</v>
      </c>
      <c r="U473" s="0" t="n">
        <f aca="false">IF(K473=1,(MIN(35,(C473-D473)))*(O473/(O473+P473))*(S473/(S473+T473)),(MAX(-35,(C473-D473)))*(IF(P473=0,0.1,(P473/(O473+P473))))*(T473/(S473+T473)))</f>
        <v>-1.57942057942058</v>
      </c>
      <c r="V473" s="0" t="n">
        <f aca="false">IF(L473=1,(MIN(35,(D473-C473)))*(M473/(M473+N473))*(Q473/(Q473+R473)),(MAX(-35,(D473-C473)))*(IF(N473=0,0.1,(N473/(M473+N473))))*(R473/(R473+Q473)))</f>
        <v>3.01775147928994</v>
      </c>
    </row>
    <row r="474" customFormat="false" ht="15" hidden="false" customHeight="false" outlineLevel="0" collapsed="false">
      <c r="A474" s="0" t="s">
        <v>117</v>
      </c>
      <c r="B474" s="0" t="s">
        <v>34</v>
      </c>
      <c r="C474" s="0" t="n">
        <v>33</v>
      </c>
      <c r="D474" s="0" t="n">
        <v>12</v>
      </c>
      <c r="E474" s="0" t="n">
        <v>295</v>
      </c>
      <c r="F474" s="0" t="n">
        <v>153</v>
      </c>
      <c r="G474" s="0" t="n">
        <v>107</v>
      </c>
      <c r="H474" s="0" t="n">
        <v>256</v>
      </c>
      <c r="I474" s="0" t="n">
        <v>0</v>
      </c>
      <c r="J474" s="0" t="n">
        <v>3</v>
      </c>
      <c r="K474" s="0" t="n">
        <v>1</v>
      </c>
      <c r="L474" s="0" t="n">
        <v>0</v>
      </c>
      <c r="M474" s="0" t="n">
        <f aca="false">VLOOKUP(A474,'Team Data'!$A$1:$P$133,2,FALSE())</f>
        <v>6</v>
      </c>
      <c r="N474" s="0" t="n">
        <f aca="false">VLOOKUP(A474,'Team Data'!$A$1:$P$133,3,FALSE())</f>
        <v>7</v>
      </c>
      <c r="O474" s="0" t="n">
        <f aca="false">VLOOKUP(B474,'Team Data'!$A$1:$P$133,2,FALSE())</f>
        <v>4</v>
      </c>
      <c r="P474" s="0" t="n">
        <f aca="false">VLOOKUP(B474,'Team Data'!$A$1:$P$133,3,FALSE())</f>
        <v>8</v>
      </c>
      <c r="Q474" s="0" t="n">
        <f aca="false">VLOOKUP(A474,'Team Data'!$A$1:$P$133,4,FALSE())</f>
        <v>88</v>
      </c>
      <c r="R474" s="0" t="n">
        <f aca="false">VLOOKUP(A474,'Team Data'!$A$1:$P$133,5,FALSE())</f>
        <v>185</v>
      </c>
      <c r="S474" s="0" t="n">
        <f aca="false">VLOOKUP(B474,'Team Data'!$A$1:$P$133,4,FALSE())</f>
        <v>76</v>
      </c>
      <c r="T474" s="0" t="n">
        <f aca="false">VLOOKUP(B474,'Team Data'!$A$1:$P$133,5,FALSE())</f>
        <v>185</v>
      </c>
      <c r="U474" s="0" t="n">
        <f aca="false">IF(K474=1,(MIN(35,(C474-D474)))*(O474/(O474+P474))*(S474/(S474+T474)),(MAX(-35,(C474-D474)))*(IF(P474=0,0.1,(P474/(O474+P474))))*(T474/(S474+T474)))</f>
        <v>2.03831417624521</v>
      </c>
      <c r="V474" s="0" t="n">
        <f aca="false">IF(L474=1,(MIN(35,(D474-C474)))*(M474/(M474+N474))*(Q474/(Q474+R474)),(MAX(-35,(D474-C474)))*(IF(N474=0,0.1,(N474/(M474+N474))))*(R474/(R474+Q474)))</f>
        <v>-7.66272189349112</v>
      </c>
    </row>
    <row r="475" customFormat="false" ht="15" hidden="false" customHeight="false" outlineLevel="0" collapsed="false">
      <c r="A475" s="0" t="s">
        <v>122</v>
      </c>
      <c r="B475" s="0" t="s">
        <v>57</v>
      </c>
      <c r="C475" s="0" t="n">
        <v>31</v>
      </c>
      <c r="D475" s="0" t="n">
        <v>41</v>
      </c>
      <c r="E475" s="0" t="n">
        <v>181</v>
      </c>
      <c r="F475" s="0" t="n">
        <v>114</v>
      </c>
      <c r="G475" s="0" t="n">
        <v>320</v>
      </c>
      <c r="H475" s="0" t="n">
        <v>266</v>
      </c>
      <c r="I475" s="0" t="n">
        <v>4</v>
      </c>
      <c r="J475" s="0" t="n">
        <v>2</v>
      </c>
      <c r="K475" s="0" t="n">
        <v>0</v>
      </c>
      <c r="L475" s="0" t="n">
        <v>1</v>
      </c>
      <c r="M475" s="0" t="n">
        <f aca="false">VLOOKUP(A475,'Team Data'!$A$1:$P$133,2,FALSE())</f>
        <v>5</v>
      </c>
      <c r="N475" s="0" t="n">
        <f aca="false">VLOOKUP(A475,'Team Data'!$A$1:$P$133,3,FALSE())</f>
        <v>7</v>
      </c>
      <c r="O475" s="0" t="n">
        <f aca="false">VLOOKUP(B475,'Team Data'!$A$1:$P$133,2,FALSE())</f>
        <v>3</v>
      </c>
      <c r="P475" s="0" t="n">
        <f aca="false">VLOOKUP(B475,'Team Data'!$A$1:$P$133,3,FALSE())</f>
        <v>9</v>
      </c>
      <c r="Q475" s="0" t="n">
        <f aca="false">VLOOKUP(A475,'Team Data'!$A$1:$P$133,4,FALSE())</f>
        <v>71</v>
      </c>
      <c r="R475" s="0" t="n">
        <f aca="false">VLOOKUP(A475,'Team Data'!$A$1:$P$133,5,FALSE())</f>
        <v>83</v>
      </c>
      <c r="S475" s="0" t="n">
        <f aca="false">VLOOKUP(B475,'Team Data'!$A$1:$P$133,4,FALSE())</f>
        <v>85</v>
      </c>
      <c r="T475" s="0" t="n">
        <f aca="false">VLOOKUP(B475,'Team Data'!$A$1:$P$133,5,FALSE())</f>
        <v>178</v>
      </c>
      <c r="U475" s="0" t="n">
        <f aca="false">IF(K475=1,(MIN(35,(C475-D475)))*(O475/(O475+P475))*(S475/(S475+T475)),(MAX(-35,(C475-D475)))*(IF(P475=0,0.1,(P475/(O475+P475))))*(T475/(S475+T475)))</f>
        <v>-5.07604562737643</v>
      </c>
      <c r="V475" s="0" t="n">
        <f aca="false">IF(L475=1,(MIN(35,(D475-C475)))*(M475/(M475+N475))*(Q475/(Q475+R475)),(MAX(-35,(D475-C475)))*(IF(N475=0,0.1,(N475/(M475+N475))))*(R475/(R475+Q475)))</f>
        <v>1.92099567099567</v>
      </c>
    </row>
    <row r="476" customFormat="false" ht="15" hidden="false" customHeight="false" outlineLevel="0" collapsed="false">
      <c r="A476" s="0" t="s">
        <v>67</v>
      </c>
      <c r="B476" s="0" t="s">
        <v>114</v>
      </c>
      <c r="C476" s="0" t="n">
        <v>14</v>
      </c>
      <c r="D476" s="0" t="n">
        <v>41</v>
      </c>
      <c r="E476" s="0" t="n">
        <v>140</v>
      </c>
      <c r="F476" s="0" t="n">
        <v>303</v>
      </c>
      <c r="G476" s="0" t="n">
        <v>196</v>
      </c>
      <c r="H476" s="0" t="n">
        <v>278</v>
      </c>
      <c r="I476" s="0" t="n">
        <v>1</v>
      </c>
      <c r="J476" s="0" t="n">
        <v>0</v>
      </c>
      <c r="K476" s="0" t="n">
        <v>0</v>
      </c>
      <c r="L476" s="0" t="n">
        <v>1</v>
      </c>
      <c r="M476" s="0" t="n">
        <f aca="false">VLOOKUP(A476,'Team Data'!$A$1:$P$133,2,FALSE())</f>
        <v>8</v>
      </c>
      <c r="N476" s="0" t="n">
        <f aca="false">VLOOKUP(A476,'Team Data'!$A$1:$P$133,3,FALSE())</f>
        <v>5</v>
      </c>
      <c r="O476" s="0" t="n">
        <f aca="false">VLOOKUP(B476,'Team Data'!$A$1:$P$133,2,FALSE())</f>
        <v>7</v>
      </c>
      <c r="P476" s="0" t="n">
        <f aca="false">VLOOKUP(B476,'Team Data'!$A$1:$P$133,3,FALSE())</f>
        <v>6</v>
      </c>
      <c r="Q476" s="0" t="n">
        <f aca="false">VLOOKUP(A476,'Team Data'!$A$1:$P$133,4,FALSE())</f>
        <v>78</v>
      </c>
      <c r="R476" s="0" t="n">
        <f aca="false">VLOOKUP(A476,'Team Data'!$A$1:$P$133,5,FALSE())</f>
        <v>191</v>
      </c>
      <c r="S476" s="0" t="n">
        <f aca="false">VLOOKUP(B476,'Team Data'!$A$1:$P$133,4,FALSE())</f>
        <v>89</v>
      </c>
      <c r="T476" s="0" t="n">
        <f aca="false">VLOOKUP(B476,'Team Data'!$A$1:$P$133,5,FALSE())</f>
        <v>188</v>
      </c>
      <c r="U476" s="0" t="n">
        <f aca="false">IF(K476=1,(MIN(35,(C476-D476)))*(O476/(O476+P476))*(S476/(S476+T476)),(MAX(-35,(C476-D476)))*(IF(P476=0,0.1,(P476/(O476+P476))))*(T476/(S476+T476)))</f>
        <v>-8.4576506525965</v>
      </c>
      <c r="V476" s="0" t="n">
        <f aca="false">IF(L476=1,(MIN(35,(D476-C476)))*(M476/(M476+N476))*(Q476/(Q476+R476)),(MAX(-35,(D476-C476)))*(IF(N476=0,0.1,(N476/(M476+N476))))*(R476/(R476+Q476)))</f>
        <v>4.817843866171</v>
      </c>
    </row>
    <row r="477" customFormat="false" ht="15" hidden="false" customHeight="false" outlineLevel="0" collapsed="false">
      <c r="A477" s="0" t="s">
        <v>133</v>
      </c>
      <c r="B477" s="0" t="s">
        <v>123</v>
      </c>
      <c r="C477" s="0" t="n">
        <v>28</v>
      </c>
      <c r="D477" s="0" t="n">
        <v>31</v>
      </c>
      <c r="E477" s="0" t="n">
        <v>108</v>
      </c>
      <c r="F477" s="0" t="n">
        <v>213</v>
      </c>
      <c r="G477" s="0" t="n">
        <v>373</v>
      </c>
      <c r="H477" s="0" t="n">
        <v>273</v>
      </c>
      <c r="I477" s="0" t="n">
        <v>0</v>
      </c>
      <c r="J477" s="0" t="n">
        <v>1</v>
      </c>
      <c r="K477" s="0" t="n">
        <v>0</v>
      </c>
      <c r="L477" s="0" t="n">
        <v>1</v>
      </c>
      <c r="M477" s="0" t="n">
        <f aca="false">VLOOKUP(A477,'Team Data'!$A$1:$P$133,2,FALSE())</f>
        <v>9</v>
      </c>
      <c r="N477" s="0" t="n">
        <f aca="false">VLOOKUP(A477,'Team Data'!$A$1:$P$133,3,FALSE())</f>
        <v>5</v>
      </c>
      <c r="O477" s="0" t="n">
        <f aca="false">VLOOKUP(B477,'Team Data'!$A$1:$P$133,2,FALSE())</f>
        <v>11</v>
      </c>
      <c r="P477" s="0" t="n">
        <f aca="false">VLOOKUP(B477,'Team Data'!$A$1:$P$133,3,FALSE())</f>
        <v>3</v>
      </c>
      <c r="Q477" s="0" t="n">
        <f aca="false">VLOOKUP(A477,'Team Data'!$A$1:$P$133,4,FALSE())</f>
        <v>92</v>
      </c>
      <c r="R477" s="0" t="n">
        <f aca="false">VLOOKUP(A477,'Team Data'!$A$1:$P$133,5,FALSE())</f>
        <v>195</v>
      </c>
      <c r="S477" s="0" t="n">
        <f aca="false">VLOOKUP(B477,'Team Data'!$A$1:$P$133,4,FALSE())</f>
        <v>97</v>
      </c>
      <c r="T477" s="0" t="n">
        <f aca="false">VLOOKUP(B477,'Team Data'!$A$1:$P$133,5,FALSE())</f>
        <v>192</v>
      </c>
      <c r="U477" s="0" t="n">
        <f aca="false">IF(K477=1,(MIN(35,(C477-D477)))*(O477/(O477+P477))*(S477/(S477+T477)),(MAX(-35,(C477-D477)))*(IF(P477=0,0.1,(P477/(O477+P477))))*(T477/(S477+T477)))</f>
        <v>-0.427088482451804</v>
      </c>
      <c r="V477" s="0" t="n">
        <f aca="false">IF(L477=1,(MIN(35,(D477-C477)))*(M477/(M477+N477))*(Q477/(Q477+R477)),(MAX(-35,(D477-C477)))*(IF(N477=0,0.1,(N477/(M477+N477))))*(R477/(R477+Q477)))</f>
        <v>0.618218018914883</v>
      </c>
    </row>
    <row r="478" customFormat="false" ht="15" hidden="false" customHeight="false" outlineLevel="0" collapsed="false">
      <c r="A478" s="0" t="s">
        <v>12</v>
      </c>
      <c r="B478" s="0" t="s">
        <v>16</v>
      </c>
      <c r="C478" s="0" t="n">
        <v>52</v>
      </c>
      <c r="D478" s="0" t="n">
        <v>35</v>
      </c>
      <c r="E478" s="0" t="n">
        <v>277</v>
      </c>
      <c r="F478" s="0" t="n">
        <v>115</v>
      </c>
      <c r="G478" s="0" t="n">
        <v>367</v>
      </c>
      <c r="H478" s="0" t="n">
        <v>356</v>
      </c>
      <c r="I478" s="0" t="n">
        <v>1</v>
      </c>
      <c r="J478" s="0" t="n">
        <v>3</v>
      </c>
      <c r="K478" s="0" t="n">
        <v>1</v>
      </c>
      <c r="L478" s="0" t="n">
        <v>0</v>
      </c>
      <c r="M478" s="0" t="n">
        <f aca="false">VLOOKUP(A478,'Team Data'!$A$1:$P$133,2,FALSE())</f>
        <v>7</v>
      </c>
      <c r="N478" s="0" t="n">
        <f aca="false">VLOOKUP(A478,'Team Data'!$A$1:$P$133,3,FALSE())</f>
        <v>6</v>
      </c>
      <c r="O478" s="0" t="n">
        <f aca="false">VLOOKUP(B478,'Team Data'!$A$1:$P$133,2,FALSE())</f>
        <v>8</v>
      </c>
      <c r="P478" s="0" t="n">
        <f aca="false">VLOOKUP(B478,'Team Data'!$A$1:$P$133,3,FALSE())</f>
        <v>5</v>
      </c>
      <c r="Q478" s="0" t="n">
        <f aca="false">VLOOKUP(A478,'Team Data'!$A$1:$P$133,4,FALSE())</f>
        <v>101</v>
      </c>
      <c r="R478" s="0" t="n">
        <f aca="false">VLOOKUP(A478,'Team Data'!$A$1:$P$133,5,FALSE())</f>
        <v>174</v>
      </c>
      <c r="S478" s="0" t="n">
        <f aca="false">VLOOKUP(B478,'Team Data'!$A$1:$P$133,4,FALSE())</f>
        <v>90</v>
      </c>
      <c r="T478" s="0" t="n">
        <f aca="false">VLOOKUP(B478,'Team Data'!$A$1:$P$133,5,FALSE())</f>
        <v>185</v>
      </c>
      <c r="U478" s="0" t="n">
        <f aca="false">IF(K478=1,(MIN(35,(C478-D478)))*(O478/(O478+P478))*(S478/(S478+T478)),(MAX(-35,(C478-D478)))*(IF(P478=0,0.1,(P478/(O478+P478))))*(T478/(S478+T478)))</f>
        <v>3.42377622377622</v>
      </c>
      <c r="V478" s="0" t="n">
        <f aca="false">IF(L478=1,(MIN(35,(D478-C478)))*(M478/(M478+N478))*(Q478/(Q478+R478)),(MAX(-35,(D478-C478)))*(IF(N478=0,0.1,(N478/(M478+N478))))*(R478/(R478+Q478)))</f>
        <v>-4.96447552447552</v>
      </c>
    </row>
    <row r="479" customFormat="false" ht="15" hidden="false" customHeight="false" outlineLevel="0" collapsed="false">
      <c r="A479" s="0" t="s">
        <v>54</v>
      </c>
      <c r="B479" s="0" t="s">
        <v>35</v>
      </c>
      <c r="C479" s="0" t="n">
        <v>45</v>
      </c>
      <c r="D479" s="0" t="n">
        <v>35</v>
      </c>
      <c r="E479" s="0" t="n">
        <v>179</v>
      </c>
      <c r="F479" s="0" t="n">
        <v>210</v>
      </c>
      <c r="G479" s="0" t="n">
        <v>349</v>
      </c>
      <c r="H479" s="0" t="n">
        <v>185</v>
      </c>
      <c r="I479" s="0" t="n">
        <v>1</v>
      </c>
      <c r="J479" s="0" t="n">
        <v>0</v>
      </c>
      <c r="K479" s="0" t="n">
        <v>1</v>
      </c>
      <c r="L479" s="0" t="n">
        <v>0</v>
      </c>
      <c r="M479" s="0" t="n">
        <f aca="false">VLOOKUP(A479,'Team Data'!$A$1:$P$133,2,FALSE())</f>
        <v>10</v>
      </c>
      <c r="N479" s="0" t="n">
        <f aca="false">VLOOKUP(A479,'Team Data'!$A$1:$P$133,3,FALSE())</f>
        <v>4</v>
      </c>
      <c r="O479" s="0" t="n">
        <f aca="false">VLOOKUP(B479,'Team Data'!$A$1:$P$133,2,FALSE())</f>
        <v>6</v>
      </c>
      <c r="P479" s="0" t="n">
        <f aca="false">VLOOKUP(B479,'Team Data'!$A$1:$P$133,3,FALSE())</f>
        <v>7</v>
      </c>
      <c r="Q479" s="0" t="n">
        <f aca="false">VLOOKUP(A479,'Team Data'!$A$1:$P$133,4,FALSE())</f>
        <v>112</v>
      </c>
      <c r="R479" s="0" t="n">
        <f aca="false">VLOOKUP(A479,'Team Data'!$A$1:$P$133,5,FALSE())</f>
        <v>177</v>
      </c>
      <c r="S479" s="0" t="n">
        <f aca="false">VLOOKUP(B479,'Team Data'!$A$1:$P$133,4,FALSE())</f>
        <v>106</v>
      </c>
      <c r="T479" s="0" t="n">
        <f aca="false">VLOOKUP(B479,'Team Data'!$A$1:$P$133,5,FALSE())</f>
        <v>171</v>
      </c>
      <c r="U479" s="0" t="n">
        <f aca="false">IF(K479=1,(MIN(35,(C479-D479)))*(O479/(O479+P479))*(S479/(S479+T479)),(MAX(-35,(C479-D479)))*(IF(P479=0,0.1,(P479/(O479+P479))))*(T479/(S479+T479)))</f>
        <v>1.76617606220494</v>
      </c>
      <c r="V479" s="0" t="n">
        <f aca="false">IF(L479=1,(MIN(35,(D479-C479)))*(M479/(M479+N479))*(Q479/(Q479+R479)),(MAX(-35,(D479-C479)))*(IF(N479=0,0.1,(N479/(M479+N479))))*(R479/(R479+Q479)))</f>
        <v>-1.7498764211567</v>
      </c>
    </row>
    <row r="480" customFormat="false" ht="15" hidden="false" customHeight="false" outlineLevel="0" collapsed="false">
      <c r="A480" s="0" t="s">
        <v>126</v>
      </c>
      <c r="B480" s="0" t="s">
        <v>39</v>
      </c>
      <c r="C480" s="0" t="n">
        <v>0</v>
      </c>
      <c r="D480" s="0" t="n">
        <v>55</v>
      </c>
      <c r="E480" s="0" t="n">
        <v>45</v>
      </c>
      <c r="F480" s="0" t="n">
        <v>192</v>
      </c>
      <c r="G480" s="0" t="n">
        <v>105</v>
      </c>
      <c r="H480" s="0" t="n">
        <v>387</v>
      </c>
      <c r="I480" s="0" t="n">
        <v>1</v>
      </c>
      <c r="J480" s="0" t="n">
        <v>0</v>
      </c>
      <c r="K480" s="0" t="n">
        <v>0</v>
      </c>
      <c r="L480" s="0" t="n">
        <v>1</v>
      </c>
      <c r="M480" s="0" t="n">
        <f aca="false">VLOOKUP(A480,'Team Data'!$A$1:$P$133,2,FALSE())</f>
        <v>5</v>
      </c>
      <c r="N480" s="0" t="n">
        <f aca="false">VLOOKUP(A480,'Team Data'!$A$1:$P$133,3,FALSE())</f>
        <v>7</v>
      </c>
      <c r="O480" s="0" t="n">
        <f aca="false">VLOOKUP(B480,'Team Data'!$A$1:$P$133,2,FALSE())</f>
        <v>15</v>
      </c>
      <c r="P480" s="0" t="n">
        <f aca="false">VLOOKUP(B480,'Team Data'!$A$1:$P$133,3,FALSE())</f>
        <v>0</v>
      </c>
      <c r="Q480" s="0" t="n">
        <f aca="false">VLOOKUP(A480,'Team Data'!$A$1:$P$133,4,FALSE())</f>
        <v>94</v>
      </c>
      <c r="R480" s="0" t="n">
        <f aca="false">VLOOKUP(A480,'Team Data'!$A$1:$P$133,5,FALSE())</f>
        <v>170</v>
      </c>
      <c r="S480" s="0" t="n">
        <f aca="false">VLOOKUP(B480,'Team Data'!$A$1:$P$133,4,FALSE())</f>
        <v>119</v>
      </c>
      <c r="T480" s="0" t="n">
        <f aca="false">VLOOKUP(B480,'Team Data'!$A$1:$P$133,5,FALSE())</f>
        <v>182</v>
      </c>
      <c r="U480" s="0" t="n">
        <f aca="false">IF(K480=1,(MIN(35,(C480-D480)))*(O480/(O480+P480))*(S480/(S480+T480)),(MAX(-35,(C480-D480)))*(IF(P480=0,0.1,(P480/(O480+P480))))*(T480/(S480+T480)))</f>
        <v>-2.11627906976744</v>
      </c>
      <c r="V480" s="0" t="n">
        <f aca="false">IF(L480=1,(MIN(35,(D480-C480)))*(M480/(M480+N480))*(Q480/(Q480+R480)),(MAX(-35,(D480-C480)))*(IF(N480=0,0.1,(N480/(M480+N480))))*(R480/(R480+Q480)))</f>
        <v>5.19255050505051</v>
      </c>
    </row>
    <row r="481" customFormat="false" ht="15" hidden="false" customHeight="false" outlineLevel="0" collapsed="false">
      <c r="A481" s="0" t="s">
        <v>69</v>
      </c>
      <c r="B481" s="0" t="s">
        <v>53</v>
      </c>
      <c r="C481" s="0" t="n">
        <v>17</v>
      </c>
      <c r="D481" s="0" t="n">
        <v>27</v>
      </c>
      <c r="E481" s="0" t="n">
        <v>22</v>
      </c>
      <c r="F481" s="0" t="n">
        <v>239</v>
      </c>
      <c r="G481" s="0" t="n">
        <v>203</v>
      </c>
      <c r="H481" s="0" t="n">
        <v>239</v>
      </c>
      <c r="I481" s="0" t="n">
        <v>1</v>
      </c>
      <c r="J481" s="0" t="n">
        <v>2</v>
      </c>
      <c r="K481" s="0" t="n">
        <v>0</v>
      </c>
      <c r="L481" s="0" t="n">
        <v>1</v>
      </c>
      <c r="M481" s="0" t="n">
        <f aca="false">VLOOKUP(A481,'Team Data'!$A$1:$P$133,2,FALSE())</f>
        <v>9</v>
      </c>
      <c r="N481" s="0" t="n">
        <f aca="false">VLOOKUP(A481,'Team Data'!$A$1:$P$133,3,FALSE())</f>
        <v>4</v>
      </c>
      <c r="O481" s="0" t="n">
        <f aca="false">VLOOKUP(B481,'Team Data'!$A$1:$P$133,2,FALSE())</f>
        <v>7</v>
      </c>
      <c r="P481" s="0" t="n">
        <f aca="false">VLOOKUP(B481,'Team Data'!$A$1:$P$133,3,FALSE())</f>
        <v>6</v>
      </c>
      <c r="Q481" s="0" t="n">
        <f aca="false">VLOOKUP(A481,'Team Data'!$A$1:$P$133,4,FALSE())</f>
        <v>102</v>
      </c>
      <c r="R481" s="0" t="n">
        <f aca="false">VLOOKUP(A481,'Team Data'!$A$1:$P$133,5,FALSE())</f>
        <v>174</v>
      </c>
      <c r="S481" s="0" t="n">
        <f aca="false">VLOOKUP(B481,'Team Data'!$A$1:$P$133,4,FALSE())</f>
        <v>101</v>
      </c>
      <c r="T481" s="0" t="n">
        <f aca="false">VLOOKUP(B481,'Team Data'!$A$1:$P$133,5,FALSE())</f>
        <v>175</v>
      </c>
      <c r="U481" s="0" t="n">
        <f aca="false">IF(K481=1,(MIN(35,(C481-D481)))*(O481/(O481+P481))*(S481/(S481+T481)),(MAX(-35,(C481-D481)))*(IF(P481=0,0.1,(P481/(O481+P481))))*(T481/(S481+T481)))</f>
        <v>-2.92642140468227</v>
      </c>
      <c r="V481" s="0" t="n">
        <f aca="false">IF(L481=1,(MIN(35,(D481-C481)))*(M481/(M481+N481))*(Q481/(Q481+R481)),(MAX(-35,(D481-C481)))*(IF(N481=0,0.1,(N481/(M481+N481))))*(R481/(R481+Q481)))</f>
        <v>2.55852842809365</v>
      </c>
    </row>
    <row r="482" customFormat="false" ht="15" hidden="false" customHeight="false" outlineLevel="0" collapsed="false">
      <c r="A482" s="0" t="s">
        <v>15</v>
      </c>
      <c r="B482" s="0" t="s">
        <v>87</v>
      </c>
      <c r="C482" s="0" t="n">
        <v>34</v>
      </c>
      <c r="D482" s="0" t="n">
        <v>48</v>
      </c>
      <c r="E482" s="0" t="n">
        <v>301</v>
      </c>
      <c r="F482" s="0" t="n">
        <v>448</v>
      </c>
      <c r="G482" s="0" t="n">
        <v>140</v>
      </c>
      <c r="H482" s="0" t="n">
        <v>130</v>
      </c>
      <c r="I482" s="0" t="n">
        <v>3</v>
      </c>
      <c r="J482" s="0" t="n">
        <v>1</v>
      </c>
      <c r="K482" s="0" t="n">
        <v>0</v>
      </c>
      <c r="L482" s="0" t="n">
        <v>1</v>
      </c>
      <c r="M482" s="0" t="n">
        <f aca="false">VLOOKUP(A482,'Team Data'!$A$1:$P$133,2,FALSE())</f>
        <v>5</v>
      </c>
      <c r="N482" s="0" t="n">
        <f aca="false">VLOOKUP(A482,'Team Data'!$A$1:$P$133,3,FALSE())</f>
        <v>7</v>
      </c>
      <c r="O482" s="0" t="n">
        <f aca="false">VLOOKUP(B482,'Team Data'!$A$1:$P$133,2,FALSE())</f>
        <v>8</v>
      </c>
      <c r="P482" s="0" t="n">
        <f aca="false">VLOOKUP(B482,'Team Data'!$A$1:$P$133,3,FALSE())</f>
        <v>5</v>
      </c>
      <c r="Q482" s="0" t="n">
        <f aca="false">VLOOKUP(A482,'Team Data'!$A$1:$P$133,4,FALSE())</f>
        <v>106</v>
      </c>
      <c r="R482" s="0" t="n">
        <f aca="false">VLOOKUP(A482,'Team Data'!$A$1:$P$133,5,FALSE())</f>
        <v>159</v>
      </c>
      <c r="S482" s="0" t="n">
        <f aca="false">VLOOKUP(B482,'Team Data'!$A$1:$P$133,4,FALSE())</f>
        <v>97</v>
      </c>
      <c r="T482" s="0" t="n">
        <f aca="false">VLOOKUP(B482,'Team Data'!$A$1:$P$133,5,FALSE())</f>
        <v>176</v>
      </c>
      <c r="U482" s="0" t="n">
        <f aca="false">IF(K482=1,(MIN(35,(C482-D482)))*(O482/(O482+P482))*(S482/(S482+T482)),(MAX(-35,(C482-D482)))*(IF(P482=0,0.1,(P482/(O482+P482))))*(T482/(S482+T482)))</f>
        <v>-3.47140039447732</v>
      </c>
      <c r="V482" s="0" t="n">
        <f aca="false">IF(L482=1,(MIN(35,(D482-C482)))*(M482/(M482+N482))*(Q482/(Q482+R482)),(MAX(-35,(D482-C482)))*(IF(N482=0,0.1,(N482/(M482+N482))))*(R482/(R482+Q482)))</f>
        <v>2.33333333333333</v>
      </c>
    </row>
    <row r="483" customFormat="false" ht="15" hidden="false" customHeight="false" outlineLevel="0" collapsed="false">
      <c r="A483" s="0" t="s">
        <v>8</v>
      </c>
      <c r="B483" s="0" t="s">
        <v>105</v>
      </c>
      <c r="C483" s="0" t="n">
        <v>49</v>
      </c>
      <c r="D483" s="0" t="n">
        <v>52</v>
      </c>
      <c r="E483" s="0" t="n">
        <v>114</v>
      </c>
      <c r="F483" s="0" t="n">
        <v>182</v>
      </c>
      <c r="G483" s="0" t="n">
        <v>455</v>
      </c>
      <c r="H483" s="0" t="n">
        <v>385</v>
      </c>
      <c r="I483" s="0" t="n">
        <v>1</v>
      </c>
      <c r="J483" s="0" t="n">
        <v>2</v>
      </c>
      <c r="K483" s="0" t="n">
        <v>0</v>
      </c>
      <c r="L483" s="0" t="n">
        <v>1</v>
      </c>
      <c r="M483" s="0" t="n">
        <f aca="false">VLOOKUP(A483,'Team Data'!$A$1:$P$133,2,FALSE())</f>
        <v>11</v>
      </c>
      <c r="N483" s="0" t="n">
        <f aca="false">VLOOKUP(A483,'Team Data'!$A$1:$P$133,3,FALSE())</f>
        <v>2</v>
      </c>
      <c r="O483" s="0" t="n">
        <f aca="false">VLOOKUP(B483,'Team Data'!$A$1:$P$133,2,FALSE())</f>
        <v>11</v>
      </c>
      <c r="P483" s="0" t="n">
        <f aca="false">VLOOKUP(B483,'Team Data'!$A$1:$P$133,3,FALSE())</f>
        <v>2</v>
      </c>
      <c r="Q483" s="0" t="n">
        <f aca="false">VLOOKUP(A483,'Team Data'!$A$1:$P$133,4,FALSE())</f>
        <v>96</v>
      </c>
      <c r="R483" s="0" t="n">
        <f aca="false">VLOOKUP(A483,'Team Data'!$A$1:$P$133,5,FALSE())</f>
        <v>178</v>
      </c>
      <c r="S483" s="0" t="n">
        <f aca="false">VLOOKUP(B483,'Team Data'!$A$1:$P$133,4,FALSE())</f>
        <v>103</v>
      </c>
      <c r="T483" s="0" t="n">
        <f aca="false">VLOOKUP(B483,'Team Data'!$A$1:$P$133,5,FALSE())</f>
        <v>174</v>
      </c>
      <c r="U483" s="0" t="n">
        <f aca="false">IF(K483=1,(MIN(35,(C483-D483)))*(O483/(O483+P483))*(S483/(S483+T483)),(MAX(-35,(C483-D483)))*(IF(P483=0,0.1,(P483/(O483+P483))))*(T483/(S483+T483)))</f>
        <v>-0.289919466814774</v>
      </c>
      <c r="V483" s="0" t="n">
        <f aca="false">IF(L483=1,(MIN(35,(D483-C483)))*(M483/(M483+N483))*(Q483/(Q483+R483)),(MAX(-35,(D483-C483)))*(IF(N483=0,0.1,(N483/(M483+N483))))*(R483/(R483+Q483)))</f>
        <v>0.889387984278495</v>
      </c>
    </row>
    <row r="484" customFormat="false" ht="15" hidden="false" customHeight="false" outlineLevel="0" collapsed="false">
      <c r="A484" s="0" t="s">
        <v>10</v>
      </c>
      <c r="B484" s="0" t="s">
        <v>130</v>
      </c>
      <c r="C484" s="0" t="n">
        <v>39</v>
      </c>
      <c r="D484" s="0" t="n">
        <v>49</v>
      </c>
      <c r="E484" s="0" t="n">
        <v>126</v>
      </c>
      <c r="F484" s="0" t="n">
        <v>79</v>
      </c>
      <c r="G484" s="0" t="n">
        <v>400</v>
      </c>
      <c r="H484" s="0" t="n">
        <v>516</v>
      </c>
      <c r="I484" s="0" t="n">
        <v>0</v>
      </c>
      <c r="J484" s="0" t="n">
        <v>0</v>
      </c>
      <c r="K484" s="0" t="n">
        <v>0</v>
      </c>
      <c r="L484" s="0" t="n">
        <v>1</v>
      </c>
      <c r="M484" s="0" t="n">
        <f aca="false">VLOOKUP(A484,'Team Data'!$A$1:$P$133,2,FALSE())</f>
        <v>5</v>
      </c>
      <c r="N484" s="0" t="n">
        <f aca="false">VLOOKUP(A484,'Team Data'!$A$1:$P$133,3,FALSE())</f>
        <v>7</v>
      </c>
      <c r="O484" s="0" t="n">
        <f aca="false">VLOOKUP(B484,'Team Data'!$A$1:$P$133,2,FALSE())</f>
        <v>11</v>
      </c>
      <c r="P484" s="0" t="n">
        <f aca="false">VLOOKUP(B484,'Team Data'!$A$1:$P$133,3,FALSE())</f>
        <v>2</v>
      </c>
      <c r="Q484" s="0" t="n">
        <f aca="false">VLOOKUP(A484,'Team Data'!$A$1:$P$133,4,FALSE())</f>
        <v>90</v>
      </c>
      <c r="R484" s="0" t="n">
        <f aca="false">VLOOKUP(A484,'Team Data'!$A$1:$P$133,5,FALSE())</f>
        <v>172</v>
      </c>
      <c r="S484" s="0" t="n">
        <f aca="false">VLOOKUP(B484,'Team Data'!$A$1:$P$133,4,FALSE())</f>
        <v>78</v>
      </c>
      <c r="T484" s="0" t="n">
        <f aca="false">VLOOKUP(B484,'Team Data'!$A$1:$P$133,5,FALSE())</f>
        <v>191</v>
      </c>
      <c r="U484" s="0" t="n">
        <f aca="false">IF(K484=1,(MIN(35,(C484-D484)))*(O484/(O484+P484))*(S484/(S484+T484)),(MAX(-35,(C484-D484)))*(IF(P484=0,0.1,(P484/(O484+P484))))*(T484/(S484+T484)))</f>
        <v>-1.09236488418645</v>
      </c>
      <c r="V484" s="0" t="n">
        <f aca="false">IF(L484=1,(MIN(35,(D484-C484)))*(M484/(M484+N484))*(Q484/(Q484+R484)),(MAX(-35,(D484-C484)))*(IF(N484=0,0.1,(N484/(M484+N484))))*(R484/(R484+Q484)))</f>
        <v>1.43129770992366</v>
      </c>
    </row>
    <row r="485" customFormat="false" ht="15" hidden="false" customHeight="false" outlineLevel="0" collapsed="false">
      <c r="A485" s="0" t="s">
        <v>23</v>
      </c>
      <c r="B485" s="0" t="s">
        <v>29</v>
      </c>
      <c r="C485" s="0" t="n">
        <v>13</v>
      </c>
      <c r="D485" s="0" t="n">
        <v>20</v>
      </c>
      <c r="E485" s="0" t="n">
        <v>35</v>
      </c>
      <c r="F485" s="0" t="n">
        <v>118</v>
      </c>
      <c r="G485" s="0" t="n">
        <v>262</v>
      </c>
      <c r="H485" s="0" t="n">
        <v>210</v>
      </c>
      <c r="I485" s="0" t="n">
        <v>2</v>
      </c>
      <c r="J485" s="0" t="n">
        <v>3</v>
      </c>
      <c r="K485" s="0" t="n">
        <v>0</v>
      </c>
      <c r="L485" s="0" t="n">
        <v>1</v>
      </c>
      <c r="M485" s="0" t="n">
        <f aca="false">VLOOKUP(A485,'Team Data'!$A$1:$P$133,2,FALSE())</f>
        <v>4</v>
      </c>
      <c r="N485" s="0" t="n">
        <f aca="false">VLOOKUP(A485,'Team Data'!$A$1:$P$133,3,FALSE())</f>
        <v>8</v>
      </c>
      <c r="O485" s="0" t="n">
        <f aca="false">VLOOKUP(B485,'Team Data'!$A$1:$P$133,2,FALSE())</f>
        <v>1</v>
      </c>
      <c r="P485" s="0" t="n">
        <f aca="false">VLOOKUP(B485,'Team Data'!$A$1:$P$133,3,FALSE())</f>
        <v>11</v>
      </c>
      <c r="Q485" s="0" t="n">
        <f aca="false">VLOOKUP(A485,'Team Data'!$A$1:$P$133,4,FALSE())</f>
        <v>89</v>
      </c>
      <c r="R485" s="0" t="n">
        <f aca="false">VLOOKUP(A485,'Team Data'!$A$1:$P$133,5,FALSE())</f>
        <v>171</v>
      </c>
      <c r="S485" s="0" t="n">
        <f aca="false">VLOOKUP(B485,'Team Data'!$A$1:$P$133,4,FALSE())</f>
        <v>105</v>
      </c>
      <c r="T485" s="0" t="n">
        <f aca="false">VLOOKUP(B485,'Team Data'!$A$1:$P$133,5,FALSE())</f>
        <v>52</v>
      </c>
      <c r="U485" s="0" t="n">
        <f aca="false">IF(K485=1,(MIN(35,(C485-D485)))*(O485/(O485+P485))*(S485/(S485+T485)),(MAX(-35,(C485-D485)))*(IF(P485=0,0.1,(P485/(O485+P485))))*(T485/(S485+T485)))</f>
        <v>-2.12526539278132</v>
      </c>
      <c r="V485" s="0" t="n">
        <f aca="false">IF(L485=1,(MIN(35,(D485-C485)))*(M485/(M485+N485))*(Q485/(Q485+R485)),(MAX(-35,(D485-C485)))*(IF(N485=0,0.1,(N485/(M485+N485))))*(R485/(R485+Q485)))</f>
        <v>0.798717948717949</v>
      </c>
    </row>
    <row r="486" customFormat="false" ht="15" hidden="false" customHeight="false" outlineLevel="0" collapsed="false">
      <c r="A486" s="0" t="s">
        <v>131</v>
      </c>
      <c r="B486" s="0" t="s">
        <v>89</v>
      </c>
      <c r="C486" s="0" t="n">
        <v>10</v>
      </c>
      <c r="D486" s="0" t="n">
        <v>24</v>
      </c>
      <c r="E486" s="0" t="n">
        <v>23</v>
      </c>
      <c r="F486" s="0" t="n">
        <v>203</v>
      </c>
      <c r="G486" s="0" t="n">
        <v>345</v>
      </c>
      <c r="H486" s="0" t="n">
        <v>141</v>
      </c>
      <c r="I486" s="0" t="n">
        <v>1</v>
      </c>
      <c r="J486" s="0" t="n">
        <v>1</v>
      </c>
      <c r="K486" s="0" t="n">
        <v>0</v>
      </c>
      <c r="L486" s="0" t="n">
        <v>1</v>
      </c>
      <c r="M486" s="0" t="n">
        <f aca="false">VLOOKUP(A486,'Team Data'!$A$1:$P$133,2,FALSE())</f>
        <v>7</v>
      </c>
      <c r="N486" s="0" t="n">
        <f aca="false">VLOOKUP(A486,'Team Data'!$A$1:$P$133,3,FALSE())</f>
        <v>6</v>
      </c>
      <c r="O486" s="0" t="n">
        <f aca="false">VLOOKUP(B486,'Team Data'!$A$1:$P$133,2,FALSE())</f>
        <v>10</v>
      </c>
      <c r="P486" s="0" t="n">
        <f aca="false">VLOOKUP(B486,'Team Data'!$A$1:$P$133,3,FALSE())</f>
        <v>3</v>
      </c>
      <c r="Q486" s="0" t="n">
        <f aca="false">VLOOKUP(A486,'Team Data'!$A$1:$P$133,4,FALSE())</f>
        <v>95</v>
      </c>
      <c r="R486" s="0" t="n">
        <f aca="false">VLOOKUP(A486,'Team Data'!$A$1:$P$133,5,FALSE())</f>
        <v>179</v>
      </c>
      <c r="S486" s="0" t="n">
        <f aca="false">VLOOKUP(B486,'Team Data'!$A$1:$P$133,4,FALSE())</f>
        <v>94</v>
      </c>
      <c r="T486" s="0" t="n">
        <f aca="false">VLOOKUP(B486,'Team Data'!$A$1:$P$133,5,FALSE())</f>
        <v>182</v>
      </c>
      <c r="U486" s="0" t="n">
        <f aca="false">IF(K486=1,(MIN(35,(C486-D486)))*(O486/(O486+P486))*(S486/(S486+T486)),(MAX(-35,(C486-D486)))*(IF(P486=0,0.1,(P486/(O486+P486))))*(T486/(S486+T486)))</f>
        <v>-2.1304347826087</v>
      </c>
      <c r="V486" s="0" t="n">
        <f aca="false">IF(L486=1,(MIN(35,(D486-C486)))*(M486/(M486+N486))*(Q486/(Q486+R486)),(MAX(-35,(D486-C486)))*(IF(N486=0,0.1,(N486/(M486+N486))))*(R486/(R486+Q486)))</f>
        <v>2.61370016844469</v>
      </c>
    </row>
    <row r="487" customFormat="false" ht="15" hidden="false" customHeight="false" outlineLevel="0" collapsed="false">
      <c r="A487" s="0" t="s">
        <v>101</v>
      </c>
      <c r="B487" s="0" t="s">
        <v>81</v>
      </c>
      <c r="C487" s="0" t="n">
        <v>16</v>
      </c>
      <c r="D487" s="0" t="n">
        <v>14</v>
      </c>
      <c r="E487" s="0" t="n">
        <v>97</v>
      </c>
      <c r="F487" s="0" t="n">
        <v>150</v>
      </c>
      <c r="G487" s="0" t="n">
        <v>288</v>
      </c>
      <c r="H487" s="0" t="n">
        <v>151</v>
      </c>
      <c r="I487" s="0" t="n">
        <v>0</v>
      </c>
      <c r="J487" s="0" t="n">
        <v>2</v>
      </c>
      <c r="K487" s="0" t="n">
        <v>1</v>
      </c>
      <c r="L487" s="0" t="n">
        <v>0</v>
      </c>
      <c r="M487" s="0" t="n">
        <f aca="false">VLOOKUP(A487,'Team Data'!$A$1:$P$133,2,FALSE())</f>
        <v>3</v>
      </c>
      <c r="N487" s="0" t="n">
        <f aca="false">VLOOKUP(A487,'Team Data'!$A$1:$P$133,3,FALSE())</f>
        <v>9</v>
      </c>
      <c r="O487" s="0" t="n">
        <f aca="false">VLOOKUP(B487,'Team Data'!$A$1:$P$133,2,FALSE())</f>
        <v>9</v>
      </c>
      <c r="P487" s="0" t="n">
        <f aca="false">VLOOKUP(B487,'Team Data'!$A$1:$P$133,3,FALSE())</f>
        <v>4</v>
      </c>
      <c r="Q487" s="0" t="n">
        <f aca="false">VLOOKUP(A487,'Team Data'!$A$1:$P$133,4,FALSE())</f>
        <v>100</v>
      </c>
      <c r="R487" s="0" t="n">
        <f aca="false">VLOOKUP(A487,'Team Data'!$A$1:$P$133,5,FALSE())</f>
        <v>163</v>
      </c>
      <c r="S487" s="0" t="n">
        <f aca="false">VLOOKUP(B487,'Team Data'!$A$1:$P$133,4,FALSE())</f>
        <v>93</v>
      </c>
      <c r="T487" s="0" t="n">
        <f aca="false">VLOOKUP(B487,'Team Data'!$A$1:$P$133,5,FALSE())</f>
        <v>74</v>
      </c>
      <c r="U487" s="0" t="n">
        <f aca="false">IF(K487=1,(MIN(35,(C487-D487)))*(O487/(O487+P487))*(S487/(S487+T487)),(MAX(-35,(C487-D487)))*(IF(P487=0,0.1,(P487/(O487+P487))))*(T487/(S487+T487)))</f>
        <v>0.771073238139106</v>
      </c>
      <c r="V487" s="0" t="n">
        <f aca="false">IF(L487=1,(MIN(35,(D487-C487)))*(M487/(M487+N487))*(Q487/(Q487+R487)),(MAX(-35,(D487-C487)))*(IF(N487=0,0.1,(N487/(M487+N487))))*(R487/(R487+Q487)))</f>
        <v>-0.929657794676806</v>
      </c>
    </row>
    <row r="488" customFormat="false" ht="15" hidden="false" customHeight="false" outlineLevel="0" collapsed="false">
      <c r="A488" s="0" t="s">
        <v>120</v>
      </c>
      <c r="B488" s="0" t="s">
        <v>124</v>
      </c>
      <c r="C488" s="0" t="n">
        <v>42</v>
      </c>
      <c r="D488" s="0" t="n">
        <v>43</v>
      </c>
      <c r="E488" s="0" t="n">
        <v>175</v>
      </c>
      <c r="F488" s="0" t="n">
        <v>138</v>
      </c>
      <c r="G488" s="0" t="n">
        <v>381</v>
      </c>
      <c r="H488" s="0" t="n">
        <v>424</v>
      </c>
      <c r="I488" s="0" t="n">
        <v>0</v>
      </c>
      <c r="J488" s="0" t="n">
        <v>1</v>
      </c>
      <c r="K488" s="0" t="n">
        <v>0</v>
      </c>
      <c r="L488" s="0" t="n">
        <v>1</v>
      </c>
      <c r="M488" s="0" t="n">
        <f aca="false">VLOOKUP(A488,'Team Data'!$A$1:$P$133,2,FALSE())</f>
        <v>11</v>
      </c>
      <c r="N488" s="0" t="n">
        <f aca="false">VLOOKUP(A488,'Team Data'!$A$1:$P$133,3,FALSE())</f>
        <v>3</v>
      </c>
      <c r="O488" s="0" t="n">
        <f aca="false">VLOOKUP(B488,'Team Data'!$A$1:$P$133,2,FALSE())</f>
        <v>10</v>
      </c>
      <c r="P488" s="0" t="n">
        <f aca="false">VLOOKUP(B488,'Team Data'!$A$1:$P$133,3,FALSE())</f>
        <v>4</v>
      </c>
      <c r="Q488" s="0" t="n">
        <f aca="false">VLOOKUP(A488,'Team Data'!$A$1:$P$133,4,FALSE())</f>
        <v>98</v>
      </c>
      <c r="R488" s="0" t="n">
        <f aca="false">VLOOKUP(A488,'Team Data'!$A$1:$P$133,5,FALSE())</f>
        <v>83</v>
      </c>
      <c r="S488" s="0" t="n">
        <f aca="false">VLOOKUP(B488,'Team Data'!$A$1:$P$133,4,FALSE())</f>
        <v>102</v>
      </c>
      <c r="T488" s="0" t="n">
        <f aca="false">VLOOKUP(B488,'Team Data'!$A$1:$P$133,5,FALSE())</f>
        <v>185</v>
      </c>
      <c r="U488" s="0" t="n">
        <f aca="false">IF(K488=1,(MIN(35,(C488-D488)))*(O488/(O488+P488))*(S488/(S488+T488)),(MAX(-35,(C488-D488)))*(IF(P488=0,0.1,(P488/(O488+P488))))*(T488/(S488+T488)))</f>
        <v>-0.184171229467397</v>
      </c>
      <c r="V488" s="0" t="n">
        <f aca="false">IF(L488=1,(MIN(35,(D488-C488)))*(M488/(M488+N488))*(Q488/(Q488+R488)),(MAX(-35,(D488-C488)))*(IF(N488=0,0.1,(N488/(M488+N488))))*(R488/(R488+Q488)))</f>
        <v>0.425414364640884</v>
      </c>
    </row>
    <row r="489" customFormat="false" ht="15" hidden="false" customHeight="false" outlineLevel="0" collapsed="false">
      <c r="A489" s="0" t="s">
        <v>18</v>
      </c>
      <c r="B489" s="0" t="s">
        <v>132</v>
      </c>
      <c r="C489" s="0" t="n">
        <v>40</v>
      </c>
      <c r="D489" s="0" t="n">
        <v>43</v>
      </c>
      <c r="E489" s="0" t="n">
        <v>169</v>
      </c>
      <c r="F489" s="0" t="n">
        <v>217</v>
      </c>
      <c r="G489" s="0" t="n">
        <v>421</v>
      </c>
      <c r="H489" s="0" t="n">
        <v>283</v>
      </c>
      <c r="I489" s="0" t="n">
        <v>4</v>
      </c>
      <c r="J489" s="0" t="n">
        <v>1</v>
      </c>
      <c r="K489" s="0" t="n">
        <v>0</v>
      </c>
      <c r="L489" s="0" t="n">
        <v>1</v>
      </c>
      <c r="M489" s="0" t="n">
        <f aca="false">VLOOKUP(A489,'Team Data'!$A$1:$P$133,2,FALSE())</f>
        <v>6</v>
      </c>
      <c r="N489" s="0" t="n">
        <f aca="false">VLOOKUP(A489,'Team Data'!$A$1:$P$133,3,FALSE())</f>
        <v>7</v>
      </c>
      <c r="O489" s="0" t="n">
        <f aca="false">VLOOKUP(B489,'Team Data'!$A$1:$P$133,2,FALSE())</f>
        <v>5</v>
      </c>
      <c r="P489" s="0" t="n">
        <f aca="false">VLOOKUP(B489,'Team Data'!$A$1:$P$133,3,FALSE())</f>
        <v>7</v>
      </c>
      <c r="Q489" s="0" t="n">
        <f aca="false">VLOOKUP(A489,'Team Data'!$A$1:$P$133,4,FALSE())</f>
        <v>97</v>
      </c>
      <c r="R489" s="0" t="n">
        <f aca="false">VLOOKUP(A489,'Team Data'!$A$1:$P$133,5,FALSE())</f>
        <v>179</v>
      </c>
      <c r="S489" s="0" t="n">
        <f aca="false">VLOOKUP(B489,'Team Data'!$A$1:$P$133,4,FALSE())</f>
        <v>88</v>
      </c>
      <c r="T489" s="0" t="n">
        <f aca="false">VLOOKUP(B489,'Team Data'!$A$1:$P$133,5,FALSE())</f>
        <v>175</v>
      </c>
      <c r="U489" s="0" t="n">
        <f aca="false">IF(K489=1,(MIN(35,(C489-D489)))*(O489/(O489+P489))*(S489/(S489+T489)),(MAX(-35,(C489-D489)))*(IF(P489=0,0.1,(P489/(O489+P489))))*(T489/(S489+T489)))</f>
        <v>-1.16444866920152</v>
      </c>
      <c r="V489" s="0" t="n">
        <f aca="false">IF(L489=1,(MIN(35,(D489-C489)))*(M489/(M489+N489))*(Q489/(Q489+R489)),(MAX(-35,(D489-C489)))*(IF(N489=0,0.1,(N489/(M489+N489))))*(R489/(R489+Q489)))</f>
        <v>0.486622073578595</v>
      </c>
    </row>
    <row r="490" customFormat="false" ht="15" hidden="false" customHeight="false" outlineLevel="0" collapsed="false">
      <c r="A490" s="0" t="s">
        <v>48</v>
      </c>
      <c r="B490" s="0" t="s">
        <v>106</v>
      </c>
      <c r="C490" s="0" t="n">
        <v>21</v>
      </c>
      <c r="D490" s="0" t="n">
        <v>24</v>
      </c>
      <c r="E490" s="0" t="n">
        <v>74</v>
      </c>
      <c r="F490" s="0" t="n">
        <v>191</v>
      </c>
      <c r="G490" s="0" t="n">
        <v>329</v>
      </c>
      <c r="H490" s="0" t="n">
        <v>172</v>
      </c>
      <c r="I490" s="0" t="n">
        <v>2</v>
      </c>
      <c r="J490" s="0" t="n">
        <v>0</v>
      </c>
      <c r="K490" s="0" t="n">
        <v>0</v>
      </c>
      <c r="L490" s="0" t="n">
        <v>1</v>
      </c>
      <c r="M490" s="0" t="n">
        <f aca="false">VLOOKUP(A490,'Team Data'!$A$1:$P$133,2,FALSE())</f>
        <v>4</v>
      </c>
      <c r="N490" s="0" t="n">
        <f aca="false">VLOOKUP(A490,'Team Data'!$A$1:$P$133,3,FALSE())</f>
        <v>8</v>
      </c>
      <c r="O490" s="0" t="n">
        <f aca="false">VLOOKUP(B490,'Team Data'!$A$1:$P$133,2,FALSE())</f>
        <v>8</v>
      </c>
      <c r="P490" s="0" t="n">
        <f aca="false">VLOOKUP(B490,'Team Data'!$A$1:$P$133,3,FALSE())</f>
        <v>5</v>
      </c>
      <c r="Q490" s="0" t="n">
        <f aca="false">VLOOKUP(A490,'Team Data'!$A$1:$P$133,4,FALSE())</f>
        <v>95</v>
      </c>
      <c r="R490" s="0" t="n">
        <f aca="false">VLOOKUP(A490,'Team Data'!$A$1:$P$133,5,FALSE())</f>
        <v>171</v>
      </c>
      <c r="S490" s="0" t="n">
        <f aca="false">VLOOKUP(B490,'Team Data'!$A$1:$P$133,4,FALSE())</f>
        <v>102</v>
      </c>
      <c r="T490" s="0" t="n">
        <f aca="false">VLOOKUP(B490,'Team Data'!$A$1:$P$133,5,FALSE())</f>
        <v>68</v>
      </c>
      <c r="U490" s="0" t="n">
        <f aca="false">IF(K490=1,(MIN(35,(C490-D490)))*(O490/(O490+P490))*(S490/(S490+T490)),(MAX(-35,(C490-D490)))*(IF(P490=0,0.1,(P490/(O490+P490))))*(T490/(S490+T490)))</f>
        <v>-0.461538461538462</v>
      </c>
      <c r="V490" s="0" t="n">
        <f aca="false">IF(L490=1,(MIN(35,(D490-C490)))*(M490/(M490+N490))*(Q490/(Q490+R490)),(MAX(-35,(D490-C490)))*(IF(N490=0,0.1,(N490/(M490+N490))))*(R490/(R490+Q490)))</f>
        <v>0.357142857142857</v>
      </c>
    </row>
    <row r="491" customFormat="false" ht="15" hidden="false" customHeight="false" outlineLevel="0" collapsed="false">
      <c r="A491" s="0" t="s">
        <v>50</v>
      </c>
      <c r="B491" s="0" t="s">
        <v>84</v>
      </c>
      <c r="C491" s="0" t="n">
        <v>42</v>
      </c>
      <c r="D491" s="0" t="n">
        <v>52</v>
      </c>
      <c r="E491" s="0" t="n">
        <v>165</v>
      </c>
      <c r="F491" s="0" t="n">
        <v>298</v>
      </c>
      <c r="G491" s="0" t="n">
        <v>265</v>
      </c>
      <c r="H491" s="0" t="n">
        <v>403</v>
      </c>
      <c r="I491" s="0" t="n">
        <v>2</v>
      </c>
      <c r="J491" s="0" t="n">
        <v>3</v>
      </c>
      <c r="K491" s="0" t="n">
        <v>0</v>
      </c>
      <c r="L491" s="0" t="n">
        <v>1</v>
      </c>
      <c r="M491" s="0" t="n">
        <f aca="false">VLOOKUP(A491,'Team Data'!$A$1:$P$133,2,FALSE())</f>
        <v>6</v>
      </c>
      <c r="N491" s="0" t="n">
        <f aca="false">VLOOKUP(A491,'Team Data'!$A$1:$P$133,3,FALSE())</f>
        <v>7</v>
      </c>
      <c r="O491" s="0" t="n">
        <f aca="false">VLOOKUP(B491,'Team Data'!$A$1:$P$133,2,FALSE())</f>
        <v>6</v>
      </c>
      <c r="P491" s="0" t="n">
        <f aca="false">VLOOKUP(B491,'Team Data'!$A$1:$P$133,3,FALSE())</f>
        <v>7</v>
      </c>
      <c r="Q491" s="0" t="n">
        <f aca="false">VLOOKUP(A491,'Team Data'!$A$1:$P$133,4,FALSE())</f>
        <v>99</v>
      </c>
      <c r="R491" s="0" t="n">
        <f aca="false">VLOOKUP(A491,'Team Data'!$A$1:$P$133,5,FALSE())</f>
        <v>178</v>
      </c>
      <c r="S491" s="0" t="n">
        <f aca="false">VLOOKUP(B491,'Team Data'!$A$1:$P$133,4,FALSE())</f>
        <v>91</v>
      </c>
      <c r="T491" s="0" t="n">
        <f aca="false">VLOOKUP(B491,'Team Data'!$A$1:$P$133,5,FALSE())</f>
        <v>76</v>
      </c>
      <c r="U491" s="0" t="n">
        <f aca="false">IF(K491=1,(MIN(35,(C491-D491)))*(O491/(O491+P491))*(S491/(S491+T491)),(MAX(-35,(C491-D491)))*(IF(P491=0,0.1,(P491/(O491+P491))))*(T491/(S491+T491)))</f>
        <v>-2.45048364808844</v>
      </c>
      <c r="V491" s="0" t="n">
        <f aca="false">IF(L491=1,(MIN(35,(D491-C491)))*(M491/(M491+N491))*(Q491/(Q491+R491)),(MAX(-35,(D491-C491)))*(IF(N491=0,0.1,(N491/(M491+N491))))*(R491/(R491+Q491)))</f>
        <v>1.64954179394613</v>
      </c>
    </row>
    <row r="492" customFormat="false" ht="15" hidden="false" customHeight="false" outlineLevel="0" collapsed="false">
      <c r="A492" s="0" t="s">
        <v>85</v>
      </c>
      <c r="B492" s="0" t="s">
        <v>103</v>
      </c>
      <c r="C492" s="0" t="n">
        <v>40</v>
      </c>
      <c r="D492" s="0" t="n">
        <v>43</v>
      </c>
      <c r="E492" s="0" t="n">
        <v>141</v>
      </c>
      <c r="F492" s="0" t="n">
        <v>224</v>
      </c>
      <c r="G492" s="0" t="n">
        <v>245</v>
      </c>
      <c r="H492" s="0" t="n">
        <v>286</v>
      </c>
      <c r="I492" s="0" t="n">
        <v>1</v>
      </c>
      <c r="J492" s="0" t="n">
        <v>1</v>
      </c>
      <c r="K492" s="0" t="n">
        <v>0</v>
      </c>
      <c r="L492" s="0" t="n">
        <v>1</v>
      </c>
      <c r="M492" s="0" t="n">
        <f aca="false">VLOOKUP(A492,'Team Data'!$A$1:$P$133,2,FALSE())</f>
        <v>7</v>
      </c>
      <c r="N492" s="0" t="n">
        <f aca="false">VLOOKUP(A492,'Team Data'!$A$1:$P$133,3,FALSE())</f>
        <v>6</v>
      </c>
      <c r="O492" s="0" t="n">
        <f aca="false">VLOOKUP(B492,'Team Data'!$A$1:$P$133,2,FALSE())</f>
        <v>13</v>
      </c>
      <c r="P492" s="0" t="n">
        <f aca="false">VLOOKUP(B492,'Team Data'!$A$1:$P$133,3,FALSE())</f>
        <v>2</v>
      </c>
      <c r="Q492" s="0" t="n">
        <f aca="false">VLOOKUP(A492,'Team Data'!$A$1:$P$133,4,FALSE())</f>
        <v>88</v>
      </c>
      <c r="R492" s="0" t="n">
        <f aca="false">VLOOKUP(A492,'Team Data'!$A$1:$P$133,5,FALSE())</f>
        <v>187</v>
      </c>
      <c r="S492" s="0" t="n">
        <f aca="false">VLOOKUP(B492,'Team Data'!$A$1:$P$133,4,FALSE())</f>
        <v>114</v>
      </c>
      <c r="T492" s="0" t="n">
        <f aca="false">VLOOKUP(B492,'Team Data'!$A$1:$P$133,5,FALSE())</f>
        <v>190</v>
      </c>
      <c r="U492" s="0" t="n">
        <f aca="false">IF(K492=1,(MIN(35,(C492-D492)))*(O492/(O492+P492))*(S492/(S492+T492)),(MAX(-35,(C492-D492)))*(IF(P492=0,0.1,(P492/(O492+P492))))*(T492/(S492+T492)))</f>
        <v>-0.25</v>
      </c>
      <c r="V492" s="0" t="n">
        <f aca="false">IF(L492=1,(MIN(35,(D492-C492)))*(M492/(M492+N492))*(Q492/(Q492+R492)),(MAX(-35,(D492-C492)))*(IF(N492=0,0.1,(N492/(M492+N492))))*(R492/(R492+Q492)))</f>
        <v>0.516923076923077</v>
      </c>
    </row>
    <row r="493" customFormat="false" ht="15" hidden="false" customHeight="false" outlineLevel="0" collapsed="false">
      <c r="A493" s="0" t="s">
        <v>198</v>
      </c>
      <c r="B493" s="0" t="s">
        <v>14</v>
      </c>
      <c r="C493" s="0" t="n">
        <v>17</v>
      </c>
      <c r="D493" s="0" t="n">
        <v>42</v>
      </c>
      <c r="E493" s="0" t="n">
        <v>193</v>
      </c>
      <c r="F493" s="0" t="n">
        <v>467</v>
      </c>
      <c r="G493" s="0" t="n">
        <v>149</v>
      </c>
      <c r="H493" s="0" t="n">
        <v>0</v>
      </c>
      <c r="I493" s="0" t="n">
        <v>2</v>
      </c>
      <c r="J493" s="0" t="n">
        <v>1</v>
      </c>
      <c r="K493" s="0" t="n">
        <v>0</v>
      </c>
      <c r="L493" s="0" t="n">
        <v>1</v>
      </c>
      <c r="M493" s="0" t="n">
        <f aca="false">VLOOKUP(A493,'Team Data'!$A$1:$P$133,2,FALSE())</f>
        <v>8</v>
      </c>
      <c r="N493" s="0" t="n">
        <f aca="false">VLOOKUP(A493,'Team Data'!$A$1:$P$133,3,FALSE())</f>
        <v>112</v>
      </c>
      <c r="O493" s="0" t="n">
        <f aca="false">VLOOKUP(B493,'Team Data'!$A$1:$P$133,2,FALSE())</f>
        <v>6</v>
      </c>
      <c r="P493" s="0" t="n">
        <f aca="false">VLOOKUP(B493,'Team Data'!$A$1:$P$133,3,FALSE())</f>
        <v>6</v>
      </c>
      <c r="Q493" s="0" t="n">
        <f aca="false">VLOOKUP(A493,'Team Data'!$A$1:$P$133,4,FALSE())</f>
        <v>805</v>
      </c>
      <c r="R493" s="0" t="n">
        <f aca="false">VLOOKUP(A493,'Team Data'!$A$1:$P$133,5,FALSE())</f>
        <v>725</v>
      </c>
      <c r="S493" s="0" t="n">
        <f aca="false">VLOOKUP(B493,'Team Data'!$A$1:$P$133,4,FALSE())</f>
        <v>85</v>
      </c>
      <c r="T493" s="0" t="n">
        <f aca="false">VLOOKUP(B493,'Team Data'!$A$1:$P$133,5,FALSE())</f>
        <v>283</v>
      </c>
      <c r="U493" s="0" t="n">
        <f aca="false">IF(K493=1,(MIN(35,(C493-D493)))*(O493/(O493+P493))*(S493/(S493+T493)),(MAX(-35,(C493-D493)))*(IF(P493=0,0.1,(P493/(O493+P493))))*(T493/(S493+T493)))</f>
        <v>-9.61277173913044</v>
      </c>
      <c r="V493" s="0" t="n">
        <f aca="false">IF(L493=1,(MIN(35,(D493-C493)))*(M493/(M493+N493))*(Q493/(Q493+R493)),(MAX(-35,(D493-C493)))*(IF(N493=0,0.1,(N493/(M493+N493))))*(R493/(R493+Q493)))</f>
        <v>0.876906318082789</v>
      </c>
    </row>
    <row r="494" customFormat="false" ht="15" hidden="false" customHeight="false" outlineLevel="0" collapsed="false">
      <c r="A494" s="0" t="s">
        <v>117</v>
      </c>
      <c r="B494" s="0" t="s">
        <v>17</v>
      </c>
      <c r="C494" s="0" t="n">
        <v>21</v>
      </c>
      <c r="D494" s="0" t="n">
        <v>25</v>
      </c>
      <c r="E494" s="0" t="n">
        <v>194</v>
      </c>
      <c r="F494" s="0" t="n">
        <v>209</v>
      </c>
      <c r="G494" s="0" t="n">
        <v>129</v>
      </c>
      <c r="H494" s="0" t="n">
        <v>147</v>
      </c>
      <c r="I494" s="0" t="n">
        <v>2</v>
      </c>
      <c r="J494" s="0" t="n">
        <v>1</v>
      </c>
      <c r="K494" s="0" t="n">
        <v>0</v>
      </c>
      <c r="L494" s="0" t="n">
        <v>1</v>
      </c>
      <c r="M494" s="0" t="n">
        <f aca="false">VLOOKUP(A494,'Team Data'!$A$1:$P$133,2,FALSE())</f>
        <v>6</v>
      </c>
      <c r="N494" s="0" t="n">
        <f aca="false">VLOOKUP(A494,'Team Data'!$A$1:$P$133,3,FALSE())</f>
        <v>7</v>
      </c>
      <c r="O494" s="0" t="n">
        <f aca="false">VLOOKUP(B494,'Team Data'!$A$1:$P$133,2,FALSE())</f>
        <v>5</v>
      </c>
      <c r="P494" s="0" t="n">
        <f aca="false">VLOOKUP(B494,'Team Data'!$A$1:$P$133,3,FALSE())</f>
        <v>7</v>
      </c>
      <c r="Q494" s="0" t="n">
        <f aca="false">VLOOKUP(A494,'Team Data'!$A$1:$P$133,4,FALSE())</f>
        <v>88</v>
      </c>
      <c r="R494" s="0" t="n">
        <f aca="false">VLOOKUP(A494,'Team Data'!$A$1:$P$133,5,FALSE())</f>
        <v>185</v>
      </c>
      <c r="S494" s="0" t="n">
        <f aca="false">VLOOKUP(B494,'Team Data'!$A$1:$P$133,4,FALSE())</f>
        <v>82</v>
      </c>
      <c r="T494" s="0" t="n">
        <f aca="false">VLOOKUP(B494,'Team Data'!$A$1:$P$133,5,FALSE())</f>
        <v>179</v>
      </c>
      <c r="U494" s="0" t="n">
        <f aca="false">IF(K494=1,(MIN(35,(C494-D494)))*(O494/(O494+P494))*(S494/(S494+T494)),(MAX(-35,(C494-D494)))*(IF(P494=0,0.1,(P494/(O494+P494))))*(T494/(S494+T494)))</f>
        <v>-1.60025542784163</v>
      </c>
      <c r="V494" s="0" t="n">
        <f aca="false">IF(L494=1,(MIN(35,(D494-C494)))*(M494/(M494+N494))*(Q494/(Q494+R494)),(MAX(-35,(D494-C494)))*(IF(N494=0,0.1,(N494/(M494+N494))))*(R494/(R494+Q494)))</f>
        <v>0.595097210481826</v>
      </c>
    </row>
    <row r="495" customFormat="false" ht="15" hidden="false" customHeight="false" outlineLevel="0" collapsed="false">
      <c r="A495" s="0" t="s">
        <v>198</v>
      </c>
      <c r="B495" s="0" t="s">
        <v>55</v>
      </c>
      <c r="C495" s="0" t="n">
        <v>20</v>
      </c>
      <c r="D495" s="0" t="n">
        <v>21</v>
      </c>
      <c r="E495" s="0" t="n">
        <v>86</v>
      </c>
      <c r="F495" s="0" t="n">
        <v>93</v>
      </c>
      <c r="G495" s="0" t="n">
        <v>239</v>
      </c>
      <c r="H495" s="0" t="n">
        <v>222</v>
      </c>
      <c r="I495" s="0" t="n">
        <v>3</v>
      </c>
      <c r="J495" s="0" t="n">
        <v>3</v>
      </c>
      <c r="K495" s="0" t="n">
        <v>0</v>
      </c>
      <c r="L495" s="0" t="n">
        <v>1</v>
      </c>
      <c r="M495" s="0" t="n">
        <f aca="false">VLOOKUP(A495,'Team Data'!$A$1:$P$133,2,FALSE())</f>
        <v>8</v>
      </c>
      <c r="N495" s="0" t="n">
        <f aca="false">VLOOKUP(A495,'Team Data'!$A$1:$P$133,3,FALSE())</f>
        <v>112</v>
      </c>
      <c r="O495" s="0" t="n">
        <f aca="false">VLOOKUP(B495,'Team Data'!$A$1:$P$133,2,FALSE())</f>
        <v>8</v>
      </c>
      <c r="P495" s="0" t="n">
        <f aca="false">VLOOKUP(B495,'Team Data'!$A$1:$P$133,3,FALSE())</f>
        <v>5</v>
      </c>
      <c r="Q495" s="0" t="n">
        <f aca="false">VLOOKUP(A495,'Team Data'!$A$1:$P$133,4,FALSE())</f>
        <v>805</v>
      </c>
      <c r="R495" s="0" t="n">
        <f aca="false">VLOOKUP(A495,'Team Data'!$A$1:$P$133,5,FALSE())</f>
        <v>725</v>
      </c>
      <c r="S495" s="0" t="n">
        <f aca="false">VLOOKUP(B495,'Team Data'!$A$1:$P$133,4,FALSE())</f>
        <v>76</v>
      </c>
      <c r="T495" s="0" t="n">
        <f aca="false">VLOOKUP(B495,'Team Data'!$A$1:$P$133,5,FALSE())</f>
        <v>196</v>
      </c>
      <c r="U495" s="0" t="n">
        <f aca="false">IF(K495=1,(MIN(35,(C495-D495)))*(O495/(O495+P495))*(S495/(S495+T495)),(MAX(-35,(C495-D495)))*(IF(P495=0,0.1,(P495/(O495+P495))))*(T495/(S495+T495)))</f>
        <v>-0.277149321266968</v>
      </c>
      <c r="V495" s="0" t="n">
        <f aca="false">IF(L495=1,(MIN(35,(D495-C495)))*(M495/(M495+N495))*(Q495/(Q495+R495)),(MAX(-35,(D495-C495)))*(IF(N495=0,0.1,(N495/(M495+N495))))*(R495/(R495+Q495)))</f>
        <v>0.0350762527233115</v>
      </c>
    </row>
    <row r="496" customFormat="false" ht="15" hidden="false" customHeight="false" outlineLevel="0" collapsed="false">
      <c r="A496" s="0" t="s">
        <v>68</v>
      </c>
      <c r="B496" s="0" t="s">
        <v>45</v>
      </c>
      <c r="C496" s="0" t="n">
        <v>14</v>
      </c>
      <c r="D496" s="0" t="n">
        <v>26</v>
      </c>
      <c r="E496" s="0" t="n">
        <v>142</v>
      </c>
      <c r="F496" s="0" t="n">
        <v>220</v>
      </c>
      <c r="G496" s="0" t="n">
        <v>38</v>
      </c>
      <c r="H496" s="0" t="n">
        <v>252</v>
      </c>
      <c r="I496" s="0" t="n">
        <v>3</v>
      </c>
      <c r="J496" s="0" t="n">
        <v>0</v>
      </c>
      <c r="K496" s="0" t="n">
        <v>0</v>
      </c>
      <c r="L496" s="0" t="n">
        <v>1</v>
      </c>
      <c r="M496" s="0" t="n">
        <f aca="false">VLOOKUP(A496,'Team Data'!$A$1:$P$133,2,FALSE())</f>
        <v>9</v>
      </c>
      <c r="N496" s="0" t="n">
        <f aca="false">VLOOKUP(A496,'Team Data'!$A$1:$P$133,3,FALSE())</f>
        <v>4</v>
      </c>
      <c r="O496" s="0" t="n">
        <f aca="false">VLOOKUP(B496,'Team Data'!$A$1:$P$133,2,FALSE())</f>
        <v>8</v>
      </c>
      <c r="P496" s="0" t="n">
        <f aca="false">VLOOKUP(B496,'Team Data'!$A$1:$P$133,3,FALSE())</f>
        <v>5</v>
      </c>
      <c r="Q496" s="0" t="n">
        <f aca="false">VLOOKUP(A496,'Team Data'!$A$1:$P$133,4,FALSE())</f>
        <v>79</v>
      </c>
      <c r="R496" s="0" t="n">
        <f aca="false">VLOOKUP(A496,'Team Data'!$A$1:$P$133,5,FALSE())</f>
        <v>193</v>
      </c>
      <c r="S496" s="0" t="n">
        <f aca="false">VLOOKUP(B496,'Team Data'!$A$1:$P$133,4,FALSE())</f>
        <v>86</v>
      </c>
      <c r="T496" s="0" t="n">
        <f aca="false">VLOOKUP(B496,'Team Data'!$A$1:$P$133,5,FALSE())</f>
        <v>185</v>
      </c>
      <c r="U496" s="0" t="n">
        <f aca="false">IF(K496=1,(MIN(35,(C496-D496)))*(O496/(O496+P496))*(S496/(S496+T496)),(MAX(-35,(C496-D496)))*(IF(P496=0,0.1,(P496/(O496+P496))))*(T496/(S496+T496)))</f>
        <v>-3.15072381493046</v>
      </c>
      <c r="V496" s="0" t="n">
        <f aca="false">IF(L496=1,(MIN(35,(D496-C496)))*(M496/(M496+N496))*(Q496/(Q496+R496)),(MAX(-35,(D496-C496)))*(IF(N496=0,0.1,(N496/(M496+N496))))*(R496/(R496+Q496)))</f>
        <v>2.41289592760181</v>
      </c>
    </row>
    <row r="497" customFormat="false" ht="15" hidden="false" customHeight="false" outlineLevel="0" collapsed="false">
      <c r="A497" s="0" t="s">
        <v>73</v>
      </c>
      <c r="B497" s="0" t="s">
        <v>92</v>
      </c>
      <c r="C497" s="0" t="n">
        <v>37</v>
      </c>
      <c r="D497" s="0" t="n">
        <v>43</v>
      </c>
      <c r="E497" s="0" t="n">
        <v>122</v>
      </c>
      <c r="F497" s="0" t="n">
        <v>217</v>
      </c>
      <c r="G497" s="0" t="n">
        <v>354</v>
      </c>
      <c r="H497" s="0" t="n">
        <v>391</v>
      </c>
      <c r="I497" s="0" t="n">
        <v>2</v>
      </c>
      <c r="J497" s="0" t="n">
        <v>1</v>
      </c>
      <c r="K497" s="0" t="n">
        <v>0</v>
      </c>
      <c r="L497" s="0" t="n">
        <v>1</v>
      </c>
      <c r="M497" s="0" t="n">
        <f aca="false">VLOOKUP(A497,'Team Data'!$A$1:$P$133,2,FALSE())</f>
        <v>4</v>
      </c>
      <c r="N497" s="0" t="n">
        <f aca="false">VLOOKUP(A497,'Team Data'!$A$1:$P$133,3,FALSE())</f>
        <v>8</v>
      </c>
      <c r="O497" s="0" t="n">
        <f aca="false">VLOOKUP(B497,'Team Data'!$A$1:$P$133,2,FALSE())</f>
        <v>8</v>
      </c>
      <c r="P497" s="0" t="n">
        <f aca="false">VLOOKUP(B497,'Team Data'!$A$1:$P$133,3,FALSE())</f>
        <v>6</v>
      </c>
      <c r="Q497" s="0" t="n">
        <f aca="false">VLOOKUP(A497,'Team Data'!$A$1:$P$133,4,FALSE())</f>
        <v>82</v>
      </c>
      <c r="R497" s="0" t="n">
        <f aca="false">VLOOKUP(A497,'Team Data'!$A$1:$P$133,5,FALSE())</f>
        <v>180</v>
      </c>
      <c r="S497" s="0" t="n">
        <f aca="false">VLOOKUP(B497,'Team Data'!$A$1:$P$133,4,FALSE())</f>
        <v>103</v>
      </c>
      <c r="T497" s="0" t="n">
        <f aca="false">VLOOKUP(B497,'Team Data'!$A$1:$P$133,5,FALSE())</f>
        <v>184</v>
      </c>
      <c r="U497" s="0" t="n">
        <f aca="false">IF(K497=1,(MIN(35,(C497-D497)))*(O497/(O497+P497))*(S497/(S497+T497)),(MAX(-35,(C497-D497)))*(IF(P497=0,0.1,(P497/(O497+P497))))*(T497/(S497+T497)))</f>
        <v>-1.64858138377302</v>
      </c>
      <c r="V497" s="0" t="n">
        <f aca="false">IF(L497=1,(MIN(35,(D497-C497)))*(M497/(M497+N497))*(Q497/(Q497+R497)),(MAX(-35,(D497-C497)))*(IF(N497=0,0.1,(N497/(M497+N497))))*(R497/(R497+Q497)))</f>
        <v>0.625954198473283</v>
      </c>
    </row>
    <row r="498" customFormat="false" ht="15" hidden="false" customHeight="false" outlineLevel="0" collapsed="false">
      <c r="A498" s="0" t="s">
        <v>61</v>
      </c>
      <c r="B498" s="0" t="s">
        <v>46</v>
      </c>
      <c r="C498" s="0" t="n">
        <v>38</v>
      </c>
      <c r="D498" s="0" t="n">
        <v>33</v>
      </c>
      <c r="E498" s="0" t="n">
        <v>172</v>
      </c>
      <c r="F498" s="0" t="n">
        <v>36</v>
      </c>
      <c r="G498" s="0" t="n">
        <v>270</v>
      </c>
      <c r="H498" s="0" t="n">
        <v>315</v>
      </c>
      <c r="I498" s="0" t="n">
        <v>0</v>
      </c>
      <c r="J498" s="0" t="n">
        <v>3</v>
      </c>
      <c r="K498" s="0" t="n">
        <v>1</v>
      </c>
      <c r="L498" s="0" t="n">
        <v>0</v>
      </c>
      <c r="M498" s="0" t="n">
        <f aca="false">VLOOKUP(A498,'Team Data'!$A$1:$P$133,2,FALSE())</f>
        <v>8</v>
      </c>
      <c r="N498" s="0" t="n">
        <f aca="false">VLOOKUP(A498,'Team Data'!$A$1:$P$133,3,FALSE())</f>
        <v>5</v>
      </c>
      <c r="O498" s="0" t="n">
        <f aca="false">VLOOKUP(B498,'Team Data'!$A$1:$P$133,2,FALSE())</f>
        <v>4</v>
      </c>
      <c r="P498" s="0" t="n">
        <f aca="false">VLOOKUP(B498,'Team Data'!$A$1:$P$133,3,FALSE())</f>
        <v>8</v>
      </c>
      <c r="Q498" s="0" t="n">
        <f aca="false">VLOOKUP(A498,'Team Data'!$A$1:$P$133,4,FALSE())</f>
        <v>89</v>
      </c>
      <c r="R498" s="0" t="n">
        <f aca="false">VLOOKUP(A498,'Team Data'!$A$1:$P$133,5,FALSE())</f>
        <v>77</v>
      </c>
      <c r="S498" s="0" t="n">
        <f aca="false">VLOOKUP(B498,'Team Data'!$A$1:$P$133,4,FALSE())</f>
        <v>98</v>
      </c>
      <c r="T498" s="0" t="n">
        <f aca="false">VLOOKUP(B498,'Team Data'!$A$1:$P$133,5,FALSE())</f>
        <v>165</v>
      </c>
      <c r="U498" s="0" t="n">
        <f aca="false">IF(K498=1,(MIN(35,(C498-D498)))*(O498/(O498+P498))*(S498/(S498+T498)),(MAX(-35,(C498-D498)))*(IF(P498=0,0.1,(P498/(O498+P498))))*(T498/(S498+T498)))</f>
        <v>0.621039290240811</v>
      </c>
      <c r="V498" s="0" t="n">
        <f aca="false">IF(L498=1,(MIN(35,(D498-C498)))*(M498/(M498+N498))*(Q498/(Q498+R498)),(MAX(-35,(D498-C498)))*(IF(N498=0,0.1,(N498/(M498+N498))))*(R498/(R498+Q498)))</f>
        <v>-0.892029657089898</v>
      </c>
    </row>
    <row r="499" customFormat="false" ht="15" hidden="false" customHeight="false" outlineLevel="0" collapsed="false">
      <c r="A499" s="0" t="s">
        <v>90</v>
      </c>
      <c r="B499" s="0" t="s">
        <v>65</v>
      </c>
      <c r="C499" s="0" t="n">
        <v>17</v>
      </c>
      <c r="D499" s="0" t="n">
        <v>41</v>
      </c>
      <c r="E499" s="0" t="n">
        <v>111</v>
      </c>
      <c r="F499" s="0" t="n">
        <v>418</v>
      </c>
      <c r="G499" s="0" t="n">
        <v>157</v>
      </c>
      <c r="H499" s="0" t="n">
        <v>145</v>
      </c>
      <c r="I499" s="0" t="n">
        <v>0</v>
      </c>
      <c r="J499" s="0" t="n">
        <v>1</v>
      </c>
      <c r="K499" s="0" t="n">
        <v>0</v>
      </c>
      <c r="L499" s="0" t="n">
        <v>1</v>
      </c>
      <c r="M499" s="0" t="n">
        <f aca="false">VLOOKUP(A499,'Team Data'!$A$1:$P$133,2,FALSE())</f>
        <v>11</v>
      </c>
      <c r="N499" s="0" t="n">
        <f aca="false">VLOOKUP(A499,'Team Data'!$A$1:$P$133,3,FALSE())</f>
        <v>2</v>
      </c>
      <c r="O499" s="0" t="n">
        <f aca="false">VLOOKUP(B499,'Team Data'!$A$1:$P$133,2,FALSE())</f>
        <v>13</v>
      </c>
      <c r="P499" s="0" t="n">
        <f aca="false">VLOOKUP(B499,'Team Data'!$A$1:$P$133,3,FALSE())</f>
        <v>1</v>
      </c>
      <c r="Q499" s="0" t="n">
        <f aca="false">VLOOKUP(A499,'Team Data'!$A$1:$P$133,4,FALSE())</f>
        <v>92</v>
      </c>
      <c r="R499" s="0" t="n">
        <f aca="false">VLOOKUP(A499,'Team Data'!$A$1:$P$133,5,FALSE())</f>
        <v>75</v>
      </c>
      <c r="S499" s="0" t="n">
        <f aca="false">VLOOKUP(B499,'Team Data'!$A$1:$P$133,4,FALSE())</f>
        <v>96</v>
      </c>
      <c r="T499" s="0" t="n">
        <f aca="false">VLOOKUP(B499,'Team Data'!$A$1:$P$133,5,FALSE())</f>
        <v>84</v>
      </c>
      <c r="U499" s="0" t="n">
        <f aca="false">IF(K499=1,(MIN(35,(C499-D499)))*(O499/(O499+P499))*(S499/(S499+T499)),(MAX(-35,(C499-D499)))*(IF(P499=0,0.1,(P499/(O499+P499))))*(T499/(S499+T499)))</f>
        <v>-0.8</v>
      </c>
      <c r="V499" s="0" t="n">
        <f aca="false">IF(L499=1,(MIN(35,(D499-C499)))*(M499/(M499+N499))*(Q499/(Q499+R499)),(MAX(-35,(D499-C499)))*(IF(N499=0,0.1,(N499/(M499+N499))))*(R499/(R499+Q499)))</f>
        <v>11.1874712114233</v>
      </c>
    </row>
    <row r="500" customFormat="false" ht="15" hidden="false" customHeight="false" outlineLevel="0" collapsed="false">
      <c r="A500" s="0" t="s">
        <v>135</v>
      </c>
      <c r="B500" s="0" t="s">
        <v>66</v>
      </c>
      <c r="C500" s="0" t="n">
        <v>28</v>
      </c>
      <c r="D500" s="0" t="n">
        <v>34</v>
      </c>
      <c r="E500" s="0" t="n">
        <v>152</v>
      </c>
      <c r="F500" s="0" t="n">
        <v>99</v>
      </c>
      <c r="G500" s="0" t="n">
        <v>131</v>
      </c>
      <c r="H500" s="0" t="n">
        <v>290</v>
      </c>
      <c r="I500" s="0" t="n">
        <v>2</v>
      </c>
      <c r="J500" s="0" t="n">
        <v>1</v>
      </c>
      <c r="K500" s="0" t="n">
        <v>0</v>
      </c>
      <c r="L500" s="0" t="n">
        <v>1</v>
      </c>
      <c r="M500" s="0" t="n">
        <f aca="false">VLOOKUP(A500,'Team Data'!$A$1:$P$133,2,FALSE())</f>
        <v>7</v>
      </c>
      <c r="N500" s="0" t="n">
        <f aca="false">VLOOKUP(A500,'Team Data'!$A$1:$P$133,3,FALSE())</f>
        <v>6</v>
      </c>
      <c r="O500" s="0" t="n">
        <f aca="false">VLOOKUP(B500,'Team Data'!$A$1:$P$133,2,FALSE())</f>
        <v>5</v>
      </c>
      <c r="P500" s="0" t="n">
        <f aca="false">VLOOKUP(B500,'Team Data'!$A$1:$P$133,3,FALSE())</f>
        <v>7</v>
      </c>
      <c r="Q500" s="0" t="n">
        <f aca="false">VLOOKUP(A500,'Team Data'!$A$1:$P$133,4,FALSE())</f>
        <v>91</v>
      </c>
      <c r="R500" s="0" t="n">
        <f aca="false">VLOOKUP(A500,'Team Data'!$A$1:$P$133,5,FALSE())</f>
        <v>183</v>
      </c>
      <c r="S500" s="0" t="n">
        <f aca="false">VLOOKUP(B500,'Team Data'!$A$1:$P$133,4,FALSE())</f>
        <v>93</v>
      </c>
      <c r="T500" s="0" t="n">
        <f aca="false">VLOOKUP(B500,'Team Data'!$A$1:$P$133,5,FALSE())</f>
        <v>60</v>
      </c>
      <c r="U500" s="0" t="n">
        <f aca="false">IF(K500=1,(MIN(35,(C500-D500)))*(O500/(O500+P500))*(S500/(S500+T500)),(MAX(-35,(C500-D500)))*(IF(P500=0,0.1,(P500/(O500+P500))))*(T500/(S500+T500)))</f>
        <v>-1.37254901960784</v>
      </c>
      <c r="V500" s="0" t="n">
        <f aca="false">IF(L500=1,(MIN(35,(D500-C500)))*(M500/(M500+N500))*(Q500/(Q500+R500)),(MAX(-35,(D500-C500)))*(IF(N500=0,0.1,(N500/(M500+N500))))*(R500/(R500+Q500)))</f>
        <v>1.07299270072993</v>
      </c>
    </row>
    <row r="501" customFormat="false" ht="15" hidden="false" customHeight="false" outlineLevel="0" collapsed="false">
      <c r="A501" s="0" t="s">
        <v>75</v>
      </c>
      <c r="B501" s="0" t="s">
        <v>76</v>
      </c>
      <c r="C501" s="0" t="n">
        <v>9</v>
      </c>
      <c r="D501" s="0" t="n">
        <v>21</v>
      </c>
      <c r="E501" s="0" t="n">
        <v>109</v>
      </c>
      <c r="F501" s="0" t="n">
        <v>106</v>
      </c>
      <c r="G501" s="0" t="n">
        <v>160</v>
      </c>
      <c r="H501" s="0" t="n">
        <v>119</v>
      </c>
      <c r="I501" s="0" t="n">
        <v>1</v>
      </c>
      <c r="J501" s="0" t="n">
        <v>0</v>
      </c>
      <c r="K501" s="0" t="n">
        <v>0</v>
      </c>
      <c r="L501" s="0" t="n">
        <v>1</v>
      </c>
      <c r="M501" s="0" t="n">
        <f aca="false">VLOOKUP(A501,'Team Data'!$A$1:$P$133,2,FALSE())</f>
        <v>2</v>
      </c>
      <c r="N501" s="0" t="n">
        <f aca="false">VLOOKUP(A501,'Team Data'!$A$1:$P$133,3,FALSE())</f>
        <v>10</v>
      </c>
      <c r="O501" s="0" t="n">
        <f aca="false">VLOOKUP(B501,'Team Data'!$A$1:$P$133,2,FALSE())</f>
        <v>7</v>
      </c>
      <c r="P501" s="0" t="n">
        <f aca="false">VLOOKUP(B501,'Team Data'!$A$1:$P$133,3,FALSE())</f>
        <v>6</v>
      </c>
      <c r="Q501" s="0" t="n">
        <f aca="false">VLOOKUP(A501,'Team Data'!$A$1:$P$133,4,FALSE())</f>
        <v>88</v>
      </c>
      <c r="R501" s="0" t="n">
        <f aca="false">VLOOKUP(A501,'Team Data'!$A$1:$P$133,5,FALSE())</f>
        <v>175</v>
      </c>
      <c r="S501" s="0" t="n">
        <f aca="false">VLOOKUP(B501,'Team Data'!$A$1:$P$133,4,FALSE())</f>
        <v>69</v>
      </c>
      <c r="T501" s="0" t="n">
        <f aca="false">VLOOKUP(B501,'Team Data'!$A$1:$P$133,5,FALSE())</f>
        <v>309</v>
      </c>
      <c r="U501" s="0" t="n">
        <f aca="false">IF(K501=1,(MIN(35,(C501-D501)))*(O501/(O501+P501))*(S501/(S501+T501)),(MAX(-35,(C501-D501)))*(IF(P501=0,0.1,(P501/(O501+P501))))*(T501/(S501+T501)))</f>
        <v>-4.52747252747253</v>
      </c>
      <c r="V501" s="0" t="n">
        <f aca="false">IF(L501=1,(MIN(35,(D501-C501)))*(M501/(M501+N501))*(Q501/(Q501+R501)),(MAX(-35,(D501-C501)))*(IF(N501=0,0.1,(N501/(M501+N501))))*(R501/(R501+Q501)))</f>
        <v>0.669201520912548</v>
      </c>
    </row>
    <row r="502" customFormat="false" ht="15" hidden="false" customHeight="false" outlineLevel="0" collapsed="false">
      <c r="A502" s="0" t="s">
        <v>77</v>
      </c>
      <c r="B502" s="0" t="s">
        <v>31</v>
      </c>
      <c r="C502" s="0" t="n">
        <v>38</v>
      </c>
      <c r="D502" s="0" t="n">
        <v>35</v>
      </c>
      <c r="E502" s="0" t="n">
        <v>156</v>
      </c>
      <c r="F502" s="0" t="n">
        <v>297</v>
      </c>
      <c r="G502" s="0" t="n">
        <v>380</v>
      </c>
      <c r="H502" s="0" t="n">
        <v>245</v>
      </c>
      <c r="I502" s="0" t="n">
        <v>2</v>
      </c>
      <c r="J502" s="0" t="n">
        <v>1</v>
      </c>
      <c r="K502" s="0" t="n">
        <v>1</v>
      </c>
      <c r="L502" s="0" t="n">
        <v>0</v>
      </c>
      <c r="M502" s="0" t="n">
        <f aca="false">VLOOKUP(A502,'Team Data'!$A$1:$P$133,2,FALSE())</f>
        <v>9</v>
      </c>
      <c r="N502" s="0" t="n">
        <f aca="false">VLOOKUP(A502,'Team Data'!$A$1:$P$133,3,FALSE())</f>
        <v>5</v>
      </c>
      <c r="O502" s="0" t="n">
        <f aca="false">VLOOKUP(B502,'Team Data'!$A$1:$P$133,2,FALSE())</f>
        <v>9</v>
      </c>
      <c r="P502" s="0" t="n">
        <f aca="false">VLOOKUP(B502,'Team Data'!$A$1:$P$133,3,FALSE())</f>
        <v>4</v>
      </c>
      <c r="Q502" s="0" t="n">
        <f aca="false">VLOOKUP(A502,'Team Data'!$A$1:$P$133,4,FALSE())</f>
        <v>98</v>
      </c>
      <c r="R502" s="0" t="n">
        <f aca="false">VLOOKUP(A502,'Team Data'!$A$1:$P$133,5,FALSE())</f>
        <v>183</v>
      </c>
      <c r="S502" s="0" t="n">
        <f aca="false">VLOOKUP(B502,'Team Data'!$A$1:$P$133,4,FALSE())</f>
        <v>72</v>
      </c>
      <c r="T502" s="0" t="n">
        <f aca="false">VLOOKUP(B502,'Team Data'!$A$1:$P$133,5,FALSE())</f>
        <v>196</v>
      </c>
      <c r="U502" s="0" t="n">
        <f aca="false">IF(K502=1,(MIN(35,(C502-D502)))*(O502/(O502+P502))*(S502/(S502+T502)),(MAX(-35,(C502-D502)))*(IF(P502=0,0.1,(P502/(O502+P502))))*(T502/(S502+T502)))</f>
        <v>0.557979334098737</v>
      </c>
      <c r="V502" s="0" t="n">
        <f aca="false">IF(L502=1,(MIN(35,(D502-C502)))*(M502/(M502+N502))*(Q502/(Q502+R502)),(MAX(-35,(D502-C502)))*(IF(N502=0,0.1,(N502/(M502+N502))))*(R502/(R502+Q502)))</f>
        <v>-0.697763091001525</v>
      </c>
    </row>
    <row r="503" customFormat="false" ht="15" hidden="false" customHeight="false" outlineLevel="0" collapsed="false">
      <c r="A503" s="0" t="s">
        <v>27</v>
      </c>
      <c r="B503" s="0" t="s">
        <v>37</v>
      </c>
      <c r="C503" s="0" t="n">
        <v>34</v>
      </c>
      <c r="D503" s="0" t="n">
        <v>28</v>
      </c>
      <c r="E503" s="0" t="n">
        <v>167</v>
      </c>
      <c r="F503" s="0" t="n">
        <v>206</v>
      </c>
      <c r="G503" s="0" t="n">
        <v>203</v>
      </c>
      <c r="H503" s="0" t="n">
        <v>254</v>
      </c>
      <c r="I503" s="0" t="n">
        <v>0</v>
      </c>
      <c r="J503" s="0" t="n">
        <v>1</v>
      </c>
      <c r="K503" s="0" t="n">
        <v>1</v>
      </c>
      <c r="L503" s="0" t="n">
        <v>0</v>
      </c>
      <c r="M503" s="0" t="n">
        <f aca="false">VLOOKUP(A503,'Team Data'!$A$1:$P$133,2,FALSE())</f>
        <v>11</v>
      </c>
      <c r="N503" s="0" t="n">
        <f aca="false">VLOOKUP(A503,'Team Data'!$A$1:$P$133,3,FALSE())</f>
        <v>3</v>
      </c>
      <c r="O503" s="0" t="n">
        <f aca="false">VLOOKUP(B503,'Team Data'!$A$1:$P$133,2,FALSE())</f>
        <v>10</v>
      </c>
      <c r="P503" s="0" t="n">
        <f aca="false">VLOOKUP(B503,'Team Data'!$A$1:$P$133,3,FALSE())</f>
        <v>3</v>
      </c>
      <c r="Q503" s="0" t="n">
        <f aca="false">VLOOKUP(A503,'Team Data'!$A$1:$P$133,4,FALSE())</f>
        <v>102</v>
      </c>
      <c r="R503" s="0" t="n">
        <f aca="false">VLOOKUP(A503,'Team Data'!$A$1:$P$133,5,FALSE())</f>
        <v>184</v>
      </c>
      <c r="S503" s="0" t="n">
        <f aca="false">VLOOKUP(B503,'Team Data'!$A$1:$P$133,4,FALSE())</f>
        <v>91</v>
      </c>
      <c r="T503" s="0" t="n">
        <f aca="false">VLOOKUP(B503,'Team Data'!$A$1:$P$133,5,FALSE())</f>
        <v>184</v>
      </c>
      <c r="U503" s="0" t="n">
        <f aca="false">IF(K503=1,(MIN(35,(C503-D503)))*(O503/(O503+P503))*(S503/(S503+T503)),(MAX(-35,(C503-D503)))*(IF(P503=0,0.1,(P503/(O503+P503))))*(T503/(S503+T503)))</f>
        <v>1.52727272727273</v>
      </c>
      <c r="V503" s="0" t="n">
        <f aca="false">IF(L503=1,(MIN(35,(D503-C503)))*(M503/(M503+N503))*(Q503/(Q503+R503)),(MAX(-35,(D503-C503)))*(IF(N503=0,0.1,(N503/(M503+N503))))*(R503/(R503+Q503)))</f>
        <v>-0.827172827172827</v>
      </c>
    </row>
    <row r="504" customFormat="false" ht="15" hidden="false" customHeight="false" outlineLevel="0" collapsed="false">
      <c r="A504" s="0" t="s">
        <v>71</v>
      </c>
      <c r="B504" s="0" t="s">
        <v>102</v>
      </c>
      <c r="C504" s="0" t="n">
        <v>9</v>
      </c>
      <c r="D504" s="0" t="n">
        <v>24</v>
      </c>
      <c r="E504" s="0" t="n">
        <v>95</v>
      </c>
      <c r="F504" s="0" t="n">
        <v>179</v>
      </c>
      <c r="G504" s="0" t="n">
        <v>160</v>
      </c>
      <c r="H504" s="0" t="n">
        <v>210</v>
      </c>
      <c r="I504" s="0" t="n">
        <v>0</v>
      </c>
      <c r="J504" s="0" t="n">
        <v>2</v>
      </c>
      <c r="K504" s="0" t="n">
        <v>0</v>
      </c>
      <c r="L504" s="0" t="n">
        <v>1</v>
      </c>
      <c r="M504" s="0" t="n">
        <f aca="false">VLOOKUP(A504,'Team Data'!$A$1:$P$133,2,FALSE())</f>
        <v>8</v>
      </c>
      <c r="N504" s="0" t="n">
        <f aca="false">VLOOKUP(A504,'Team Data'!$A$1:$P$133,3,FALSE())</f>
        <v>5</v>
      </c>
      <c r="O504" s="0" t="n">
        <f aca="false">VLOOKUP(B504,'Team Data'!$A$1:$P$133,2,FALSE())</f>
        <v>7</v>
      </c>
      <c r="P504" s="0" t="n">
        <f aca="false">VLOOKUP(B504,'Team Data'!$A$1:$P$133,3,FALSE())</f>
        <v>6</v>
      </c>
      <c r="Q504" s="0" t="n">
        <f aca="false">VLOOKUP(A504,'Team Data'!$A$1:$P$133,4,FALSE())</f>
        <v>97</v>
      </c>
      <c r="R504" s="0" t="n">
        <f aca="false">VLOOKUP(A504,'Team Data'!$A$1:$P$133,5,FALSE())</f>
        <v>178</v>
      </c>
      <c r="S504" s="0" t="n">
        <f aca="false">VLOOKUP(B504,'Team Data'!$A$1:$P$133,4,FALSE())</f>
        <v>100</v>
      </c>
      <c r="T504" s="0" t="n">
        <f aca="false">VLOOKUP(B504,'Team Data'!$A$1:$P$133,5,FALSE())</f>
        <v>174</v>
      </c>
      <c r="U504" s="0" t="n">
        <f aca="false">IF(K504=1,(MIN(35,(C504-D504)))*(O504/(O504+P504))*(S504/(S504+T504)),(MAX(-35,(C504-D504)))*(IF(P504=0,0.1,(P504/(O504+P504))))*(T504/(S504+T504)))</f>
        <v>-4.39640651319484</v>
      </c>
      <c r="V504" s="0" t="n">
        <f aca="false">IF(L504=1,(MIN(35,(D504-C504)))*(M504/(M504+N504))*(Q504/(Q504+R504)),(MAX(-35,(D504-C504)))*(IF(N504=0,0.1,(N504/(M504+N504))))*(R504/(R504+Q504)))</f>
        <v>3.25594405594406</v>
      </c>
    </row>
    <row r="505" customFormat="false" ht="15" hidden="false" customHeight="false" outlineLevel="0" collapsed="false">
      <c r="A505" s="0" t="s">
        <v>63</v>
      </c>
      <c r="B505" s="0" t="s">
        <v>128</v>
      </c>
      <c r="C505" s="0" t="n">
        <v>20</v>
      </c>
      <c r="D505" s="0" t="n">
        <v>14</v>
      </c>
      <c r="E505" s="0" t="n">
        <v>107</v>
      </c>
      <c r="F505" s="0" t="n">
        <v>78</v>
      </c>
      <c r="G505" s="0" t="n">
        <v>351</v>
      </c>
      <c r="H505" s="0" t="n">
        <v>179</v>
      </c>
      <c r="I505" s="0" t="n">
        <v>0</v>
      </c>
      <c r="J505" s="0" t="n">
        <v>1</v>
      </c>
      <c r="K505" s="0" t="n">
        <v>1</v>
      </c>
      <c r="L505" s="0" t="n">
        <v>0</v>
      </c>
      <c r="M505" s="0" t="n">
        <f aca="false">VLOOKUP(A505,'Team Data'!$A$1:$P$133,2,FALSE())</f>
        <v>5</v>
      </c>
      <c r="N505" s="0" t="n">
        <f aca="false">VLOOKUP(A505,'Team Data'!$A$1:$P$133,3,FALSE())</f>
        <v>7</v>
      </c>
      <c r="O505" s="0" t="n">
        <f aca="false">VLOOKUP(B505,'Team Data'!$A$1:$P$133,2,FALSE())</f>
        <v>3</v>
      </c>
      <c r="P505" s="0" t="n">
        <f aca="false">VLOOKUP(B505,'Team Data'!$A$1:$P$133,3,FALSE())</f>
        <v>8</v>
      </c>
      <c r="Q505" s="0" t="n">
        <f aca="false">VLOOKUP(A505,'Team Data'!$A$1:$P$133,4,FALSE())</f>
        <v>87</v>
      </c>
      <c r="R505" s="0" t="n">
        <f aca="false">VLOOKUP(A505,'Team Data'!$A$1:$P$133,5,FALSE())</f>
        <v>171</v>
      </c>
      <c r="S505" s="0" t="n">
        <f aca="false">VLOOKUP(B505,'Team Data'!$A$1:$P$133,4,FALSE())</f>
        <v>72</v>
      </c>
      <c r="T505" s="0" t="n">
        <f aca="false">VLOOKUP(B505,'Team Data'!$A$1:$P$133,5,FALSE())</f>
        <v>174</v>
      </c>
      <c r="U505" s="0" t="n">
        <f aca="false">IF(K505=1,(MIN(35,(C505-D505)))*(O505/(O505+P505))*(S505/(S505+T505)),(MAX(-35,(C505-D505)))*(IF(P505=0,0.1,(P505/(O505+P505))))*(T505/(S505+T505)))</f>
        <v>0.478935698447894</v>
      </c>
      <c r="V505" s="0" t="n">
        <f aca="false">IF(L505=1,(MIN(35,(D505-C505)))*(M505/(M505+N505))*(Q505/(Q505+R505)),(MAX(-35,(D505-C505)))*(IF(N505=0,0.1,(N505/(M505+N505))))*(R505/(R505+Q505)))</f>
        <v>-2.31976744186047</v>
      </c>
    </row>
    <row r="506" customFormat="false" ht="15" hidden="false" customHeight="false" outlineLevel="0" collapsed="false">
      <c r="A506" s="0" t="s">
        <v>22</v>
      </c>
      <c r="B506" s="0" t="s">
        <v>118</v>
      </c>
      <c r="C506" s="0" t="n">
        <v>34</v>
      </c>
      <c r="D506" s="0" t="n">
        <v>7</v>
      </c>
      <c r="E506" s="0" t="n">
        <v>203</v>
      </c>
      <c r="F506" s="0" t="n">
        <v>112</v>
      </c>
      <c r="G506" s="0" t="n">
        <v>277</v>
      </c>
      <c r="H506" s="0" t="n">
        <v>108</v>
      </c>
      <c r="I506" s="0" t="n">
        <v>3</v>
      </c>
      <c r="J506" s="0" t="n">
        <v>0</v>
      </c>
      <c r="K506" s="0" t="n">
        <v>1</v>
      </c>
      <c r="L506" s="0" t="n">
        <v>0</v>
      </c>
      <c r="M506" s="0" t="n">
        <f aca="false">VLOOKUP(A506,'Team Data'!$A$1:$P$133,2,FALSE())</f>
        <v>7</v>
      </c>
      <c r="N506" s="0" t="n">
        <f aca="false">VLOOKUP(A506,'Team Data'!$A$1:$P$133,3,FALSE())</f>
        <v>6</v>
      </c>
      <c r="O506" s="0" t="n">
        <f aca="false">VLOOKUP(B506,'Team Data'!$A$1:$P$133,2,FALSE())</f>
        <v>1</v>
      </c>
      <c r="P506" s="0" t="n">
        <f aca="false">VLOOKUP(B506,'Team Data'!$A$1:$P$133,3,FALSE())</f>
        <v>11</v>
      </c>
      <c r="Q506" s="0" t="n">
        <f aca="false">VLOOKUP(A506,'Team Data'!$A$1:$P$133,4,FALSE())</f>
        <v>83</v>
      </c>
      <c r="R506" s="0" t="n">
        <f aca="false">VLOOKUP(A506,'Team Data'!$A$1:$P$133,5,FALSE())</f>
        <v>191</v>
      </c>
      <c r="S506" s="0" t="n">
        <f aca="false">VLOOKUP(B506,'Team Data'!$A$1:$P$133,4,FALSE())</f>
        <v>83</v>
      </c>
      <c r="T506" s="0" t="n">
        <f aca="false">VLOOKUP(B506,'Team Data'!$A$1:$P$133,5,FALSE())</f>
        <v>178</v>
      </c>
      <c r="U506" s="0" t="n">
        <f aca="false">IF(K506=1,(MIN(35,(C506-D506)))*(O506/(O506+P506))*(S506/(S506+T506)),(MAX(-35,(C506-D506)))*(IF(P506=0,0.1,(P506/(O506+P506))))*(T506/(S506+T506)))</f>
        <v>0.71551724137931</v>
      </c>
      <c r="V506" s="0" t="n">
        <f aca="false">IF(L506=1,(MIN(35,(D506-C506)))*(M506/(M506+N506))*(Q506/(Q506+R506)),(MAX(-35,(D506-C506)))*(IF(N506=0,0.1,(N506/(M506+N506))))*(R506/(R506+Q506)))</f>
        <v>-8.68669286917462</v>
      </c>
    </row>
    <row r="507" customFormat="false" ht="15" hidden="false" customHeight="false" outlineLevel="0" collapsed="false">
      <c r="A507" s="0" t="s">
        <v>6</v>
      </c>
      <c r="B507" s="0" t="s">
        <v>119</v>
      </c>
      <c r="C507" s="0" t="n">
        <v>42</v>
      </c>
      <c r="D507" s="0" t="n">
        <v>7</v>
      </c>
      <c r="E507" s="0" t="n">
        <v>406</v>
      </c>
      <c r="F507" s="0" t="n">
        <v>61</v>
      </c>
      <c r="G507" s="0" t="n">
        <v>14</v>
      </c>
      <c r="H507" s="0" t="n">
        <v>118</v>
      </c>
      <c r="I507" s="0" t="n">
        <v>0</v>
      </c>
      <c r="J507" s="0" t="n">
        <v>4</v>
      </c>
      <c r="K507" s="0" t="n">
        <v>1</v>
      </c>
      <c r="L507" s="0" t="n">
        <v>0</v>
      </c>
      <c r="M507" s="0" t="n">
        <f aca="false">VLOOKUP(A507,'Team Data'!$A$1:$P$133,2,FALSE())</f>
        <v>10</v>
      </c>
      <c r="N507" s="0" t="n">
        <f aca="false">VLOOKUP(A507,'Team Data'!$A$1:$P$133,3,FALSE())</f>
        <v>3</v>
      </c>
      <c r="O507" s="0" t="n">
        <f aca="false">VLOOKUP(B507,'Team Data'!$A$1:$P$133,2,FALSE())</f>
        <v>5</v>
      </c>
      <c r="P507" s="0" t="n">
        <f aca="false">VLOOKUP(B507,'Team Data'!$A$1:$P$133,3,FALSE())</f>
        <v>7</v>
      </c>
      <c r="Q507" s="0" t="n">
        <f aca="false">VLOOKUP(A507,'Team Data'!$A$1:$P$133,4,FALSE())</f>
        <v>67</v>
      </c>
      <c r="R507" s="0" t="n">
        <f aca="false">VLOOKUP(A507,'Team Data'!$A$1:$P$133,5,FALSE())</f>
        <v>203</v>
      </c>
      <c r="S507" s="0" t="n">
        <f aca="false">VLOOKUP(B507,'Team Data'!$A$1:$P$133,4,FALSE())</f>
        <v>75</v>
      </c>
      <c r="T507" s="0" t="n">
        <f aca="false">VLOOKUP(B507,'Team Data'!$A$1:$P$133,5,FALSE())</f>
        <v>186</v>
      </c>
      <c r="U507" s="0" t="n">
        <f aca="false">IF(K507=1,(MIN(35,(C507-D507)))*(O507/(O507+P507))*(S507/(S507+T507)),(MAX(-35,(C507-D507)))*(IF(P507=0,0.1,(P507/(O507+P507))))*(T507/(S507+T507)))</f>
        <v>4.19061302681992</v>
      </c>
      <c r="V507" s="0" t="n">
        <f aca="false">IF(L507=1,(MIN(35,(D507-C507)))*(M507/(M507+N507))*(Q507/(Q507+R507)),(MAX(-35,(D507-C507)))*(IF(N507=0,0.1,(N507/(M507+N507))))*(R507/(R507+Q507)))</f>
        <v>-6.07264957264957</v>
      </c>
    </row>
    <row r="508" customFormat="false" ht="15" hidden="false" customHeight="false" outlineLevel="0" collapsed="false">
      <c r="A508" s="0" t="s">
        <v>125</v>
      </c>
      <c r="B508" s="0" t="s">
        <v>30</v>
      </c>
      <c r="C508" s="0" t="n">
        <v>17</v>
      </c>
      <c r="D508" s="0" t="n">
        <v>13</v>
      </c>
      <c r="E508" s="0" t="n">
        <v>252</v>
      </c>
      <c r="F508" s="0" t="n">
        <v>99</v>
      </c>
      <c r="G508" s="0" t="n">
        <v>138</v>
      </c>
      <c r="H508" s="0" t="n">
        <v>163</v>
      </c>
      <c r="I508" s="0" t="n">
        <v>2</v>
      </c>
      <c r="J508" s="0" t="n">
        <v>1</v>
      </c>
      <c r="K508" s="0" t="n">
        <v>1</v>
      </c>
      <c r="L508" s="0" t="n">
        <v>0</v>
      </c>
      <c r="M508" s="0" t="n">
        <f aca="false">VLOOKUP(A508,'Team Data'!$A$1:$P$133,2,FALSE())</f>
        <v>6</v>
      </c>
      <c r="N508" s="0" t="n">
        <f aca="false">VLOOKUP(A508,'Team Data'!$A$1:$P$133,3,FALSE())</f>
        <v>7</v>
      </c>
      <c r="O508" s="0" t="n">
        <f aca="false">VLOOKUP(B508,'Team Data'!$A$1:$P$133,2,FALSE())</f>
        <v>3</v>
      </c>
      <c r="P508" s="0" t="n">
        <f aca="false">VLOOKUP(B508,'Team Data'!$A$1:$P$133,3,FALSE())</f>
        <v>9</v>
      </c>
      <c r="Q508" s="0" t="n">
        <f aca="false">VLOOKUP(A508,'Team Data'!$A$1:$P$133,4,FALSE())</f>
        <v>87</v>
      </c>
      <c r="R508" s="0" t="n">
        <f aca="false">VLOOKUP(A508,'Team Data'!$A$1:$P$133,5,FALSE())</f>
        <v>186</v>
      </c>
      <c r="S508" s="0" t="n">
        <f aca="false">VLOOKUP(B508,'Team Data'!$A$1:$P$133,4,FALSE())</f>
        <v>83</v>
      </c>
      <c r="T508" s="0" t="n">
        <f aca="false">VLOOKUP(B508,'Team Data'!$A$1:$P$133,5,FALSE())</f>
        <v>179</v>
      </c>
      <c r="U508" s="0" t="n">
        <f aca="false">IF(K508=1,(MIN(35,(C508-D508)))*(O508/(O508+P508))*(S508/(S508+T508)),(MAX(-35,(C508-D508)))*(IF(P508=0,0.1,(P508/(O508+P508))))*(T508/(S508+T508)))</f>
        <v>0.316793893129771</v>
      </c>
      <c r="V508" s="0" t="n">
        <f aca="false">IF(L508=1,(MIN(35,(D508-C508)))*(M508/(M508+N508))*(Q508/(Q508+R508)),(MAX(-35,(D508-C508)))*(IF(N508=0,0.1,(N508/(M508+N508))))*(R508/(R508+Q508)))</f>
        <v>-1.46745562130178</v>
      </c>
    </row>
    <row r="509" customFormat="false" ht="15" hidden="false" customHeight="false" outlineLevel="0" collapsed="false">
      <c r="A509" s="0" t="s">
        <v>97</v>
      </c>
      <c r="B509" s="0" t="s">
        <v>38</v>
      </c>
      <c r="C509" s="0" t="n">
        <v>10</v>
      </c>
      <c r="D509" s="0" t="n">
        <v>17</v>
      </c>
      <c r="E509" s="0" t="n">
        <v>37</v>
      </c>
      <c r="F509" s="0" t="n">
        <v>103</v>
      </c>
      <c r="G509" s="0" t="n">
        <v>294</v>
      </c>
      <c r="H509" s="0" t="n">
        <v>230</v>
      </c>
      <c r="I509" s="0" t="n">
        <v>1</v>
      </c>
      <c r="J509" s="0" t="n">
        <v>3</v>
      </c>
      <c r="K509" s="0" t="n">
        <v>0</v>
      </c>
      <c r="L509" s="0" t="n">
        <v>1</v>
      </c>
      <c r="M509" s="0" t="n">
        <f aca="false">VLOOKUP(A509,'Team Data'!$A$1:$P$133,2,FALSE())</f>
        <v>7</v>
      </c>
      <c r="N509" s="0" t="n">
        <f aca="false">VLOOKUP(A509,'Team Data'!$A$1:$P$133,3,FALSE())</f>
        <v>5</v>
      </c>
      <c r="O509" s="0" t="n">
        <f aca="false">VLOOKUP(B509,'Team Data'!$A$1:$P$133,2,FALSE())</f>
        <v>10</v>
      </c>
      <c r="P509" s="0" t="n">
        <f aca="false">VLOOKUP(B509,'Team Data'!$A$1:$P$133,3,FALSE())</f>
        <v>4</v>
      </c>
      <c r="Q509" s="0" t="n">
        <f aca="false">VLOOKUP(A509,'Team Data'!$A$1:$P$133,4,FALSE())</f>
        <v>70</v>
      </c>
      <c r="R509" s="0" t="n">
        <f aca="false">VLOOKUP(A509,'Team Data'!$A$1:$P$133,5,FALSE())</f>
        <v>189</v>
      </c>
      <c r="S509" s="0" t="n">
        <f aca="false">VLOOKUP(B509,'Team Data'!$A$1:$P$133,4,FALSE())</f>
        <v>95</v>
      </c>
      <c r="T509" s="0" t="n">
        <f aca="false">VLOOKUP(B509,'Team Data'!$A$1:$P$133,5,FALSE())</f>
        <v>193</v>
      </c>
      <c r="U509" s="0" t="n">
        <f aca="false">IF(K509=1,(MIN(35,(C509-D509)))*(O509/(O509+P509))*(S509/(S509+T509)),(MAX(-35,(C509-D509)))*(IF(P509=0,0.1,(P509/(O509+P509))))*(T509/(S509+T509)))</f>
        <v>-1.34027777777778</v>
      </c>
      <c r="V509" s="0" t="n">
        <f aca="false">IF(L509=1,(MIN(35,(D509-C509)))*(M509/(M509+N509))*(Q509/(Q509+R509)),(MAX(-35,(D509-C509)))*(IF(N509=0,0.1,(N509/(M509+N509))))*(R509/(R509+Q509)))</f>
        <v>1.1036036036036</v>
      </c>
    </row>
    <row r="510" customFormat="false" ht="15" hidden="false" customHeight="false" outlineLevel="0" collapsed="false">
      <c r="A510" s="0" t="s">
        <v>74</v>
      </c>
      <c r="B510" s="0" t="s">
        <v>43</v>
      </c>
      <c r="C510" s="0" t="n">
        <v>16</v>
      </c>
      <c r="D510" s="0" t="n">
        <v>31</v>
      </c>
      <c r="E510" s="0" t="n">
        <v>89</v>
      </c>
      <c r="F510" s="0" t="n">
        <v>223</v>
      </c>
      <c r="G510" s="0" t="n">
        <v>188</v>
      </c>
      <c r="H510" s="0" t="n">
        <v>173</v>
      </c>
      <c r="I510" s="0" t="n">
        <v>1</v>
      </c>
      <c r="J510" s="0" t="n">
        <v>1</v>
      </c>
      <c r="K510" s="0" t="n">
        <v>0</v>
      </c>
      <c r="L510" s="0" t="n">
        <v>1</v>
      </c>
      <c r="M510" s="0" t="n">
        <f aca="false">VLOOKUP(A510,'Team Data'!$A$1:$P$133,2,FALSE())</f>
        <v>2</v>
      </c>
      <c r="N510" s="0" t="n">
        <f aca="false">VLOOKUP(A510,'Team Data'!$A$1:$P$133,3,FALSE())</f>
        <v>10</v>
      </c>
      <c r="O510" s="0" t="n">
        <f aca="false">VLOOKUP(B510,'Team Data'!$A$1:$P$133,2,FALSE())</f>
        <v>3</v>
      </c>
      <c r="P510" s="0" t="n">
        <f aca="false">VLOOKUP(B510,'Team Data'!$A$1:$P$133,3,FALSE())</f>
        <v>10</v>
      </c>
      <c r="Q510" s="0" t="n">
        <f aca="false">VLOOKUP(A510,'Team Data'!$A$1:$P$133,4,FALSE())</f>
        <v>82</v>
      </c>
      <c r="R510" s="0" t="n">
        <f aca="false">VLOOKUP(A510,'Team Data'!$A$1:$P$133,5,FALSE())</f>
        <v>179</v>
      </c>
      <c r="S510" s="0" t="n">
        <f aca="false">VLOOKUP(B510,'Team Data'!$A$1:$P$133,4,FALSE())</f>
        <v>89</v>
      </c>
      <c r="T510" s="0" t="n">
        <f aca="false">VLOOKUP(B510,'Team Data'!$A$1:$P$133,5,FALSE())</f>
        <v>185</v>
      </c>
      <c r="U510" s="0" t="n">
        <f aca="false">IF(K510=1,(MIN(35,(C510-D510)))*(O510/(O510+P510))*(S510/(S510+T510)),(MAX(-35,(C510-D510)))*(IF(P510=0,0.1,(P510/(O510+P510))))*(T510/(S510+T510)))</f>
        <v>-7.79056709713644</v>
      </c>
      <c r="V510" s="0" t="n">
        <f aca="false">IF(L510=1,(MIN(35,(D510-C510)))*(M510/(M510+N510))*(Q510/(Q510+R510)),(MAX(-35,(D510-C510)))*(IF(N510=0,0.1,(N510/(M510+N510))))*(R510/(R510+Q510)))</f>
        <v>0.78544061302682</v>
      </c>
    </row>
    <row r="511" customFormat="false" ht="15" hidden="false" customHeight="false" outlineLevel="0" collapsed="false">
      <c r="A511" s="0" t="s">
        <v>104</v>
      </c>
      <c r="B511" s="0" t="s">
        <v>115</v>
      </c>
      <c r="C511" s="0" t="n">
        <v>13</v>
      </c>
      <c r="D511" s="0" t="n">
        <v>70</v>
      </c>
      <c r="E511" s="0" t="n">
        <v>59</v>
      </c>
      <c r="F511" s="0" t="n">
        <v>304</v>
      </c>
      <c r="G511" s="0" t="n">
        <v>234</v>
      </c>
      <c r="H511" s="0" t="n">
        <v>433</v>
      </c>
      <c r="I511" s="0" t="n">
        <v>0</v>
      </c>
      <c r="J511" s="0" t="n">
        <v>0</v>
      </c>
      <c r="K511" s="0" t="n">
        <v>0</v>
      </c>
      <c r="L511" s="0" t="n">
        <v>1</v>
      </c>
      <c r="M511" s="0" t="n">
        <f aca="false">VLOOKUP(A511,'Team Data'!$A$1:$P$133,2,FALSE())</f>
        <v>3</v>
      </c>
      <c r="N511" s="0" t="n">
        <f aca="false">VLOOKUP(A511,'Team Data'!$A$1:$P$133,3,FALSE())</f>
        <v>9</v>
      </c>
      <c r="O511" s="0" t="n">
        <f aca="false">VLOOKUP(B511,'Team Data'!$A$1:$P$133,2,FALSE())</f>
        <v>9</v>
      </c>
      <c r="P511" s="0" t="n">
        <f aca="false">VLOOKUP(B511,'Team Data'!$A$1:$P$133,3,FALSE())</f>
        <v>5</v>
      </c>
      <c r="Q511" s="0" t="n">
        <f aca="false">VLOOKUP(A511,'Team Data'!$A$1:$P$133,4,FALSE())</f>
        <v>73</v>
      </c>
      <c r="R511" s="0" t="n">
        <f aca="false">VLOOKUP(A511,'Team Data'!$A$1:$P$133,5,FALSE())</f>
        <v>186</v>
      </c>
      <c r="S511" s="0" t="n">
        <f aca="false">VLOOKUP(B511,'Team Data'!$A$1:$P$133,4,FALSE())</f>
        <v>98</v>
      </c>
      <c r="T511" s="0" t="n">
        <f aca="false">VLOOKUP(B511,'Team Data'!$A$1:$P$133,5,FALSE())</f>
        <v>188</v>
      </c>
      <c r="U511" s="0" t="n">
        <f aca="false">IF(K511=1,(MIN(35,(C511-D511)))*(O511/(O511+P511))*(S511/(S511+T511)),(MAX(-35,(C511-D511)))*(IF(P511=0,0.1,(P511/(O511+P511))))*(T511/(S511+T511)))</f>
        <v>-8.21678321678322</v>
      </c>
      <c r="V511" s="0" t="n">
        <f aca="false">IF(L511=1,(MIN(35,(D511-C511)))*(M511/(M511+N511))*(Q511/(Q511+R511)),(MAX(-35,(D511-C511)))*(IF(N511=0,0.1,(N511/(M511+N511))))*(R511/(R511+Q511)))</f>
        <v>2.46621621621622</v>
      </c>
    </row>
    <row r="512" customFormat="false" ht="15" hidden="false" customHeight="false" outlineLevel="0" collapsed="false">
      <c r="A512" s="0" t="s">
        <v>72</v>
      </c>
      <c r="B512" s="0" t="s">
        <v>95</v>
      </c>
      <c r="C512" s="0" t="n">
        <v>34</v>
      </c>
      <c r="D512" s="0" t="n">
        <v>40</v>
      </c>
      <c r="E512" s="0" t="n">
        <v>372</v>
      </c>
      <c r="F512" s="0" t="n">
        <v>105</v>
      </c>
      <c r="G512" s="0" t="n">
        <v>138</v>
      </c>
      <c r="H512" s="0" t="n">
        <v>336</v>
      </c>
      <c r="I512" s="0" t="n">
        <v>2</v>
      </c>
      <c r="J512" s="0" t="n">
        <v>0</v>
      </c>
      <c r="K512" s="0" t="n">
        <v>0</v>
      </c>
      <c r="L512" s="0" t="n">
        <v>1</v>
      </c>
      <c r="M512" s="0" t="n">
        <f aca="false">VLOOKUP(A512,'Team Data'!$A$1:$P$133,2,FALSE())</f>
        <v>4</v>
      </c>
      <c r="N512" s="0" t="n">
        <f aca="false">VLOOKUP(A512,'Team Data'!$A$1:$P$133,3,FALSE())</f>
        <v>8</v>
      </c>
      <c r="O512" s="0" t="n">
        <f aca="false">VLOOKUP(B512,'Team Data'!$A$1:$P$133,2,FALSE())</f>
        <v>7</v>
      </c>
      <c r="P512" s="0" t="n">
        <f aca="false">VLOOKUP(B512,'Team Data'!$A$1:$P$133,3,FALSE())</f>
        <v>6</v>
      </c>
      <c r="Q512" s="0" t="n">
        <f aca="false">VLOOKUP(A512,'Team Data'!$A$1:$P$133,4,FALSE())</f>
        <v>89</v>
      </c>
      <c r="R512" s="0" t="n">
        <f aca="false">VLOOKUP(A512,'Team Data'!$A$1:$P$133,5,FALSE())</f>
        <v>172</v>
      </c>
      <c r="S512" s="0" t="n">
        <f aca="false">VLOOKUP(B512,'Team Data'!$A$1:$P$133,4,FALSE())</f>
        <v>99</v>
      </c>
      <c r="T512" s="0" t="n">
        <f aca="false">VLOOKUP(B512,'Team Data'!$A$1:$P$133,5,FALSE())</f>
        <v>179</v>
      </c>
      <c r="U512" s="0" t="n">
        <f aca="false">IF(K512=1,(MIN(35,(C512-D512)))*(O512/(O512+P512))*(S512/(S512+T512)),(MAX(-35,(C512-D512)))*(IF(P512=0,0.1,(P512/(O512+P512))))*(T512/(S512+T512)))</f>
        <v>-1.7830658550083</v>
      </c>
      <c r="V512" s="0" t="n">
        <f aca="false">IF(L512=1,(MIN(35,(D512-C512)))*(M512/(M512+N512))*(Q512/(Q512+R512)),(MAX(-35,(D512-C512)))*(IF(N512=0,0.1,(N512/(M512+N512))))*(R512/(R512+Q512)))</f>
        <v>0.681992337164751</v>
      </c>
    </row>
    <row r="513" customFormat="false" ht="15" hidden="false" customHeight="false" outlineLevel="0" collapsed="false">
      <c r="A513" s="0" t="s">
        <v>112</v>
      </c>
      <c r="B513" s="0" t="s">
        <v>121</v>
      </c>
      <c r="C513" s="0" t="n">
        <v>45</v>
      </c>
      <c r="D513" s="0" t="n">
        <v>31</v>
      </c>
      <c r="E513" s="0" t="n">
        <v>235</v>
      </c>
      <c r="F513" s="0" t="n">
        <v>118</v>
      </c>
      <c r="G513" s="0" t="n">
        <v>329</v>
      </c>
      <c r="H513" s="0" t="n">
        <v>259</v>
      </c>
      <c r="I513" s="0" t="n">
        <v>1</v>
      </c>
      <c r="J513" s="0" t="n">
        <v>2</v>
      </c>
      <c r="K513" s="0" t="n">
        <v>1</v>
      </c>
      <c r="L513" s="0" t="n">
        <v>0</v>
      </c>
      <c r="M513" s="0" t="n">
        <f aca="false">VLOOKUP(A513,'Team Data'!$A$1:$P$133,2,FALSE())</f>
        <v>12</v>
      </c>
      <c r="N513" s="0" t="n">
        <f aca="false">VLOOKUP(A513,'Team Data'!$A$1:$P$133,3,FALSE())</f>
        <v>2</v>
      </c>
      <c r="O513" s="0" t="n">
        <f aca="false">VLOOKUP(B513,'Team Data'!$A$1:$P$133,2,FALSE())</f>
        <v>1</v>
      </c>
      <c r="P513" s="0" t="n">
        <f aca="false">VLOOKUP(B513,'Team Data'!$A$1:$P$133,3,FALSE())</f>
        <v>11</v>
      </c>
      <c r="Q513" s="0" t="n">
        <f aca="false">VLOOKUP(A513,'Team Data'!$A$1:$P$133,4,FALSE())</f>
        <v>100</v>
      </c>
      <c r="R513" s="0" t="n">
        <f aca="false">VLOOKUP(A513,'Team Data'!$A$1:$P$133,5,FALSE())</f>
        <v>190</v>
      </c>
      <c r="S513" s="0" t="n">
        <f aca="false">VLOOKUP(B513,'Team Data'!$A$1:$P$133,4,FALSE())</f>
        <v>91</v>
      </c>
      <c r="T513" s="0" t="n">
        <f aca="false">VLOOKUP(B513,'Team Data'!$A$1:$P$133,5,FALSE())</f>
        <v>172</v>
      </c>
      <c r="U513" s="0" t="n">
        <f aca="false">IF(K513=1,(MIN(35,(C513-D513)))*(O513/(O513+P513))*(S513/(S513+T513)),(MAX(-35,(C513-D513)))*(IF(P513=0,0.1,(P513/(O513+P513))))*(T513/(S513+T513)))</f>
        <v>0.403675538656527</v>
      </c>
      <c r="V513" s="0" t="n">
        <f aca="false">IF(L513=1,(MIN(35,(D513-C513)))*(M513/(M513+N513))*(Q513/(Q513+R513)),(MAX(-35,(D513-C513)))*(IF(N513=0,0.1,(N513/(M513+N513))))*(R513/(R513+Q513)))</f>
        <v>-1.31034482758621</v>
      </c>
    </row>
    <row r="514" customFormat="false" ht="15" hidden="false" customHeight="false" outlineLevel="0" collapsed="false">
      <c r="A514" s="0" t="s">
        <v>62</v>
      </c>
      <c r="B514" s="0" t="s">
        <v>32</v>
      </c>
      <c r="C514" s="0" t="n">
        <v>45</v>
      </c>
      <c r="D514" s="0" t="n">
        <v>47</v>
      </c>
      <c r="E514" s="0" t="n">
        <v>84</v>
      </c>
      <c r="F514" s="0" t="n">
        <v>169</v>
      </c>
      <c r="G514" s="0" t="n">
        <v>407</v>
      </c>
      <c r="H514" s="0" t="n">
        <v>304</v>
      </c>
      <c r="I514" s="0" t="n">
        <v>2</v>
      </c>
      <c r="J514" s="0" t="n">
        <v>0</v>
      </c>
      <c r="K514" s="0" t="n">
        <v>0</v>
      </c>
      <c r="L514" s="0" t="n">
        <v>1</v>
      </c>
      <c r="M514" s="0" t="n">
        <f aca="false">VLOOKUP(A514,'Team Data'!$A$1:$P$133,2,FALSE())</f>
        <v>7</v>
      </c>
      <c r="N514" s="0" t="n">
        <f aca="false">VLOOKUP(A514,'Team Data'!$A$1:$P$133,3,FALSE())</f>
        <v>6</v>
      </c>
      <c r="O514" s="0" t="n">
        <f aca="false">VLOOKUP(B514,'Team Data'!$A$1:$P$133,2,FALSE())</f>
        <v>8</v>
      </c>
      <c r="P514" s="0" t="n">
        <f aca="false">VLOOKUP(B514,'Team Data'!$A$1:$P$133,3,FALSE())</f>
        <v>5</v>
      </c>
      <c r="Q514" s="0" t="n">
        <f aca="false">VLOOKUP(A514,'Team Data'!$A$1:$P$133,4,FALSE())</f>
        <v>89</v>
      </c>
      <c r="R514" s="0" t="n">
        <f aca="false">VLOOKUP(A514,'Team Data'!$A$1:$P$133,5,FALSE())</f>
        <v>186</v>
      </c>
      <c r="S514" s="0" t="n">
        <f aca="false">VLOOKUP(B514,'Team Data'!$A$1:$P$133,4,FALSE())</f>
        <v>89</v>
      </c>
      <c r="T514" s="0" t="n">
        <f aca="false">VLOOKUP(B514,'Team Data'!$A$1:$P$133,5,FALSE())</f>
        <v>185</v>
      </c>
      <c r="U514" s="0" t="n">
        <f aca="false">IF(K514=1,(MIN(35,(C514-D514)))*(O514/(O514+P514))*(S514/(S514+T514)),(MAX(-35,(C514-D514)))*(IF(P514=0,0.1,(P514/(O514+P514))))*(T514/(S514+T514)))</f>
        <v>-0.519371139809096</v>
      </c>
      <c r="V514" s="0" t="n">
        <f aca="false">IF(L514=1,(MIN(35,(D514-C514)))*(M514/(M514+N514))*(Q514/(Q514+R514)),(MAX(-35,(D514-C514)))*(IF(N514=0,0.1,(N514/(M514+N514))))*(R514/(R514+Q514)))</f>
        <v>0.348531468531469</v>
      </c>
    </row>
    <row r="515" customFormat="false" ht="15" hidden="false" customHeight="false" outlineLevel="0" collapsed="false">
      <c r="A515" s="0" t="s">
        <v>24</v>
      </c>
      <c r="B515" s="0" t="s">
        <v>7</v>
      </c>
      <c r="C515" s="0" t="n">
        <v>28</v>
      </c>
      <c r="D515" s="0" t="n">
        <v>21</v>
      </c>
      <c r="E515" s="0" t="n">
        <v>199</v>
      </c>
      <c r="F515" s="0" t="n">
        <v>20</v>
      </c>
      <c r="G515" s="0" t="n">
        <v>138</v>
      </c>
      <c r="H515" s="0" t="n">
        <v>267</v>
      </c>
      <c r="I515" s="0" t="n">
        <v>1</v>
      </c>
      <c r="J515" s="0" t="n">
        <v>1</v>
      </c>
      <c r="K515" s="0" t="n">
        <v>1</v>
      </c>
      <c r="L515" s="0" t="n">
        <v>0</v>
      </c>
      <c r="M515" s="0" t="n">
        <f aca="false">VLOOKUP(A515,'Team Data'!$A$1:$P$133,2,FALSE())</f>
        <v>4</v>
      </c>
      <c r="N515" s="0" t="n">
        <f aca="false">VLOOKUP(A515,'Team Data'!$A$1:$P$133,3,FALSE())</f>
        <v>8</v>
      </c>
      <c r="O515" s="0" t="n">
        <f aca="false">VLOOKUP(B515,'Team Data'!$A$1:$P$133,2,FALSE())</f>
        <v>2</v>
      </c>
      <c r="P515" s="0" t="n">
        <f aca="false">VLOOKUP(B515,'Team Data'!$A$1:$P$133,3,FALSE())</f>
        <v>10</v>
      </c>
      <c r="Q515" s="0" t="n">
        <f aca="false">VLOOKUP(A515,'Team Data'!$A$1:$P$133,4,FALSE())</f>
        <v>82</v>
      </c>
      <c r="R515" s="0" t="n">
        <f aca="false">VLOOKUP(A515,'Team Data'!$A$1:$P$133,5,FALSE())</f>
        <v>178</v>
      </c>
      <c r="S515" s="0" t="n">
        <f aca="false">VLOOKUP(B515,'Team Data'!$A$1:$P$133,4,FALSE())</f>
        <v>82</v>
      </c>
      <c r="T515" s="0" t="n">
        <f aca="false">VLOOKUP(B515,'Team Data'!$A$1:$P$133,5,FALSE())</f>
        <v>178</v>
      </c>
      <c r="U515" s="0" t="n">
        <f aca="false">IF(K515=1,(MIN(35,(C515-D515)))*(O515/(O515+P515))*(S515/(S515+T515)),(MAX(-35,(C515-D515)))*(IF(P515=0,0.1,(P515/(O515+P515))))*(T515/(S515+T515)))</f>
        <v>0.367948717948718</v>
      </c>
      <c r="V515" s="0" t="n">
        <f aca="false">IF(L515=1,(MIN(35,(D515-C515)))*(M515/(M515+N515))*(Q515/(Q515+R515)),(MAX(-35,(D515-C515)))*(IF(N515=0,0.1,(N515/(M515+N515))))*(R515/(R515+Q515)))</f>
        <v>-3.19487179487179</v>
      </c>
    </row>
    <row r="516" customFormat="false" ht="15" hidden="false" customHeight="false" outlineLevel="0" collapsed="false">
      <c r="A516" s="0" t="s">
        <v>79</v>
      </c>
      <c r="B516" s="0" t="s">
        <v>33</v>
      </c>
      <c r="C516" s="0" t="n">
        <v>39</v>
      </c>
      <c r="D516" s="0" t="n">
        <v>10</v>
      </c>
      <c r="E516" s="0" t="n">
        <v>287</v>
      </c>
      <c r="F516" s="0" t="n">
        <v>29</v>
      </c>
      <c r="G516" s="0" t="n">
        <v>123</v>
      </c>
      <c r="H516" s="0" t="n">
        <v>197</v>
      </c>
      <c r="I516" s="0" t="n">
        <v>0</v>
      </c>
      <c r="J516" s="0" t="n">
        <v>2</v>
      </c>
      <c r="K516" s="0" t="n">
        <v>1</v>
      </c>
      <c r="L516" s="0" t="n">
        <v>0</v>
      </c>
      <c r="M516" s="0" t="n">
        <f aca="false">VLOOKUP(A516,'Team Data'!$A$1:$P$133,2,FALSE())</f>
        <v>3</v>
      </c>
      <c r="N516" s="0" t="n">
        <f aca="false">VLOOKUP(A516,'Team Data'!$A$1:$P$133,3,FALSE())</f>
        <v>9</v>
      </c>
      <c r="O516" s="0" t="n">
        <f aca="false">VLOOKUP(B516,'Team Data'!$A$1:$P$133,2,FALSE())</f>
        <v>9</v>
      </c>
      <c r="P516" s="0" t="n">
        <f aca="false">VLOOKUP(B516,'Team Data'!$A$1:$P$133,3,FALSE())</f>
        <v>4</v>
      </c>
      <c r="Q516" s="0" t="n">
        <f aca="false">VLOOKUP(A516,'Team Data'!$A$1:$P$133,4,FALSE())</f>
        <v>75</v>
      </c>
      <c r="R516" s="0" t="n">
        <f aca="false">VLOOKUP(A516,'Team Data'!$A$1:$P$133,5,FALSE())</f>
        <v>184</v>
      </c>
      <c r="S516" s="0" t="n">
        <f aca="false">VLOOKUP(B516,'Team Data'!$A$1:$P$133,4,FALSE())</f>
        <v>65</v>
      </c>
      <c r="T516" s="0" t="n">
        <f aca="false">VLOOKUP(B516,'Team Data'!$A$1:$P$133,5,FALSE())</f>
        <v>203</v>
      </c>
      <c r="U516" s="0" t="n">
        <f aca="false">IF(K516=1,(MIN(35,(C516-D516)))*(O516/(O516+P516))*(S516/(S516+T516)),(MAX(-35,(C516-D516)))*(IF(P516=0,0.1,(P516/(O516+P516))))*(T516/(S516+T516)))</f>
        <v>4.86940298507463</v>
      </c>
      <c r="V516" s="0" t="n">
        <f aca="false">IF(L516=1,(MIN(35,(D516-C516)))*(M516/(M516+N516))*(Q516/(Q516+R516)),(MAX(-35,(D516-C516)))*(IF(N516=0,0.1,(N516/(M516+N516))))*(R516/(R516+Q516)))</f>
        <v>-15.4517374517375</v>
      </c>
    </row>
    <row r="517" customFormat="false" ht="15" hidden="false" customHeight="false" outlineLevel="0" collapsed="false">
      <c r="A517" s="0" t="s">
        <v>52</v>
      </c>
      <c r="B517" s="0" t="s">
        <v>110</v>
      </c>
      <c r="C517" s="0" t="n">
        <v>31</v>
      </c>
      <c r="D517" s="0" t="n">
        <v>52</v>
      </c>
      <c r="E517" s="0" t="n">
        <v>231</v>
      </c>
      <c r="F517" s="0" t="n">
        <v>227</v>
      </c>
      <c r="G517" s="0" t="n">
        <v>162</v>
      </c>
      <c r="H517" s="0" t="n">
        <v>263</v>
      </c>
      <c r="I517" s="0" t="n">
        <v>1</v>
      </c>
      <c r="J517" s="0" t="n">
        <v>1</v>
      </c>
      <c r="K517" s="0" t="n">
        <v>0</v>
      </c>
      <c r="L517" s="0" t="n">
        <v>1</v>
      </c>
      <c r="M517" s="0" t="n">
        <f aca="false">VLOOKUP(A517,'Team Data'!$A$1:$P$133,2,FALSE())</f>
        <v>5</v>
      </c>
      <c r="N517" s="0" t="n">
        <f aca="false">VLOOKUP(A517,'Team Data'!$A$1:$P$133,3,FALSE())</f>
        <v>7</v>
      </c>
      <c r="O517" s="0" t="n">
        <f aca="false">VLOOKUP(B517,'Team Data'!$A$1:$P$133,2,FALSE())</f>
        <v>9</v>
      </c>
      <c r="P517" s="0" t="n">
        <f aca="false">VLOOKUP(B517,'Team Data'!$A$1:$P$133,3,FALSE())</f>
        <v>5</v>
      </c>
      <c r="Q517" s="0" t="n">
        <f aca="false">VLOOKUP(A517,'Team Data'!$A$1:$P$133,4,FALSE())</f>
        <v>94</v>
      </c>
      <c r="R517" s="0" t="n">
        <f aca="false">VLOOKUP(A517,'Team Data'!$A$1:$P$133,5,FALSE())</f>
        <v>171</v>
      </c>
      <c r="S517" s="0" t="n">
        <f aca="false">VLOOKUP(B517,'Team Data'!$A$1:$P$133,4,FALSE())</f>
        <v>89</v>
      </c>
      <c r="T517" s="0" t="n">
        <f aca="false">VLOOKUP(B517,'Team Data'!$A$1:$P$133,5,FALSE())</f>
        <v>195</v>
      </c>
      <c r="U517" s="0" t="n">
        <f aca="false">IF(K517=1,(MIN(35,(C517-D517)))*(O517/(O517+P517))*(S517/(S517+T517)),(MAX(-35,(C517-D517)))*(IF(P517=0,0.1,(P517/(O517+P517))))*(T517/(S517+T517)))</f>
        <v>-5.14964788732394</v>
      </c>
      <c r="V517" s="0" t="n">
        <f aca="false">IF(L517=1,(MIN(35,(D517-C517)))*(M517/(M517+N517))*(Q517/(Q517+R517)),(MAX(-35,(D517-C517)))*(IF(N517=0,0.1,(N517/(M517+N517))))*(R517/(R517+Q517)))</f>
        <v>3.10377358490566</v>
      </c>
    </row>
    <row r="518" customFormat="false" ht="15" hidden="false" customHeight="false" outlineLevel="0" collapsed="false">
      <c r="A518" s="0" t="s">
        <v>64</v>
      </c>
      <c r="B518" s="0" t="s">
        <v>21</v>
      </c>
      <c r="C518" s="0" t="n">
        <v>13</v>
      </c>
      <c r="D518" s="0" t="n">
        <v>17</v>
      </c>
      <c r="E518" s="0" t="n">
        <v>98</v>
      </c>
      <c r="F518" s="0" t="n">
        <v>176</v>
      </c>
      <c r="G518" s="0" t="n">
        <v>91</v>
      </c>
      <c r="H518" s="0" t="n">
        <v>149</v>
      </c>
      <c r="I518" s="0" t="n">
        <v>1</v>
      </c>
      <c r="J518" s="0" t="n">
        <v>2</v>
      </c>
      <c r="K518" s="0" t="n">
        <v>0</v>
      </c>
      <c r="L518" s="0" t="n">
        <v>1</v>
      </c>
      <c r="M518" s="0" t="n">
        <f aca="false">VLOOKUP(A518,'Team Data'!$A$1:$P$133,2,FALSE())</f>
        <v>6</v>
      </c>
      <c r="N518" s="0" t="n">
        <f aca="false">VLOOKUP(A518,'Team Data'!$A$1:$P$133,3,FALSE())</f>
        <v>7</v>
      </c>
      <c r="O518" s="0" t="n">
        <f aca="false">VLOOKUP(B518,'Team Data'!$A$1:$P$133,2,FALSE())</f>
        <v>6</v>
      </c>
      <c r="P518" s="0" t="n">
        <f aca="false">VLOOKUP(B518,'Team Data'!$A$1:$P$133,3,FALSE())</f>
        <v>7</v>
      </c>
      <c r="Q518" s="0" t="n">
        <f aca="false">VLOOKUP(A518,'Team Data'!$A$1:$P$133,4,FALSE())</f>
        <v>75</v>
      </c>
      <c r="R518" s="0" t="n">
        <f aca="false">VLOOKUP(A518,'Team Data'!$A$1:$P$133,5,FALSE())</f>
        <v>196</v>
      </c>
      <c r="S518" s="0" t="n">
        <f aca="false">VLOOKUP(B518,'Team Data'!$A$1:$P$133,4,FALSE())</f>
        <v>90</v>
      </c>
      <c r="T518" s="0" t="n">
        <f aca="false">VLOOKUP(B518,'Team Data'!$A$1:$P$133,5,FALSE())</f>
        <v>184</v>
      </c>
      <c r="U518" s="0" t="n">
        <f aca="false">IF(K518=1,(MIN(35,(C518-D518)))*(O518/(O518+P518))*(S518/(S518+T518)),(MAX(-35,(C518-D518)))*(IF(P518=0,0.1,(P518/(O518+P518))))*(T518/(S518+T518)))</f>
        <v>-1.44637843907917</v>
      </c>
      <c r="V518" s="0" t="n">
        <f aca="false">IF(L518=1,(MIN(35,(D518-C518)))*(M518/(M518+N518))*(Q518/(Q518+R518)),(MAX(-35,(D518-C518)))*(IF(N518=0,0.1,(N518/(M518+N518))))*(R518/(R518+Q518)))</f>
        <v>0.510928186204939</v>
      </c>
    </row>
    <row r="519" customFormat="false" ht="15" hidden="false" customHeight="false" outlineLevel="0" collapsed="false">
      <c r="A519" s="0" t="s">
        <v>82</v>
      </c>
      <c r="B519" s="0" t="s">
        <v>134</v>
      </c>
      <c r="C519" s="0" t="n">
        <v>33</v>
      </c>
      <c r="D519" s="0" t="n">
        <v>14</v>
      </c>
      <c r="E519" s="0" t="n">
        <v>119</v>
      </c>
      <c r="F519" s="0" t="n">
        <v>84</v>
      </c>
      <c r="G519" s="0" t="n">
        <v>264</v>
      </c>
      <c r="H519" s="0" t="n">
        <v>249</v>
      </c>
      <c r="I519" s="0" t="n">
        <v>2</v>
      </c>
      <c r="J519" s="0" t="n">
        <v>6</v>
      </c>
      <c r="K519" s="0" t="n">
        <v>1</v>
      </c>
      <c r="L519" s="0" t="n">
        <v>0</v>
      </c>
      <c r="M519" s="0" t="n">
        <f aca="false">VLOOKUP(A519,'Team Data'!$A$1:$P$133,2,FALSE())</f>
        <v>10</v>
      </c>
      <c r="N519" s="0" t="n">
        <f aca="false">VLOOKUP(A519,'Team Data'!$A$1:$P$133,3,FALSE())</f>
        <v>4</v>
      </c>
      <c r="O519" s="0" t="n">
        <f aca="false">VLOOKUP(B519,'Team Data'!$A$1:$P$133,2,FALSE())</f>
        <v>5</v>
      </c>
      <c r="P519" s="0" t="n">
        <f aca="false">VLOOKUP(B519,'Team Data'!$A$1:$P$133,3,FALSE())</f>
        <v>7</v>
      </c>
      <c r="Q519" s="0" t="n">
        <f aca="false">VLOOKUP(A519,'Team Data'!$A$1:$P$133,4,FALSE())</f>
        <v>83</v>
      </c>
      <c r="R519" s="0" t="n">
        <f aca="false">VLOOKUP(A519,'Team Data'!$A$1:$P$133,5,FALSE())</f>
        <v>200</v>
      </c>
      <c r="S519" s="0" t="n">
        <f aca="false">VLOOKUP(B519,'Team Data'!$A$1:$P$133,4,FALSE())</f>
        <v>81</v>
      </c>
      <c r="T519" s="0" t="n">
        <f aca="false">VLOOKUP(B519,'Team Data'!$A$1:$P$133,5,FALSE())</f>
        <v>179</v>
      </c>
      <c r="U519" s="0" t="n">
        <f aca="false">IF(K519=1,(MIN(35,(C519-D519)))*(O519/(O519+P519))*(S519/(S519+T519)),(MAX(-35,(C519-D519)))*(IF(P519=0,0.1,(P519/(O519+P519))))*(T519/(S519+T519)))</f>
        <v>2.46634615384615</v>
      </c>
      <c r="V519" s="0" t="n">
        <f aca="false">IF(L519=1,(MIN(35,(D519-C519)))*(M519/(M519+N519))*(Q519/(Q519+R519)),(MAX(-35,(D519-C519)))*(IF(N519=0,0.1,(N519/(M519+N519))))*(R519/(R519+Q519)))</f>
        <v>-3.83644623927309</v>
      </c>
    </row>
    <row r="520" customFormat="false" ht="15" hidden="false" customHeight="false" outlineLevel="0" collapsed="false">
      <c r="A520" s="0" t="s">
        <v>56</v>
      </c>
      <c r="B520" s="0" t="s">
        <v>60</v>
      </c>
      <c r="C520" s="0" t="n">
        <v>23</v>
      </c>
      <c r="D520" s="0" t="n">
        <v>13</v>
      </c>
      <c r="E520" s="0" t="n">
        <v>108</v>
      </c>
      <c r="F520" s="0" t="n">
        <v>139</v>
      </c>
      <c r="G520" s="0" t="n">
        <v>230</v>
      </c>
      <c r="H520" s="0" t="n">
        <v>137</v>
      </c>
      <c r="I520" s="0" t="n">
        <v>0</v>
      </c>
      <c r="J520" s="0" t="n">
        <v>2</v>
      </c>
      <c r="K520" s="0" t="n">
        <v>1</v>
      </c>
      <c r="L520" s="0" t="n">
        <v>0</v>
      </c>
      <c r="M520" s="0" t="n">
        <f aca="false">VLOOKUP(A520,'Team Data'!$A$1:$P$133,2,FALSE())</f>
        <v>6</v>
      </c>
      <c r="N520" s="0" t="n">
        <f aca="false">VLOOKUP(A520,'Team Data'!$A$1:$P$133,3,FALSE())</f>
        <v>7</v>
      </c>
      <c r="O520" s="0" t="n">
        <f aca="false">VLOOKUP(B520,'Team Data'!$A$1:$P$133,2,FALSE())</f>
        <v>9</v>
      </c>
      <c r="P520" s="0" t="n">
        <f aca="false">VLOOKUP(B520,'Team Data'!$A$1:$P$133,3,FALSE())</f>
        <v>4</v>
      </c>
      <c r="Q520" s="0" t="n">
        <f aca="false">VLOOKUP(A520,'Team Data'!$A$1:$P$133,4,FALSE())</f>
        <v>95</v>
      </c>
      <c r="R520" s="0" t="n">
        <f aca="false">VLOOKUP(A520,'Team Data'!$A$1:$P$133,5,FALSE())</f>
        <v>179</v>
      </c>
      <c r="S520" s="0" t="n">
        <f aca="false">VLOOKUP(B520,'Team Data'!$A$1:$P$133,4,FALSE())</f>
        <v>91</v>
      </c>
      <c r="T520" s="0" t="n">
        <f aca="false">VLOOKUP(B520,'Team Data'!$A$1:$P$133,5,FALSE())</f>
        <v>288</v>
      </c>
      <c r="U520" s="0" t="n">
        <f aca="false">IF(K520=1,(MIN(35,(C520-D520)))*(O520/(O520+P520))*(S520/(S520+T520)),(MAX(-35,(C520-D520)))*(IF(P520=0,0.1,(P520/(O520+P520))))*(T520/(S520+T520)))</f>
        <v>1.6622691292876</v>
      </c>
      <c r="V520" s="0" t="n">
        <f aca="false">IF(L520=1,(MIN(35,(D520-C520)))*(M520/(M520+N520))*(Q520/(Q520+R520)),(MAX(-35,(D520-C520)))*(IF(N520=0,0.1,(N520/(M520+N520))))*(R520/(R520+Q520)))</f>
        <v>-3.51768669286917</v>
      </c>
    </row>
    <row r="521" customFormat="false" ht="15" hidden="false" customHeight="false" outlineLevel="0" collapsed="false">
      <c r="A521" s="0" t="s">
        <v>86</v>
      </c>
      <c r="B521" s="0" t="s">
        <v>28</v>
      </c>
      <c r="C521" s="0" t="n">
        <v>49</v>
      </c>
      <c r="D521" s="0" t="n">
        <v>21</v>
      </c>
      <c r="E521" s="0" t="n">
        <v>324</v>
      </c>
      <c r="F521" s="0" t="n">
        <v>88</v>
      </c>
      <c r="G521" s="0" t="n">
        <v>201</v>
      </c>
      <c r="H521" s="0" t="n">
        <v>366</v>
      </c>
      <c r="I521" s="0" t="n">
        <v>0</v>
      </c>
      <c r="J521" s="0" t="n">
        <v>1</v>
      </c>
      <c r="K521" s="0" t="n">
        <v>1</v>
      </c>
      <c r="L521" s="0" t="n">
        <v>0</v>
      </c>
      <c r="M521" s="0" t="n">
        <f aca="false">VLOOKUP(A521,'Team Data'!$A$1:$P$133,2,FALSE())</f>
        <v>3</v>
      </c>
      <c r="N521" s="0" t="n">
        <f aca="false">VLOOKUP(A521,'Team Data'!$A$1:$P$133,3,FALSE())</f>
        <v>9</v>
      </c>
      <c r="O521" s="0" t="n">
        <f aca="false">VLOOKUP(B521,'Team Data'!$A$1:$P$133,2,FALSE())</f>
        <v>9</v>
      </c>
      <c r="P521" s="0" t="n">
        <f aca="false">VLOOKUP(B521,'Team Data'!$A$1:$P$133,3,FALSE())</f>
        <v>4</v>
      </c>
      <c r="Q521" s="0" t="n">
        <f aca="false">VLOOKUP(A521,'Team Data'!$A$1:$P$133,4,FALSE())</f>
        <v>77</v>
      </c>
      <c r="R521" s="0" t="n">
        <f aca="false">VLOOKUP(A521,'Team Data'!$A$1:$P$133,5,FALSE())</f>
        <v>69</v>
      </c>
      <c r="S521" s="0" t="n">
        <f aca="false">VLOOKUP(B521,'Team Data'!$A$1:$P$133,4,FALSE())</f>
        <v>88</v>
      </c>
      <c r="T521" s="0" t="n">
        <f aca="false">VLOOKUP(B521,'Team Data'!$A$1:$P$133,5,FALSE())</f>
        <v>182</v>
      </c>
      <c r="U521" s="0" t="n">
        <f aca="false">IF(K521=1,(MIN(35,(C521-D521)))*(O521/(O521+P521))*(S521/(S521+T521)),(MAX(-35,(C521-D521)))*(IF(P521=0,0.1,(P521/(O521+P521))))*(T521/(S521+T521)))</f>
        <v>6.31794871794872</v>
      </c>
      <c r="V521" s="0" t="n">
        <f aca="false">IF(L521=1,(MIN(35,(D521-C521)))*(M521/(M521+N521))*(Q521/(Q521+R521)),(MAX(-35,(D521-C521)))*(IF(N521=0,0.1,(N521/(M521+N521))))*(R521/(R521+Q521)))</f>
        <v>-9.92465753424658</v>
      </c>
    </row>
    <row r="522" customFormat="false" ht="15" hidden="false" customHeight="false" outlineLevel="0" collapsed="false">
      <c r="A522" s="0" t="s">
        <v>49</v>
      </c>
      <c r="B522" s="0" t="s">
        <v>40</v>
      </c>
      <c r="C522" s="0" t="n">
        <v>38</v>
      </c>
      <c r="D522" s="0" t="n">
        <v>45</v>
      </c>
      <c r="E522" s="0" t="n">
        <v>207</v>
      </c>
      <c r="F522" s="0" t="n">
        <v>12</v>
      </c>
      <c r="G522" s="0" t="n">
        <v>468</v>
      </c>
      <c r="H522" s="0" t="n">
        <v>578</v>
      </c>
      <c r="I522" s="0" t="n">
        <v>4</v>
      </c>
      <c r="J522" s="0" t="n">
        <v>1</v>
      </c>
      <c r="K522" s="0" t="n">
        <v>0</v>
      </c>
      <c r="L522" s="0" t="n">
        <v>1</v>
      </c>
      <c r="M522" s="0" t="n">
        <f aca="false">VLOOKUP(A522,'Team Data'!$A$1:$P$133,2,FALSE())</f>
        <v>8</v>
      </c>
      <c r="N522" s="0" t="n">
        <f aca="false">VLOOKUP(A522,'Team Data'!$A$1:$P$133,3,FALSE())</f>
        <v>3</v>
      </c>
      <c r="O522" s="0" t="n">
        <f aca="false">VLOOKUP(B522,'Team Data'!$A$1:$P$133,2,FALSE())</f>
        <v>6</v>
      </c>
      <c r="P522" s="0" t="n">
        <f aca="false">VLOOKUP(B522,'Team Data'!$A$1:$P$133,3,FALSE())</f>
        <v>7</v>
      </c>
      <c r="Q522" s="0" t="n">
        <f aca="false">VLOOKUP(A522,'Team Data'!$A$1:$P$133,4,FALSE())</f>
        <v>68</v>
      </c>
      <c r="R522" s="0" t="n">
        <f aca="false">VLOOKUP(A522,'Team Data'!$A$1:$P$133,5,FALSE())</f>
        <v>177</v>
      </c>
      <c r="S522" s="0" t="n">
        <f aca="false">VLOOKUP(B522,'Team Data'!$A$1:$P$133,4,FALSE())</f>
        <v>86</v>
      </c>
      <c r="T522" s="0" t="n">
        <f aca="false">VLOOKUP(B522,'Team Data'!$A$1:$P$133,5,FALSE())</f>
        <v>183</v>
      </c>
      <c r="U522" s="0" t="n">
        <f aca="false">IF(K522=1,(MIN(35,(C522-D522)))*(O522/(O522+P522))*(S522/(S522+T522)),(MAX(-35,(C522-D522)))*(IF(P522=0,0.1,(P522/(O522+P522))))*(T522/(S522+T522)))</f>
        <v>-2.56419788390049</v>
      </c>
      <c r="V522" s="0" t="n">
        <f aca="false">IF(L522=1,(MIN(35,(D522-C522)))*(M522/(M522+N522))*(Q522/(Q522+R522)),(MAX(-35,(D522-C522)))*(IF(N522=0,0.1,(N522/(M522+N522))))*(R522/(R522+Q522)))</f>
        <v>1.41298701298701</v>
      </c>
    </row>
    <row r="523" customFormat="false" ht="15" hidden="false" customHeight="false" outlineLevel="0" collapsed="false">
      <c r="A523" s="0" t="s">
        <v>58</v>
      </c>
      <c r="B523" s="0" t="s">
        <v>98</v>
      </c>
      <c r="C523" s="0" t="n">
        <v>34</v>
      </c>
      <c r="D523" s="0" t="n">
        <v>41</v>
      </c>
      <c r="E523" s="0" t="n">
        <v>67</v>
      </c>
      <c r="F523" s="0" t="n">
        <v>195</v>
      </c>
      <c r="G523" s="0" t="n">
        <v>371</v>
      </c>
      <c r="H523" s="0" t="n">
        <v>420</v>
      </c>
      <c r="I523" s="0" t="n">
        <v>1</v>
      </c>
      <c r="J523" s="0" t="n">
        <v>0</v>
      </c>
      <c r="K523" s="0" t="n">
        <v>0</v>
      </c>
      <c r="L523" s="0" t="n">
        <v>1</v>
      </c>
      <c r="M523" s="0" t="n">
        <f aca="false">VLOOKUP(A523,'Team Data'!$A$1:$P$133,2,FALSE())</f>
        <v>4</v>
      </c>
      <c r="N523" s="0" t="n">
        <f aca="false">VLOOKUP(A523,'Team Data'!$A$1:$P$133,3,FALSE())</f>
        <v>8</v>
      </c>
      <c r="O523" s="0" t="n">
        <f aca="false">VLOOKUP(B523,'Team Data'!$A$1:$P$133,2,FALSE())</f>
        <v>10</v>
      </c>
      <c r="P523" s="0" t="n">
        <f aca="false">VLOOKUP(B523,'Team Data'!$A$1:$P$133,3,FALSE())</f>
        <v>3</v>
      </c>
      <c r="Q523" s="0" t="n">
        <f aca="false">VLOOKUP(A523,'Team Data'!$A$1:$P$133,4,FALSE())</f>
        <v>88</v>
      </c>
      <c r="R523" s="0" t="n">
        <f aca="false">VLOOKUP(A523,'Team Data'!$A$1:$P$133,5,FALSE())</f>
        <v>172</v>
      </c>
      <c r="S523" s="0" t="n">
        <f aca="false">VLOOKUP(B523,'Team Data'!$A$1:$P$133,4,FALSE())</f>
        <v>78</v>
      </c>
      <c r="T523" s="0" t="n">
        <f aca="false">VLOOKUP(B523,'Team Data'!$A$1:$P$133,5,FALSE())</f>
        <v>194</v>
      </c>
      <c r="U523" s="0" t="n">
        <f aca="false">IF(K523=1,(MIN(35,(C523-D523)))*(O523/(O523+P523))*(S523/(S523+T523)),(MAX(-35,(C523-D523)))*(IF(P523=0,0.1,(P523/(O523+P523))))*(T523/(S523+T523)))</f>
        <v>-1.15214932126697</v>
      </c>
      <c r="V523" s="0" t="n">
        <f aca="false">IF(L523=1,(MIN(35,(D523-C523)))*(M523/(M523+N523))*(Q523/(Q523+R523)),(MAX(-35,(D523-C523)))*(IF(N523=0,0.1,(N523/(M523+N523))))*(R523/(R523+Q523)))</f>
        <v>0.78974358974359</v>
      </c>
    </row>
    <row r="524" customFormat="false" ht="15" hidden="false" customHeight="false" outlineLevel="0" collapsed="false">
      <c r="A524" s="0" t="s">
        <v>13</v>
      </c>
      <c r="B524" s="0" t="s">
        <v>100</v>
      </c>
      <c r="C524" s="0" t="n">
        <v>19</v>
      </c>
      <c r="D524" s="0" t="n">
        <v>20</v>
      </c>
      <c r="E524" s="0" t="n">
        <v>50</v>
      </c>
      <c r="F524" s="0" t="n">
        <v>168</v>
      </c>
      <c r="G524" s="0" t="n">
        <v>236</v>
      </c>
      <c r="H524" s="0" t="n">
        <v>177</v>
      </c>
      <c r="I524" s="0" t="n">
        <v>0</v>
      </c>
      <c r="J524" s="0" t="n">
        <v>2</v>
      </c>
      <c r="K524" s="0" t="n">
        <v>0</v>
      </c>
      <c r="L524" s="0" t="n">
        <v>1</v>
      </c>
      <c r="M524" s="0" t="n">
        <f aca="false">VLOOKUP(A524,'Team Data'!$A$1:$P$133,2,FALSE())</f>
        <v>3</v>
      </c>
      <c r="N524" s="0" t="n">
        <f aca="false">VLOOKUP(A524,'Team Data'!$A$1:$P$133,3,FALSE())</f>
        <v>9</v>
      </c>
      <c r="O524" s="0" t="n">
        <f aca="false">VLOOKUP(B524,'Team Data'!$A$1:$P$133,2,FALSE())</f>
        <v>7</v>
      </c>
      <c r="P524" s="0" t="n">
        <f aca="false">VLOOKUP(B524,'Team Data'!$A$1:$P$133,3,FALSE())</f>
        <v>6</v>
      </c>
      <c r="Q524" s="0" t="n">
        <f aca="false">VLOOKUP(A524,'Team Data'!$A$1:$P$133,4,FALSE())</f>
        <v>81</v>
      </c>
      <c r="R524" s="0" t="n">
        <f aca="false">VLOOKUP(A524,'Team Data'!$A$1:$P$133,5,FALSE())</f>
        <v>177</v>
      </c>
      <c r="S524" s="0" t="n">
        <f aca="false">VLOOKUP(B524,'Team Data'!$A$1:$P$133,4,FALSE())</f>
        <v>90</v>
      </c>
      <c r="T524" s="0" t="n">
        <f aca="false">VLOOKUP(B524,'Team Data'!$A$1:$P$133,5,FALSE())</f>
        <v>183</v>
      </c>
      <c r="U524" s="0" t="n">
        <f aca="false">IF(K524=1,(MIN(35,(C524-D524)))*(O524/(O524+P524))*(S524/(S524+T524)),(MAX(-35,(C524-D524)))*(IF(P524=0,0.1,(P524/(O524+P524))))*(T524/(S524+T524)))</f>
        <v>-0.30938292476754</v>
      </c>
      <c r="V524" s="0" t="n">
        <f aca="false">IF(L524=1,(MIN(35,(D524-C524)))*(M524/(M524+N524))*(Q524/(Q524+R524)),(MAX(-35,(D524-C524)))*(IF(N524=0,0.1,(N524/(M524+N524))))*(R524/(R524+Q524)))</f>
        <v>0.0784883720930233</v>
      </c>
    </row>
    <row r="525" customFormat="false" ht="15" hidden="false" customHeight="false" outlineLevel="0" collapsed="false">
      <c r="A525" s="0" t="s">
        <v>108</v>
      </c>
      <c r="B525" s="0" t="s">
        <v>111</v>
      </c>
      <c r="C525" s="0" t="n">
        <v>14</v>
      </c>
      <c r="D525" s="0" t="n">
        <v>17</v>
      </c>
      <c r="E525" s="0" t="n">
        <v>86</v>
      </c>
      <c r="F525" s="0" t="n">
        <v>107</v>
      </c>
      <c r="G525" s="0" t="n">
        <v>207</v>
      </c>
      <c r="H525" s="0" t="n">
        <v>299</v>
      </c>
      <c r="I525" s="0" t="n">
        <v>0</v>
      </c>
      <c r="J525" s="0" t="n">
        <v>1</v>
      </c>
      <c r="K525" s="0" t="n">
        <v>0</v>
      </c>
      <c r="L525" s="0" t="n">
        <v>1</v>
      </c>
      <c r="M525" s="0" t="n">
        <f aca="false">VLOOKUP(A525,'Team Data'!$A$1:$P$133,2,FALSE())</f>
        <v>4</v>
      </c>
      <c r="N525" s="0" t="n">
        <f aca="false">VLOOKUP(A525,'Team Data'!$A$1:$P$133,3,FALSE())</f>
        <v>8</v>
      </c>
      <c r="O525" s="0" t="n">
        <f aca="false">VLOOKUP(B525,'Team Data'!$A$1:$P$133,2,FALSE())</f>
        <v>12</v>
      </c>
      <c r="P525" s="0" t="n">
        <f aca="false">VLOOKUP(B525,'Team Data'!$A$1:$P$133,3,FALSE())</f>
        <v>2</v>
      </c>
      <c r="Q525" s="0" t="n">
        <f aca="false">VLOOKUP(A525,'Team Data'!$A$1:$P$133,4,FALSE())</f>
        <v>76</v>
      </c>
      <c r="R525" s="0" t="n">
        <f aca="false">VLOOKUP(A525,'Team Data'!$A$1:$P$133,5,FALSE())</f>
        <v>181</v>
      </c>
      <c r="S525" s="0" t="n">
        <f aca="false">VLOOKUP(B525,'Team Data'!$A$1:$P$133,4,FALSE())</f>
        <v>100</v>
      </c>
      <c r="T525" s="0" t="n">
        <f aca="false">VLOOKUP(B525,'Team Data'!$A$1:$P$133,5,FALSE())</f>
        <v>186</v>
      </c>
      <c r="U525" s="0" t="n">
        <f aca="false">IF(K525=1,(MIN(35,(C525-D525)))*(O525/(O525+P525))*(S525/(S525+T525)),(MAX(-35,(C525-D525)))*(IF(P525=0,0.1,(P525/(O525+P525))))*(T525/(S525+T525)))</f>
        <v>-0.278721278721279</v>
      </c>
      <c r="V525" s="0" t="n">
        <f aca="false">IF(L525=1,(MIN(35,(D525-C525)))*(M525/(M525+N525))*(Q525/(Q525+R525)),(MAX(-35,(D525-C525)))*(IF(N525=0,0.1,(N525/(M525+N525))))*(R525/(R525+Q525)))</f>
        <v>0.295719844357977</v>
      </c>
    </row>
    <row r="526" customFormat="false" ht="15" hidden="false" customHeight="false" outlineLevel="0" collapsed="false">
      <c r="A526" s="0" t="s">
        <v>25</v>
      </c>
      <c r="B526" s="0" t="s">
        <v>114</v>
      </c>
      <c r="C526" s="0" t="n">
        <v>20</v>
      </c>
      <c r="D526" s="0" t="n">
        <v>34</v>
      </c>
      <c r="E526" s="0" t="n">
        <v>113</v>
      </c>
      <c r="F526" s="0" t="n">
        <v>279</v>
      </c>
      <c r="G526" s="0" t="n">
        <v>214</v>
      </c>
      <c r="H526" s="0" t="n">
        <v>231</v>
      </c>
      <c r="I526" s="0" t="n">
        <v>3</v>
      </c>
      <c r="J526" s="0" t="n">
        <v>1</v>
      </c>
      <c r="K526" s="0" t="n">
        <v>0</v>
      </c>
      <c r="L526" s="0" t="n">
        <v>1</v>
      </c>
      <c r="M526" s="0" t="n">
        <f aca="false">VLOOKUP(A526,'Team Data'!$A$1:$P$133,2,FALSE())</f>
        <v>3</v>
      </c>
      <c r="N526" s="0" t="n">
        <f aca="false">VLOOKUP(A526,'Team Data'!$A$1:$P$133,3,FALSE())</f>
        <v>9</v>
      </c>
      <c r="O526" s="0" t="n">
        <f aca="false">VLOOKUP(B526,'Team Data'!$A$1:$P$133,2,FALSE())</f>
        <v>7</v>
      </c>
      <c r="P526" s="0" t="n">
        <f aca="false">VLOOKUP(B526,'Team Data'!$A$1:$P$133,3,FALSE())</f>
        <v>6</v>
      </c>
      <c r="Q526" s="0" t="n">
        <f aca="false">VLOOKUP(A526,'Team Data'!$A$1:$P$133,4,FALSE())</f>
        <v>74</v>
      </c>
      <c r="R526" s="0" t="n">
        <f aca="false">VLOOKUP(A526,'Team Data'!$A$1:$P$133,5,FALSE())</f>
        <v>185</v>
      </c>
      <c r="S526" s="0" t="n">
        <f aca="false">VLOOKUP(B526,'Team Data'!$A$1:$P$133,4,FALSE())</f>
        <v>89</v>
      </c>
      <c r="T526" s="0" t="n">
        <f aca="false">VLOOKUP(B526,'Team Data'!$A$1:$P$133,5,FALSE())</f>
        <v>188</v>
      </c>
      <c r="U526" s="0" t="n">
        <f aca="false">IF(K526=1,(MIN(35,(C526-D526)))*(O526/(O526+P526))*(S526/(S526+T526)),(MAX(-35,(C526-D526)))*(IF(P526=0,0.1,(P526/(O526+P526))))*(T526/(S526+T526)))</f>
        <v>-4.38544848653152</v>
      </c>
      <c r="V526" s="0" t="n">
        <f aca="false">IF(L526=1,(MIN(35,(D526-C526)))*(M526/(M526+N526))*(Q526/(Q526+R526)),(MAX(-35,(D526-C526)))*(IF(N526=0,0.1,(N526/(M526+N526))))*(R526/(R526+Q526)))</f>
        <v>1</v>
      </c>
    </row>
    <row r="527" customFormat="false" ht="15" hidden="false" customHeight="false" outlineLevel="0" collapsed="false">
      <c r="A527" s="0" t="s">
        <v>123</v>
      </c>
      <c r="B527" s="0" t="s">
        <v>34</v>
      </c>
      <c r="C527" s="0" t="n">
        <v>30</v>
      </c>
      <c r="D527" s="0" t="n">
        <v>10</v>
      </c>
      <c r="E527" s="0" t="n">
        <v>130</v>
      </c>
      <c r="F527" s="0" t="n">
        <v>137</v>
      </c>
      <c r="G527" s="0" t="n">
        <v>303</v>
      </c>
      <c r="H527" s="0" t="n">
        <v>186</v>
      </c>
      <c r="I527" s="0" t="n">
        <v>2</v>
      </c>
      <c r="J527" s="0" t="n">
        <v>1</v>
      </c>
      <c r="K527" s="0" t="n">
        <v>1</v>
      </c>
      <c r="L527" s="0" t="n">
        <v>0</v>
      </c>
      <c r="M527" s="0" t="n">
        <f aca="false">VLOOKUP(A527,'Team Data'!$A$1:$P$133,2,FALSE())</f>
        <v>11</v>
      </c>
      <c r="N527" s="0" t="n">
        <f aca="false">VLOOKUP(A527,'Team Data'!$A$1:$P$133,3,FALSE())</f>
        <v>3</v>
      </c>
      <c r="O527" s="0" t="n">
        <f aca="false">VLOOKUP(B527,'Team Data'!$A$1:$P$133,2,FALSE())</f>
        <v>4</v>
      </c>
      <c r="P527" s="0" t="n">
        <f aca="false">VLOOKUP(B527,'Team Data'!$A$1:$P$133,3,FALSE())</f>
        <v>8</v>
      </c>
      <c r="Q527" s="0" t="n">
        <f aca="false">VLOOKUP(A527,'Team Data'!$A$1:$P$133,4,FALSE())</f>
        <v>97</v>
      </c>
      <c r="R527" s="0" t="n">
        <f aca="false">VLOOKUP(A527,'Team Data'!$A$1:$P$133,5,FALSE())</f>
        <v>192</v>
      </c>
      <c r="S527" s="0" t="n">
        <f aca="false">VLOOKUP(B527,'Team Data'!$A$1:$P$133,4,FALSE())</f>
        <v>76</v>
      </c>
      <c r="T527" s="0" t="n">
        <f aca="false">VLOOKUP(B527,'Team Data'!$A$1:$P$133,5,FALSE())</f>
        <v>185</v>
      </c>
      <c r="U527" s="0" t="n">
        <f aca="false">IF(K527=1,(MIN(35,(C527-D527)))*(O527/(O527+P527))*(S527/(S527+T527)),(MAX(-35,(C527-D527)))*(IF(P527=0,0.1,(P527/(O527+P527))))*(T527/(S527+T527)))</f>
        <v>1.94125159642401</v>
      </c>
      <c r="V527" s="0" t="n">
        <f aca="false">IF(L527=1,(MIN(35,(D527-C527)))*(M527/(M527+N527))*(Q527/(Q527+R527)),(MAX(-35,(D527-C527)))*(IF(N527=0,0.1,(N527/(M527+N527))))*(R527/(R527+Q527)))</f>
        <v>-2.8472565496787</v>
      </c>
    </row>
    <row r="528" customFormat="false" ht="15" hidden="false" customHeight="false" outlineLevel="0" collapsed="false">
      <c r="A528" s="0" t="s">
        <v>93</v>
      </c>
      <c r="B528" s="0" t="s">
        <v>36</v>
      </c>
      <c r="C528" s="0" t="n">
        <v>14</v>
      </c>
      <c r="D528" s="0" t="n">
        <v>17</v>
      </c>
      <c r="E528" s="0" t="n">
        <v>64</v>
      </c>
      <c r="F528" s="0" t="n">
        <v>185</v>
      </c>
      <c r="G528" s="0" t="n">
        <v>197</v>
      </c>
      <c r="H528" s="0" t="n">
        <v>126</v>
      </c>
      <c r="I528" s="0" t="n">
        <v>3</v>
      </c>
      <c r="J528" s="0" t="n">
        <v>1</v>
      </c>
      <c r="K528" s="0" t="n">
        <v>0</v>
      </c>
      <c r="L528" s="0" t="n">
        <v>1</v>
      </c>
      <c r="M528" s="0" t="n">
        <f aca="false">VLOOKUP(A528,'Team Data'!$A$1:$P$133,2,FALSE())</f>
        <v>5</v>
      </c>
      <c r="N528" s="0" t="n">
        <f aca="false">VLOOKUP(A528,'Team Data'!$A$1:$P$133,3,FALSE())</f>
        <v>8</v>
      </c>
      <c r="O528" s="0" t="n">
        <f aca="false">VLOOKUP(B528,'Team Data'!$A$1:$P$133,2,FALSE())</f>
        <v>5</v>
      </c>
      <c r="P528" s="0" t="n">
        <f aca="false">VLOOKUP(B528,'Team Data'!$A$1:$P$133,3,FALSE())</f>
        <v>7</v>
      </c>
      <c r="Q528" s="0" t="n">
        <f aca="false">VLOOKUP(A528,'Team Data'!$A$1:$P$133,4,FALSE())</f>
        <v>90</v>
      </c>
      <c r="R528" s="0" t="n">
        <f aca="false">VLOOKUP(A528,'Team Data'!$A$1:$P$133,5,FALSE())</f>
        <v>186</v>
      </c>
      <c r="S528" s="0" t="n">
        <f aca="false">VLOOKUP(B528,'Team Data'!$A$1:$P$133,4,FALSE())</f>
        <v>83</v>
      </c>
      <c r="T528" s="0" t="n">
        <f aca="false">VLOOKUP(B528,'Team Data'!$A$1:$P$133,5,FALSE())</f>
        <v>182</v>
      </c>
      <c r="U528" s="0" t="n">
        <f aca="false">IF(K528=1,(MIN(35,(C528-D528)))*(O528/(O528+P528))*(S528/(S528+T528)),(MAX(-35,(C528-D528)))*(IF(P528=0,0.1,(P528/(O528+P528))))*(T528/(S528+T528)))</f>
        <v>-1.20188679245283</v>
      </c>
      <c r="V528" s="0" t="n">
        <f aca="false">IF(L528=1,(MIN(35,(D528-C528)))*(M528/(M528+N528))*(Q528/(Q528+R528)),(MAX(-35,(D528-C528)))*(IF(N528=0,0.1,(N528/(M528+N528))))*(R528/(R528+Q528)))</f>
        <v>0.376254180602007</v>
      </c>
    </row>
    <row r="529" customFormat="false" ht="15" hidden="false" customHeight="false" outlineLevel="0" collapsed="false">
      <c r="A529" s="0" t="s">
        <v>57</v>
      </c>
      <c r="B529" s="0" t="s">
        <v>78</v>
      </c>
      <c r="C529" s="0" t="n">
        <v>27</v>
      </c>
      <c r="D529" s="0" t="n">
        <v>47</v>
      </c>
      <c r="E529" s="0" t="n">
        <v>80</v>
      </c>
      <c r="F529" s="0" t="n">
        <v>475</v>
      </c>
      <c r="G529" s="0" t="n">
        <v>424</v>
      </c>
      <c r="H529" s="0" t="n">
        <v>196</v>
      </c>
      <c r="I529" s="0" t="n">
        <v>0</v>
      </c>
      <c r="J529" s="0" t="n">
        <v>1</v>
      </c>
      <c r="K529" s="0" t="n">
        <v>0</v>
      </c>
      <c r="L529" s="0" t="n">
        <v>1</v>
      </c>
      <c r="M529" s="0" t="n">
        <f aca="false">VLOOKUP(A529,'Team Data'!$A$1:$P$133,2,FALSE())</f>
        <v>3</v>
      </c>
      <c r="N529" s="0" t="n">
        <f aca="false">VLOOKUP(A529,'Team Data'!$A$1:$P$133,3,FALSE())</f>
        <v>9</v>
      </c>
      <c r="O529" s="0" t="n">
        <f aca="false">VLOOKUP(B529,'Team Data'!$A$1:$P$133,2,FALSE())</f>
        <v>7</v>
      </c>
      <c r="P529" s="0" t="n">
        <f aca="false">VLOOKUP(B529,'Team Data'!$A$1:$P$133,3,FALSE())</f>
        <v>7</v>
      </c>
      <c r="Q529" s="0" t="n">
        <f aca="false">VLOOKUP(A529,'Team Data'!$A$1:$P$133,4,FALSE())</f>
        <v>85</v>
      </c>
      <c r="R529" s="0" t="n">
        <f aca="false">VLOOKUP(A529,'Team Data'!$A$1:$P$133,5,FALSE())</f>
        <v>178</v>
      </c>
      <c r="S529" s="0" t="n">
        <f aca="false">VLOOKUP(B529,'Team Data'!$A$1:$P$133,4,FALSE())</f>
        <v>97</v>
      </c>
      <c r="T529" s="0" t="n">
        <f aca="false">VLOOKUP(B529,'Team Data'!$A$1:$P$133,5,FALSE())</f>
        <v>191</v>
      </c>
      <c r="U529" s="0" t="n">
        <f aca="false">IF(K529=1,(MIN(35,(C529-D529)))*(O529/(O529+P529))*(S529/(S529+T529)),(MAX(-35,(C529-D529)))*(IF(P529=0,0.1,(P529/(O529+P529))))*(T529/(S529+T529)))</f>
        <v>-6.63194444444445</v>
      </c>
      <c r="V529" s="0" t="n">
        <f aca="false">IF(L529=1,(MIN(35,(D529-C529)))*(M529/(M529+N529))*(Q529/(Q529+R529)),(MAX(-35,(D529-C529)))*(IF(N529=0,0.1,(N529/(M529+N529))))*(R529/(R529+Q529)))</f>
        <v>1.61596958174905</v>
      </c>
    </row>
    <row r="530" customFormat="false" ht="15" hidden="false" customHeight="false" outlineLevel="0" collapsed="false">
      <c r="A530" s="0" t="s">
        <v>133</v>
      </c>
      <c r="B530" s="0" t="s">
        <v>67</v>
      </c>
      <c r="C530" s="0" t="n">
        <v>35</v>
      </c>
      <c r="D530" s="0" t="n">
        <v>17</v>
      </c>
      <c r="E530" s="0" t="n">
        <v>165</v>
      </c>
      <c r="F530" s="0" t="n">
        <v>63</v>
      </c>
      <c r="G530" s="0" t="n">
        <v>278</v>
      </c>
      <c r="H530" s="0" t="n">
        <v>228</v>
      </c>
      <c r="I530" s="0" t="n">
        <v>4</v>
      </c>
      <c r="J530" s="0" t="n">
        <v>2</v>
      </c>
      <c r="K530" s="0" t="n">
        <v>1</v>
      </c>
      <c r="L530" s="0" t="n">
        <v>0</v>
      </c>
      <c r="M530" s="0" t="n">
        <f aca="false">VLOOKUP(A530,'Team Data'!$A$1:$P$133,2,FALSE())</f>
        <v>9</v>
      </c>
      <c r="N530" s="0" t="n">
        <f aca="false">VLOOKUP(A530,'Team Data'!$A$1:$P$133,3,FALSE())</f>
        <v>5</v>
      </c>
      <c r="O530" s="0" t="n">
        <f aca="false">VLOOKUP(B530,'Team Data'!$A$1:$P$133,2,FALSE())</f>
        <v>8</v>
      </c>
      <c r="P530" s="0" t="n">
        <f aca="false">VLOOKUP(B530,'Team Data'!$A$1:$P$133,3,FALSE())</f>
        <v>5</v>
      </c>
      <c r="Q530" s="0" t="n">
        <f aca="false">VLOOKUP(A530,'Team Data'!$A$1:$P$133,4,FALSE())</f>
        <v>92</v>
      </c>
      <c r="R530" s="0" t="n">
        <f aca="false">VLOOKUP(A530,'Team Data'!$A$1:$P$133,5,FALSE())</f>
        <v>195</v>
      </c>
      <c r="S530" s="0" t="n">
        <f aca="false">VLOOKUP(B530,'Team Data'!$A$1:$P$133,4,FALSE())</f>
        <v>78</v>
      </c>
      <c r="T530" s="0" t="n">
        <f aca="false">VLOOKUP(B530,'Team Data'!$A$1:$P$133,5,FALSE())</f>
        <v>191</v>
      </c>
      <c r="U530" s="0" t="n">
        <f aca="false">IF(K530=1,(MIN(35,(C530-D530)))*(O530/(O530+P530))*(S530/(S530+T530)),(MAX(-35,(C530-D530)))*(IF(P530=0,0.1,(P530/(O530+P530))))*(T530/(S530+T530)))</f>
        <v>3.21189591078067</v>
      </c>
      <c r="V530" s="0" t="n">
        <f aca="false">IF(L530=1,(MIN(35,(D530-C530)))*(M530/(M530+N530))*(Q530/(Q530+R530)),(MAX(-35,(D530-C530)))*(IF(N530=0,0.1,(N530/(M530+N530))))*(R530/(R530+Q530)))</f>
        <v>-4.36784469885515</v>
      </c>
    </row>
    <row r="531" customFormat="false" ht="15" hidden="false" customHeight="false" outlineLevel="0" collapsed="false">
      <c r="A531" s="0" t="s">
        <v>69</v>
      </c>
      <c r="B531" s="0" t="s">
        <v>8</v>
      </c>
      <c r="C531" s="0" t="n">
        <v>6</v>
      </c>
      <c r="D531" s="0" t="n">
        <v>30</v>
      </c>
      <c r="E531" s="0" t="n">
        <v>62</v>
      </c>
      <c r="F531" s="0" t="n">
        <v>29</v>
      </c>
      <c r="G531" s="0" t="n">
        <v>231</v>
      </c>
      <c r="H531" s="0" t="n">
        <v>261</v>
      </c>
      <c r="I531" s="0" t="n">
        <v>1</v>
      </c>
      <c r="J531" s="0" t="n">
        <v>0</v>
      </c>
      <c r="K531" s="0" t="n">
        <v>0</v>
      </c>
      <c r="L531" s="0" t="n">
        <v>1</v>
      </c>
      <c r="M531" s="0" t="n">
        <f aca="false">VLOOKUP(A531,'Team Data'!$A$1:$P$133,2,FALSE())</f>
        <v>9</v>
      </c>
      <c r="N531" s="0" t="n">
        <f aca="false">VLOOKUP(A531,'Team Data'!$A$1:$P$133,3,FALSE())</f>
        <v>4</v>
      </c>
      <c r="O531" s="0" t="n">
        <f aca="false">VLOOKUP(B531,'Team Data'!$A$1:$P$133,2,FALSE())</f>
        <v>11</v>
      </c>
      <c r="P531" s="0" t="n">
        <f aca="false">VLOOKUP(B531,'Team Data'!$A$1:$P$133,3,FALSE())</f>
        <v>2</v>
      </c>
      <c r="Q531" s="0" t="n">
        <f aca="false">VLOOKUP(A531,'Team Data'!$A$1:$P$133,4,FALSE())</f>
        <v>102</v>
      </c>
      <c r="R531" s="0" t="n">
        <f aca="false">VLOOKUP(A531,'Team Data'!$A$1:$P$133,5,FALSE())</f>
        <v>174</v>
      </c>
      <c r="S531" s="0" t="n">
        <f aca="false">VLOOKUP(B531,'Team Data'!$A$1:$P$133,4,FALSE())</f>
        <v>96</v>
      </c>
      <c r="T531" s="0" t="n">
        <f aca="false">VLOOKUP(B531,'Team Data'!$A$1:$P$133,5,FALSE())</f>
        <v>178</v>
      </c>
      <c r="U531" s="0" t="n">
        <f aca="false">IF(K531=1,(MIN(35,(C531-D531)))*(O531/(O531+P531))*(S531/(S531+T531)),(MAX(-35,(C531-D531)))*(IF(P531=0,0.1,(P531/(O531+P531))))*(T531/(S531+T531)))</f>
        <v>-2.39865244244806</v>
      </c>
      <c r="V531" s="0" t="n">
        <f aca="false">IF(L531=1,(MIN(35,(D531-C531)))*(M531/(M531+N531))*(Q531/(Q531+R531)),(MAX(-35,(D531-C531)))*(IF(N531=0,0.1,(N531/(M531+N531))))*(R531/(R531+Q531)))</f>
        <v>6.14046822742475</v>
      </c>
    </row>
    <row r="532" customFormat="false" ht="15" hidden="false" customHeight="false" outlineLevel="0" collapsed="false">
      <c r="A532" s="0" t="s">
        <v>87</v>
      </c>
      <c r="B532" s="0" t="s">
        <v>54</v>
      </c>
      <c r="C532" s="0" t="n">
        <v>20</v>
      </c>
      <c r="D532" s="0" t="n">
        <v>45</v>
      </c>
      <c r="E532" s="0" t="n">
        <v>116</v>
      </c>
      <c r="F532" s="0" t="n">
        <v>252</v>
      </c>
      <c r="G532" s="0" t="n">
        <v>288</v>
      </c>
      <c r="H532" s="0" t="n">
        <v>248</v>
      </c>
      <c r="I532" s="0" t="n">
        <v>1</v>
      </c>
      <c r="J532" s="0" t="n">
        <v>0</v>
      </c>
      <c r="K532" s="0" t="n">
        <v>0</v>
      </c>
      <c r="L532" s="0" t="n">
        <v>1</v>
      </c>
      <c r="M532" s="0" t="n">
        <f aca="false">VLOOKUP(A532,'Team Data'!$A$1:$P$133,2,FALSE())</f>
        <v>8</v>
      </c>
      <c r="N532" s="0" t="n">
        <f aca="false">VLOOKUP(A532,'Team Data'!$A$1:$P$133,3,FALSE())</f>
        <v>5</v>
      </c>
      <c r="O532" s="0" t="n">
        <f aca="false">VLOOKUP(B532,'Team Data'!$A$1:$P$133,2,FALSE())</f>
        <v>10</v>
      </c>
      <c r="P532" s="0" t="n">
        <f aca="false">VLOOKUP(B532,'Team Data'!$A$1:$P$133,3,FALSE())</f>
        <v>4</v>
      </c>
      <c r="Q532" s="0" t="n">
        <f aca="false">VLOOKUP(A532,'Team Data'!$A$1:$P$133,4,FALSE())</f>
        <v>97</v>
      </c>
      <c r="R532" s="0" t="n">
        <f aca="false">VLOOKUP(A532,'Team Data'!$A$1:$P$133,5,FALSE())</f>
        <v>176</v>
      </c>
      <c r="S532" s="0" t="n">
        <f aca="false">VLOOKUP(B532,'Team Data'!$A$1:$P$133,4,FALSE())</f>
        <v>112</v>
      </c>
      <c r="T532" s="0" t="n">
        <f aca="false">VLOOKUP(B532,'Team Data'!$A$1:$P$133,5,FALSE())</f>
        <v>177</v>
      </c>
      <c r="U532" s="0" t="n">
        <f aca="false">IF(K532=1,(MIN(35,(C532-D532)))*(O532/(O532+P532))*(S532/(S532+T532)),(MAX(-35,(C532-D532)))*(IF(P532=0,0.1,(P532/(O532+P532))))*(T532/(S532+T532)))</f>
        <v>-4.37469105289175</v>
      </c>
      <c r="V532" s="0" t="n">
        <f aca="false">IF(L532=1,(MIN(35,(D532-C532)))*(M532/(M532+N532))*(Q532/(Q532+R532)),(MAX(-35,(D532-C532)))*(IF(N532=0,0.1,(N532/(M532+N532))))*(R532/(R532+Q532)))</f>
        <v>5.46632854325162</v>
      </c>
    </row>
    <row r="533" customFormat="false" ht="15" hidden="false" customHeight="false" outlineLevel="0" collapsed="false">
      <c r="A533" s="0" t="s">
        <v>126</v>
      </c>
      <c r="B533" s="0" t="s">
        <v>70</v>
      </c>
      <c r="C533" s="0" t="n">
        <v>14</v>
      </c>
      <c r="D533" s="0" t="n">
        <v>17</v>
      </c>
      <c r="E533" s="0" t="n">
        <v>57</v>
      </c>
      <c r="F533" s="0" t="n">
        <v>97</v>
      </c>
      <c r="G533" s="0" t="n">
        <v>242</v>
      </c>
      <c r="H533" s="0" t="n">
        <v>211</v>
      </c>
      <c r="I533" s="0" t="n">
        <v>1</v>
      </c>
      <c r="J533" s="0" t="n">
        <v>4</v>
      </c>
      <c r="K533" s="0" t="n">
        <v>0</v>
      </c>
      <c r="L533" s="0" t="n">
        <v>1</v>
      </c>
      <c r="M533" s="0" t="n">
        <f aca="false">VLOOKUP(A533,'Team Data'!$A$1:$P$133,2,FALSE())</f>
        <v>5</v>
      </c>
      <c r="N533" s="0" t="n">
        <f aca="false">VLOOKUP(A533,'Team Data'!$A$1:$P$133,3,FALSE())</f>
        <v>7</v>
      </c>
      <c r="O533" s="0" t="n">
        <f aca="false">VLOOKUP(B533,'Team Data'!$A$1:$P$133,2,FALSE())</f>
        <v>6</v>
      </c>
      <c r="P533" s="0" t="n">
        <f aca="false">VLOOKUP(B533,'Team Data'!$A$1:$P$133,3,FALSE())</f>
        <v>7</v>
      </c>
      <c r="Q533" s="0" t="n">
        <f aca="false">VLOOKUP(A533,'Team Data'!$A$1:$P$133,4,FALSE())</f>
        <v>94</v>
      </c>
      <c r="R533" s="0" t="n">
        <f aca="false">VLOOKUP(A533,'Team Data'!$A$1:$P$133,5,FALSE())</f>
        <v>170</v>
      </c>
      <c r="S533" s="0" t="n">
        <f aca="false">VLOOKUP(B533,'Team Data'!$A$1:$P$133,4,FALSE())</f>
        <v>100</v>
      </c>
      <c r="T533" s="0" t="n">
        <f aca="false">VLOOKUP(B533,'Team Data'!$A$1:$P$133,5,FALSE())</f>
        <v>176</v>
      </c>
      <c r="U533" s="0" t="n">
        <f aca="false">IF(K533=1,(MIN(35,(C533-D533)))*(O533/(O533+P533))*(S533/(S533+T533)),(MAX(-35,(C533-D533)))*(IF(P533=0,0.1,(P533/(O533+P533))))*(T533/(S533+T533)))</f>
        <v>-1.03010033444816</v>
      </c>
      <c r="V533" s="0" t="n">
        <f aca="false">IF(L533=1,(MIN(35,(D533-C533)))*(M533/(M533+N533))*(Q533/(Q533+R533)),(MAX(-35,(D533-C533)))*(IF(N533=0,0.1,(N533/(M533+N533))))*(R533/(R533+Q533)))</f>
        <v>0.445075757575758</v>
      </c>
    </row>
    <row r="534" customFormat="false" ht="15" hidden="false" customHeight="false" outlineLevel="0" collapsed="false">
      <c r="A534" s="0" t="s">
        <v>107</v>
      </c>
      <c r="B534" s="0" t="s">
        <v>99</v>
      </c>
      <c r="C534" s="0" t="n">
        <v>24</v>
      </c>
      <c r="D534" s="0" t="n">
        <v>30</v>
      </c>
      <c r="E534" s="0" t="n">
        <v>129</v>
      </c>
      <c r="F534" s="0" t="n">
        <v>118</v>
      </c>
      <c r="G534" s="0" t="n">
        <v>269</v>
      </c>
      <c r="H534" s="0" t="n">
        <v>168</v>
      </c>
      <c r="I534" s="0" t="n">
        <v>2</v>
      </c>
      <c r="J534" s="0" t="n">
        <v>2</v>
      </c>
      <c r="K534" s="0" t="n">
        <v>0</v>
      </c>
      <c r="L534" s="0" t="n">
        <v>1</v>
      </c>
      <c r="M534" s="0" t="n">
        <f aca="false">VLOOKUP(A534,'Team Data'!$A$1:$P$133,2,FALSE())</f>
        <v>5</v>
      </c>
      <c r="N534" s="0" t="n">
        <f aca="false">VLOOKUP(A534,'Team Data'!$A$1:$P$133,3,FALSE())</f>
        <v>7</v>
      </c>
      <c r="O534" s="0" t="n">
        <f aca="false">VLOOKUP(B534,'Team Data'!$A$1:$P$133,2,FALSE())</f>
        <v>8</v>
      </c>
      <c r="P534" s="0" t="n">
        <f aca="false">VLOOKUP(B534,'Team Data'!$A$1:$P$133,3,FALSE())</f>
        <v>5</v>
      </c>
      <c r="Q534" s="0" t="n">
        <f aca="false">VLOOKUP(A534,'Team Data'!$A$1:$P$133,4,FALSE())</f>
        <v>84</v>
      </c>
      <c r="R534" s="0" t="n">
        <f aca="false">VLOOKUP(A534,'Team Data'!$A$1:$P$133,5,FALSE())</f>
        <v>176</v>
      </c>
      <c r="S534" s="0" t="n">
        <f aca="false">VLOOKUP(B534,'Team Data'!$A$1:$P$133,4,FALSE())</f>
        <v>97</v>
      </c>
      <c r="T534" s="0" t="n">
        <f aca="false">VLOOKUP(B534,'Team Data'!$A$1:$P$133,5,FALSE())</f>
        <v>178</v>
      </c>
      <c r="U534" s="0" t="n">
        <f aca="false">IF(K534=1,(MIN(35,(C534-D534)))*(O534/(O534+P534))*(S534/(S534+T534)),(MAX(-35,(C534-D534)))*(IF(P534=0,0.1,(P534/(O534+P534))))*(T534/(S534+T534)))</f>
        <v>-1.49370629370629</v>
      </c>
      <c r="V534" s="0" t="n">
        <f aca="false">IF(L534=1,(MIN(35,(D534-C534)))*(M534/(M534+N534))*(Q534/(Q534+R534)),(MAX(-35,(D534-C534)))*(IF(N534=0,0.1,(N534/(M534+N534))))*(R534/(R534+Q534)))</f>
        <v>0.807692307692308</v>
      </c>
    </row>
    <row r="535" customFormat="false" ht="15" hidden="false" customHeight="false" outlineLevel="0" collapsed="false">
      <c r="A535" s="0" t="s">
        <v>198</v>
      </c>
      <c r="B535" s="0" t="s">
        <v>105</v>
      </c>
      <c r="C535" s="0" t="n">
        <v>24</v>
      </c>
      <c r="D535" s="0" t="n">
        <v>65</v>
      </c>
      <c r="E535" s="0" t="n">
        <v>76</v>
      </c>
      <c r="F535" s="0" t="n">
        <v>201</v>
      </c>
      <c r="G535" s="0" t="n">
        <v>316</v>
      </c>
      <c r="H535" s="0" t="n">
        <v>495</v>
      </c>
      <c r="I535" s="0" t="n">
        <v>2</v>
      </c>
      <c r="J535" s="0" t="n">
        <v>1</v>
      </c>
      <c r="K535" s="0" t="n">
        <v>0</v>
      </c>
      <c r="L535" s="0" t="n">
        <v>1</v>
      </c>
      <c r="M535" s="0" t="n">
        <f aca="false">VLOOKUP(A535,'Team Data'!$A$1:$P$133,2,FALSE())</f>
        <v>8</v>
      </c>
      <c r="N535" s="0" t="n">
        <f aca="false">VLOOKUP(A535,'Team Data'!$A$1:$P$133,3,FALSE())</f>
        <v>112</v>
      </c>
      <c r="O535" s="0" t="n">
        <f aca="false">VLOOKUP(B535,'Team Data'!$A$1:$P$133,2,FALSE())</f>
        <v>11</v>
      </c>
      <c r="P535" s="0" t="n">
        <f aca="false">VLOOKUP(B535,'Team Data'!$A$1:$P$133,3,FALSE())</f>
        <v>2</v>
      </c>
      <c r="Q535" s="0" t="n">
        <f aca="false">VLOOKUP(A535,'Team Data'!$A$1:$P$133,4,FALSE())</f>
        <v>805</v>
      </c>
      <c r="R535" s="0" t="n">
        <f aca="false">VLOOKUP(A535,'Team Data'!$A$1:$P$133,5,FALSE())</f>
        <v>725</v>
      </c>
      <c r="S535" s="0" t="n">
        <f aca="false">VLOOKUP(B535,'Team Data'!$A$1:$P$133,4,FALSE())</f>
        <v>103</v>
      </c>
      <c r="T535" s="0" t="n">
        <f aca="false">VLOOKUP(B535,'Team Data'!$A$1:$P$133,5,FALSE())</f>
        <v>174</v>
      </c>
      <c r="U535" s="0" t="n">
        <f aca="false">IF(K535=1,(MIN(35,(C535-D535)))*(O535/(O535+P535))*(S535/(S535+T535)),(MAX(-35,(C535-D535)))*(IF(P535=0,0.1,(P535/(O535+P535))))*(T535/(S535+T535)))</f>
        <v>-3.38239377950569</v>
      </c>
      <c r="V535" s="0" t="n">
        <f aca="false">IF(L535=1,(MIN(35,(D535-C535)))*(M535/(M535+N535))*(Q535/(Q535+R535)),(MAX(-35,(D535-C535)))*(IF(N535=0,0.1,(N535/(M535+N535))))*(R535/(R535+Q535)))</f>
        <v>1.2276688453159</v>
      </c>
    </row>
    <row r="536" customFormat="false" ht="15" hidden="false" customHeight="false" outlineLevel="0" collapsed="false">
      <c r="A536" s="0" t="s">
        <v>11</v>
      </c>
      <c r="B536" s="0" t="s">
        <v>101</v>
      </c>
      <c r="C536" s="0" t="n">
        <v>14</v>
      </c>
      <c r="D536" s="0" t="n">
        <v>15</v>
      </c>
      <c r="E536" s="0" t="n">
        <v>128</v>
      </c>
      <c r="F536" s="0" t="n">
        <v>78</v>
      </c>
      <c r="G536" s="0" t="n">
        <v>227</v>
      </c>
      <c r="H536" s="0" t="n">
        <v>320</v>
      </c>
      <c r="I536" s="0" t="n">
        <v>1</v>
      </c>
      <c r="J536" s="0" t="n">
        <v>1</v>
      </c>
      <c r="K536" s="0" t="n">
        <v>0</v>
      </c>
      <c r="L536" s="0" t="n">
        <v>1</v>
      </c>
      <c r="M536" s="0" t="n">
        <f aca="false">VLOOKUP(A536,'Team Data'!$A$1:$P$133,2,FALSE())</f>
        <v>3</v>
      </c>
      <c r="N536" s="0" t="n">
        <f aca="false">VLOOKUP(A536,'Team Data'!$A$1:$P$133,3,FALSE())</f>
        <v>9</v>
      </c>
      <c r="O536" s="0" t="n">
        <f aca="false">VLOOKUP(B536,'Team Data'!$A$1:$P$133,2,FALSE())</f>
        <v>3</v>
      </c>
      <c r="P536" s="0" t="n">
        <f aca="false">VLOOKUP(B536,'Team Data'!$A$1:$P$133,3,FALSE())</f>
        <v>9</v>
      </c>
      <c r="Q536" s="0" t="n">
        <f aca="false">VLOOKUP(A536,'Team Data'!$A$1:$P$133,4,FALSE())</f>
        <v>91</v>
      </c>
      <c r="R536" s="0" t="n">
        <f aca="false">VLOOKUP(A536,'Team Data'!$A$1:$P$133,5,FALSE())</f>
        <v>171</v>
      </c>
      <c r="S536" s="0" t="n">
        <f aca="false">VLOOKUP(B536,'Team Data'!$A$1:$P$133,4,FALSE())</f>
        <v>100</v>
      </c>
      <c r="T536" s="0" t="n">
        <f aca="false">VLOOKUP(B536,'Team Data'!$A$1:$P$133,5,FALSE())</f>
        <v>163</v>
      </c>
      <c r="U536" s="0" t="n">
        <f aca="false">IF(K536=1,(MIN(35,(C536-D536)))*(O536/(O536+P536))*(S536/(S536+T536)),(MAX(-35,(C536-D536)))*(IF(P536=0,0.1,(P536/(O536+P536))))*(T536/(S536+T536)))</f>
        <v>-0.464828897338403</v>
      </c>
      <c r="V536" s="0" t="n">
        <f aca="false">IF(L536=1,(MIN(35,(D536-C536)))*(M536/(M536+N536))*(Q536/(Q536+R536)),(MAX(-35,(D536-C536)))*(IF(N536=0,0.1,(N536/(M536+N536))))*(R536/(R536+Q536)))</f>
        <v>0.0868320610687023</v>
      </c>
    </row>
    <row r="537" customFormat="false" ht="15" hidden="false" customHeight="false" outlineLevel="0" collapsed="false">
      <c r="A537" s="0" t="s">
        <v>130</v>
      </c>
      <c r="B537" s="0" t="s">
        <v>23</v>
      </c>
      <c r="C537" s="0" t="n">
        <v>28</v>
      </c>
      <c r="D537" s="0" t="n">
        <v>21</v>
      </c>
      <c r="E537" s="0" t="n">
        <v>102</v>
      </c>
      <c r="F537" s="0" t="n">
        <v>61</v>
      </c>
      <c r="G537" s="0" t="n">
        <v>374</v>
      </c>
      <c r="H537" s="0" t="n">
        <v>245</v>
      </c>
      <c r="I537" s="0" t="n">
        <v>0</v>
      </c>
      <c r="J537" s="0" t="n">
        <v>0</v>
      </c>
      <c r="K537" s="0" t="n">
        <v>1</v>
      </c>
      <c r="L537" s="0" t="n">
        <v>0</v>
      </c>
      <c r="M537" s="0" t="n">
        <f aca="false">VLOOKUP(A537,'Team Data'!$A$1:$P$133,2,FALSE())</f>
        <v>11</v>
      </c>
      <c r="N537" s="0" t="n">
        <f aca="false">VLOOKUP(A537,'Team Data'!$A$1:$P$133,3,FALSE())</f>
        <v>2</v>
      </c>
      <c r="O537" s="0" t="n">
        <f aca="false">VLOOKUP(B537,'Team Data'!$A$1:$P$133,2,FALSE())</f>
        <v>4</v>
      </c>
      <c r="P537" s="0" t="n">
        <f aca="false">VLOOKUP(B537,'Team Data'!$A$1:$P$133,3,FALSE())</f>
        <v>8</v>
      </c>
      <c r="Q537" s="0" t="n">
        <f aca="false">VLOOKUP(A537,'Team Data'!$A$1:$P$133,4,FALSE())</f>
        <v>78</v>
      </c>
      <c r="R537" s="0" t="n">
        <f aca="false">VLOOKUP(A537,'Team Data'!$A$1:$P$133,5,FALSE())</f>
        <v>191</v>
      </c>
      <c r="S537" s="0" t="n">
        <f aca="false">VLOOKUP(B537,'Team Data'!$A$1:$P$133,4,FALSE())</f>
        <v>89</v>
      </c>
      <c r="T537" s="0" t="n">
        <f aca="false">VLOOKUP(B537,'Team Data'!$A$1:$P$133,5,FALSE())</f>
        <v>171</v>
      </c>
      <c r="U537" s="0" t="n">
        <f aca="false">IF(K537=1,(MIN(35,(C537-D537)))*(O537/(O537+P537))*(S537/(S537+T537)),(MAX(-35,(C537-D537)))*(IF(P537=0,0.1,(P537/(O537+P537))))*(T537/(S537+T537)))</f>
        <v>0.798717948717949</v>
      </c>
      <c r="V537" s="0" t="n">
        <f aca="false">IF(L537=1,(MIN(35,(D537-C537)))*(M537/(M537+N537))*(Q537/(Q537+R537)),(MAX(-35,(D537-C537)))*(IF(N537=0,0.1,(N537/(M537+N537))))*(R537/(R537+Q537)))</f>
        <v>-0.764655418930512</v>
      </c>
    </row>
    <row r="538" customFormat="false" ht="15" hidden="false" customHeight="false" outlineLevel="0" collapsed="false">
      <c r="A538" s="0" t="s">
        <v>29</v>
      </c>
      <c r="B538" s="0" t="s">
        <v>89</v>
      </c>
      <c r="C538" s="0" t="n">
        <v>9</v>
      </c>
      <c r="D538" s="0" t="n">
        <v>42</v>
      </c>
      <c r="E538" s="0" t="n">
        <v>84</v>
      </c>
      <c r="F538" s="0" t="n">
        <v>270</v>
      </c>
      <c r="G538" s="0" t="n">
        <v>206</v>
      </c>
      <c r="H538" s="0" t="n">
        <v>202</v>
      </c>
      <c r="I538" s="0" t="n">
        <v>4</v>
      </c>
      <c r="J538" s="0" t="n">
        <v>1</v>
      </c>
      <c r="K538" s="0" t="n">
        <v>0</v>
      </c>
      <c r="L538" s="0" t="n">
        <v>1</v>
      </c>
      <c r="M538" s="0" t="n">
        <f aca="false">VLOOKUP(A538,'Team Data'!$A$1:$P$133,2,FALSE())</f>
        <v>1</v>
      </c>
      <c r="N538" s="0" t="n">
        <f aca="false">VLOOKUP(A538,'Team Data'!$A$1:$P$133,3,FALSE())</f>
        <v>11</v>
      </c>
      <c r="O538" s="0" t="n">
        <f aca="false">VLOOKUP(B538,'Team Data'!$A$1:$P$133,2,FALSE())</f>
        <v>10</v>
      </c>
      <c r="P538" s="0" t="n">
        <f aca="false">VLOOKUP(B538,'Team Data'!$A$1:$P$133,3,FALSE())</f>
        <v>3</v>
      </c>
      <c r="Q538" s="0" t="n">
        <f aca="false">VLOOKUP(A538,'Team Data'!$A$1:$P$133,4,FALSE())</f>
        <v>105</v>
      </c>
      <c r="R538" s="0" t="n">
        <f aca="false">VLOOKUP(A538,'Team Data'!$A$1:$P$133,5,FALSE())</f>
        <v>52</v>
      </c>
      <c r="S538" s="0" t="n">
        <f aca="false">VLOOKUP(B538,'Team Data'!$A$1:$P$133,4,FALSE())</f>
        <v>94</v>
      </c>
      <c r="T538" s="0" t="n">
        <f aca="false">VLOOKUP(B538,'Team Data'!$A$1:$P$133,5,FALSE())</f>
        <v>182</v>
      </c>
      <c r="U538" s="0" t="n">
        <f aca="false">IF(K538=1,(MIN(35,(C538-D538)))*(O538/(O538+P538))*(S538/(S538+T538)),(MAX(-35,(C538-D538)))*(IF(P538=0,0.1,(P538/(O538+P538))))*(T538/(S538+T538)))</f>
        <v>-5.02173913043478</v>
      </c>
      <c r="V538" s="0" t="n">
        <f aca="false">IF(L538=1,(MIN(35,(D538-C538)))*(M538/(M538+N538))*(Q538/(Q538+R538)),(MAX(-35,(D538-C538)))*(IF(N538=0,0.1,(N538/(M538+N538))))*(R538/(R538+Q538)))</f>
        <v>1.83917197452229</v>
      </c>
    </row>
    <row r="539" customFormat="false" ht="15" hidden="false" customHeight="false" outlineLevel="0" collapsed="false">
      <c r="A539" s="0" t="s">
        <v>116</v>
      </c>
      <c r="B539" s="0" t="s">
        <v>88</v>
      </c>
      <c r="C539" s="0" t="n">
        <v>30</v>
      </c>
      <c r="D539" s="0" t="n">
        <v>45</v>
      </c>
      <c r="E539" s="0" t="n">
        <v>186</v>
      </c>
      <c r="F539" s="0" t="n">
        <v>262</v>
      </c>
      <c r="G539" s="0" t="n">
        <v>262</v>
      </c>
      <c r="H539" s="0" t="n">
        <v>283</v>
      </c>
      <c r="I539" s="0" t="n">
        <v>1</v>
      </c>
      <c r="J539" s="0" t="n">
        <v>0</v>
      </c>
      <c r="K539" s="0" t="n">
        <v>0</v>
      </c>
      <c r="L539" s="0" t="n">
        <v>1</v>
      </c>
      <c r="M539" s="0" t="n">
        <f aca="false">VLOOKUP(A539,'Team Data'!$A$1:$P$133,2,FALSE())</f>
        <v>9</v>
      </c>
      <c r="N539" s="0" t="n">
        <f aca="false">VLOOKUP(A539,'Team Data'!$A$1:$P$133,3,FALSE())</f>
        <v>4</v>
      </c>
      <c r="O539" s="0" t="n">
        <f aca="false">VLOOKUP(B539,'Team Data'!$A$1:$P$133,2,FALSE())</f>
        <v>10</v>
      </c>
      <c r="P539" s="0" t="n">
        <f aca="false">VLOOKUP(B539,'Team Data'!$A$1:$P$133,3,FALSE())</f>
        <v>3</v>
      </c>
      <c r="Q539" s="0" t="n">
        <f aca="false">VLOOKUP(A539,'Team Data'!$A$1:$P$133,4,FALSE())</f>
        <v>91</v>
      </c>
      <c r="R539" s="0" t="n">
        <f aca="false">VLOOKUP(A539,'Team Data'!$A$1:$P$133,5,FALSE())</f>
        <v>182</v>
      </c>
      <c r="S539" s="0" t="n">
        <f aca="false">VLOOKUP(B539,'Team Data'!$A$1:$P$133,4,FALSE())</f>
        <v>100</v>
      </c>
      <c r="T539" s="0" t="n">
        <f aca="false">VLOOKUP(B539,'Team Data'!$A$1:$P$133,5,FALSE())</f>
        <v>176</v>
      </c>
      <c r="U539" s="0" t="n">
        <f aca="false">IF(K539=1,(MIN(35,(C539-D539)))*(O539/(O539+P539))*(S539/(S539+T539)),(MAX(-35,(C539-D539)))*(IF(P539=0,0.1,(P539/(O539+P539))))*(T539/(S539+T539)))</f>
        <v>-2.20735785953177</v>
      </c>
      <c r="V539" s="0" t="n">
        <f aca="false">IF(L539=1,(MIN(35,(D539-C539)))*(M539/(M539+N539))*(Q539/(Q539+R539)),(MAX(-35,(D539-C539)))*(IF(N539=0,0.1,(N539/(M539+N539))))*(R539/(R539+Q539)))</f>
        <v>3.46153846153846</v>
      </c>
    </row>
    <row r="540" customFormat="false" ht="15" hidden="false" customHeight="false" outlineLevel="0" collapsed="false">
      <c r="A540" s="0" t="s">
        <v>50</v>
      </c>
      <c r="B540" s="0" t="s">
        <v>18</v>
      </c>
      <c r="C540" s="0" t="n">
        <v>23</v>
      </c>
      <c r="D540" s="0" t="n">
        <v>35</v>
      </c>
      <c r="E540" s="0" t="n">
        <v>56</v>
      </c>
      <c r="F540" s="0" t="n">
        <v>273</v>
      </c>
      <c r="G540" s="0" t="n">
        <v>232</v>
      </c>
      <c r="H540" s="0" t="n">
        <v>164</v>
      </c>
      <c r="I540" s="0" t="n">
        <v>2</v>
      </c>
      <c r="J540" s="0" t="n">
        <v>3</v>
      </c>
      <c r="K540" s="0" t="n">
        <v>0</v>
      </c>
      <c r="L540" s="0" t="n">
        <v>1</v>
      </c>
      <c r="M540" s="0" t="n">
        <f aca="false">VLOOKUP(A540,'Team Data'!$A$1:$P$133,2,FALSE())</f>
        <v>6</v>
      </c>
      <c r="N540" s="0" t="n">
        <f aca="false">VLOOKUP(A540,'Team Data'!$A$1:$P$133,3,FALSE())</f>
        <v>7</v>
      </c>
      <c r="O540" s="0" t="n">
        <f aca="false">VLOOKUP(B540,'Team Data'!$A$1:$P$133,2,FALSE())</f>
        <v>6</v>
      </c>
      <c r="P540" s="0" t="n">
        <f aca="false">VLOOKUP(B540,'Team Data'!$A$1:$P$133,3,FALSE())</f>
        <v>7</v>
      </c>
      <c r="Q540" s="0" t="n">
        <f aca="false">VLOOKUP(A540,'Team Data'!$A$1:$P$133,4,FALSE())</f>
        <v>99</v>
      </c>
      <c r="R540" s="0" t="n">
        <f aca="false">VLOOKUP(A540,'Team Data'!$A$1:$P$133,5,FALSE())</f>
        <v>178</v>
      </c>
      <c r="S540" s="0" t="n">
        <f aca="false">VLOOKUP(B540,'Team Data'!$A$1:$P$133,4,FALSE())</f>
        <v>97</v>
      </c>
      <c r="T540" s="0" t="n">
        <f aca="false">VLOOKUP(B540,'Team Data'!$A$1:$P$133,5,FALSE())</f>
        <v>179</v>
      </c>
      <c r="U540" s="0" t="n">
        <f aca="false">IF(K540=1,(MIN(35,(C540-D540)))*(O540/(O540+P540))*(S540/(S540+T540)),(MAX(-35,(C540-D540)))*(IF(P540=0,0.1,(P540/(O540+P540))))*(T540/(S540+T540)))</f>
        <v>-4.19063545150502</v>
      </c>
      <c r="V540" s="0" t="n">
        <f aca="false">IF(L540=1,(MIN(35,(D540-C540)))*(M540/(M540+N540))*(Q540/(Q540+R540)),(MAX(-35,(D540-C540)))*(IF(N540=0,0.1,(N540/(M540+N540))))*(R540/(R540+Q540)))</f>
        <v>1.97945015273535</v>
      </c>
    </row>
    <row r="541" customFormat="false" ht="15" hidden="false" customHeight="false" outlineLevel="0" collapsed="false">
      <c r="A541" s="0" t="s">
        <v>51</v>
      </c>
      <c r="B541" s="0" t="s">
        <v>103</v>
      </c>
      <c r="C541" s="0" t="n">
        <v>28</v>
      </c>
      <c r="D541" s="0" t="n">
        <v>38</v>
      </c>
      <c r="E541" s="0" t="n">
        <v>158</v>
      </c>
      <c r="F541" s="0" t="n">
        <v>215</v>
      </c>
      <c r="G541" s="0" t="n">
        <v>232</v>
      </c>
      <c r="H541" s="0" t="n">
        <v>280</v>
      </c>
      <c r="I541" s="0" t="n">
        <v>2</v>
      </c>
      <c r="J541" s="0" t="n">
        <v>0</v>
      </c>
      <c r="K541" s="0" t="n">
        <v>0</v>
      </c>
      <c r="L541" s="0" t="n">
        <v>1</v>
      </c>
      <c r="M541" s="0" t="n">
        <f aca="false">VLOOKUP(A541,'Team Data'!$A$1:$P$133,2,FALSE())</f>
        <v>10</v>
      </c>
      <c r="N541" s="0" t="n">
        <f aca="false">VLOOKUP(A541,'Team Data'!$A$1:$P$133,3,FALSE())</f>
        <v>4</v>
      </c>
      <c r="O541" s="0" t="n">
        <f aca="false">VLOOKUP(B541,'Team Data'!$A$1:$P$133,2,FALSE())</f>
        <v>13</v>
      </c>
      <c r="P541" s="0" t="n">
        <f aca="false">VLOOKUP(B541,'Team Data'!$A$1:$P$133,3,FALSE())</f>
        <v>2</v>
      </c>
      <c r="Q541" s="0" t="n">
        <f aca="false">VLOOKUP(A541,'Team Data'!$A$1:$P$133,4,FALSE())</f>
        <v>113</v>
      </c>
      <c r="R541" s="0" t="n">
        <f aca="false">VLOOKUP(A541,'Team Data'!$A$1:$P$133,5,FALSE())</f>
        <v>179</v>
      </c>
      <c r="S541" s="0" t="n">
        <f aca="false">VLOOKUP(B541,'Team Data'!$A$1:$P$133,4,FALSE())</f>
        <v>114</v>
      </c>
      <c r="T541" s="0" t="n">
        <f aca="false">VLOOKUP(B541,'Team Data'!$A$1:$P$133,5,FALSE())</f>
        <v>190</v>
      </c>
      <c r="U541" s="0" t="n">
        <f aca="false">IF(K541=1,(MIN(35,(C541-D541)))*(O541/(O541+P541))*(S541/(S541+T541)),(MAX(-35,(C541-D541)))*(IF(P541=0,0.1,(P541/(O541+P541))))*(T541/(S541+T541)))</f>
        <v>-0.833333333333333</v>
      </c>
      <c r="V541" s="0" t="n">
        <f aca="false">IF(L541=1,(MIN(35,(D541-C541)))*(M541/(M541+N541))*(Q541/(Q541+R541)),(MAX(-35,(D541-C541)))*(IF(N541=0,0.1,(N541/(M541+N541))))*(R541/(R541+Q541)))</f>
        <v>2.76418786692759</v>
      </c>
    </row>
    <row r="542" customFormat="false" ht="15" hidden="false" customHeight="false" outlineLevel="0" collapsed="false">
      <c r="A542" s="0" t="s">
        <v>106</v>
      </c>
      <c r="B542" s="0" t="s">
        <v>85</v>
      </c>
      <c r="C542" s="0" t="n">
        <v>34</v>
      </c>
      <c r="D542" s="0" t="n">
        <v>41</v>
      </c>
      <c r="E542" s="0" t="n">
        <v>204</v>
      </c>
      <c r="F542" s="0" t="n">
        <v>142</v>
      </c>
      <c r="G542" s="0" t="n">
        <v>319</v>
      </c>
      <c r="H542" s="0" t="n">
        <v>393</v>
      </c>
      <c r="I542" s="0" t="n">
        <v>3</v>
      </c>
      <c r="J542" s="0" t="n">
        <v>2</v>
      </c>
      <c r="K542" s="0" t="n">
        <v>0</v>
      </c>
      <c r="L542" s="0" t="n">
        <v>1</v>
      </c>
      <c r="M542" s="0" t="n">
        <f aca="false">VLOOKUP(A542,'Team Data'!$A$1:$P$133,2,FALSE())</f>
        <v>8</v>
      </c>
      <c r="N542" s="0" t="n">
        <f aca="false">VLOOKUP(A542,'Team Data'!$A$1:$P$133,3,FALSE())</f>
        <v>5</v>
      </c>
      <c r="O542" s="0" t="n">
        <f aca="false">VLOOKUP(B542,'Team Data'!$A$1:$P$133,2,FALSE())</f>
        <v>7</v>
      </c>
      <c r="P542" s="0" t="n">
        <f aca="false">VLOOKUP(B542,'Team Data'!$A$1:$P$133,3,FALSE())</f>
        <v>6</v>
      </c>
      <c r="Q542" s="0" t="n">
        <f aca="false">VLOOKUP(A542,'Team Data'!$A$1:$P$133,4,FALSE())</f>
        <v>102</v>
      </c>
      <c r="R542" s="0" t="n">
        <f aca="false">VLOOKUP(A542,'Team Data'!$A$1:$P$133,5,FALSE())</f>
        <v>68</v>
      </c>
      <c r="S542" s="0" t="n">
        <f aca="false">VLOOKUP(B542,'Team Data'!$A$1:$P$133,4,FALSE())</f>
        <v>88</v>
      </c>
      <c r="T542" s="0" t="n">
        <f aca="false">VLOOKUP(B542,'Team Data'!$A$1:$P$133,5,FALSE())</f>
        <v>187</v>
      </c>
      <c r="U542" s="0" t="n">
        <f aca="false">IF(K542=1,(MIN(35,(C542-D542)))*(O542/(O542+P542))*(S542/(S542+T542)),(MAX(-35,(C542-D542)))*(IF(P542=0,0.1,(P542/(O542+P542))))*(T542/(S542+T542)))</f>
        <v>-2.19692307692308</v>
      </c>
      <c r="V542" s="0" t="n">
        <f aca="false">IF(L542=1,(MIN(35,(D542-C542)))*(M542/(M542+N542))*(Q542/(Q542+R542)),(MAX(-35,(D542-C542)))*(IF(N542=0,0.1,(N542/(M542+N542))))*(R542/(R542+Q542)))</f>
        <v>2.58461538461538</v>
      </c>
    </row>
    <row r="543" customFormat="false" ht="15" hidden="false" customHeight="false" outlineLevel="0" collapsed="false">
      <c r="A543" s="0" t="s">
        <v>132</v>
      </c>
      <c r="B543" s="0" t="s">
        <v>109</v>
      </c>
      <c r="C543" s="0" t="n">
        <v>10</v>
      </c>
      <c r="D543" s="0" t="n">
        <v>48</v>
      </c>
      <c r="E543" s="0" t="n">
        <v>73</v>
      </c>
      <c r="F543" s="0" t="n">
        <v>239</v>
      </c>
      <c r="G543" s="0" t="n">
        <v>209</v>
      </c>
      <c r="H543" s="0" t="n">
        <v>355</v>
      </c>
      <c r="I543" s="0" t="n">
        <v>4</v>
      </c>
      <c r="J543" s="0" t="n">
        <v>0</v>
      </c>
      <c r="K543" s="0" t="n">
        <v>0</v>
      </c>
      <c r="L543" s="0" t="n">
        <v>1</v>
      </c>
      <c r="M543" s="0" t="n">
        <f aca="false">VLOOKUP(A543,'Team Data'!$A$1:$P$133,2,FALSE())</f>
        <v>5</v>
      </c>
      <c r="N543" s="0" t="n">
        <f aca="false">VLOOKUP(A543,'Team Data'!$A$1:$P$133,3,FALSE())</f>
        <v>7</v>
      </c>
      <c r="O543" s="0" t="n">
        <f aca="false">VLOOKUP(B543,'Team Data'!$A$1:$P$133,2,FALSE())</f>
        <v>8</v>
      </c>
      <c r="P543" s="0" t="n">
        <f aca="false">VLOOKUP(B543,'Team Data'!$A$1:$P$133,3,FALSE())</f>
        <v>5</v>
      </c>
      <c r="Q543" s="0" t="n">
        <f aca="false">VLOOKUP(A543,'Team Data'!$A$1:$P$133,4,FALSE())</f>
        <v>88</v>
      </c>
      <c r="R543" s="0" t="n">
        <f aca="false">VLOOKUP(A543,'Team Data'!$A$1:$P$133,5,FALSE())</f>
        <v>175</v>
      </c>
      <c r="S543" s="0" t="n">
        <f aca="false">VLOOKUP(B543,'Team Data'!$A$1:$P$133,4,FALSE())</f>
        <v>97</v>
      </c>
      <c r="T543" s="0" t="n">
        <f aca="false">VLOOKUP(B543,'Team Data'!$A$1:$P$133,5,FALSE())</f>
        <v>180</v>
      </c>
      <c r="U543" s="0" t="n">
        <f aca="false">IF(K543=1,(MIN(35,(C543-D543)))*(O543/(O543+P543))*(S543/(S543+T543)),(MAX(-35,(C543-D543)))*(IF(P543=0,0.1,(P543/(O543+P543))))*(T543/(S543+T543)))</f>
        <v>-8.74757011941128</v>
      </c>
      <c r="V543" s="0" t="n">
        <f aca="false">IF(L543=1,(MIN(35,(D543-C543)))*(M543/(M543+N543))*(Q543/(Q543+R543)),(MAX(-35,(D543-C543)))*(IF(N543=0,0.1,(N543/(M543+N543))))*(R543/(R543+Q543)))</f>
        <v>4.87959442332066</v>
      </c>
    </row>
    <row r="544" customFormat="false" ht="15" hidden="false" customHeight="false" outlineLevel="0" collapsed="false">
      <c r="A544" s="0" t="s">
        <v>119</v>
      </c>
      <c r="B544" s="0" t="s">
        <v>81</v>
      </c>
      <c r="C544" s="0" t="n">
        <v>21</v>
      </c>
      <c r="D544" s="0" t="n">
        <v>44</v>
      </c>
      <c r="E544" s="0" t="n">
        <v>146</v>
      </c>
      <c r="F544" s="0" t="n">
        <v>223</v>
      </c>
      <c r="G544" s="0" t="n">
        <v>153</v>
      </c>
      <c r="H544" s="0" t="n">
        <v>205</v>
      </c>
      <c r="I544" s="0" t="n">
        <v>1</v>
      </c>
      <c r="J544" s="0" t="n">
        <v>2</v>
      </c>
      <c r="K544" s="0" t="n">
        <v>0</v>
      </c>
      <c r="L544" s="0" t="n">
        <v>1</v>
      </c>
      <c r="M544" s="0" t="n">
        <f aca="false">VLOOKUP(A544,'Team Data'!$A$1:$P$133,2,FALSE())</f>
        <v>5</v>
      </c>
      <c r="N544" s="0" t="n">
        <f aca="false">VLOOKUP(A544,'Team Data'!$A$1:$P$133,3,FALSE())</f>
        <v>7</v>
      </c>
      <c r="O544" s="0" t="n">
        <f aca="false">VLOOKUP(B544,'Team Data'!$A$1:$P$133,2,FALSE())</f>
        <v>9</v>
      </c>
      <c r="P544" s="0" t="n">
        <f aca="false">VLOOKUP(B544,'Team Data'!$A$1:$P$133,3,FALSE())</f>
        <v>4</v>
      </c>
      <c r="Q544" s="0" t="n">
        <f aca="false">VLOOKUP(A544,'Team Data'!$A$1:$P$133,4,FALSE())</f>
        <v>75</v>
      </c>
      <c r="R544" s="0" t="n">
        <f aca="false">VLOOKUP(A544,'Team Data'!$A$1:$P$133,5,FALSE())</f>
        <v>186</v>
      </c>
      <c r="S544" s="0" t="n">
        <f aca="false">VLOOKUP(B544,'Team Data'!$A$1:$P$133,4,FALSE())</f>
        <v>93</v>
      </c>
      <c r="T544" s="0" t="n">
        <f aca="false">VLOOKUP(B544,'Team Data'!$A$1:$P$133,5,FALSE())</f>
        <v>74</v>
      </c>
      <c r="U544" s="0" t="n">
        <f aca="false">IF(K544=1,(MIN(35,(C544-D544)))*(O544/(O544+P544))*(S544/(S544+T544)),(MAX(-35,(C544-D544)))*(IF(P544=0,0.1,(P544/(O544+P544))))*(T544/(S544+T544)))</f>
        <v>-3.13588208198987</v>
      </c>
      <c r="V544" s="0" t="n">
        <f aca="false">IF(L544=1,(MIN(35,(D544-C544)))*(M544/(M544+N544))*(Q544/(Q544+R544)),(MAX(-35,(D544-C544)))*(IF(N544=0,0.1,(N544/(M544+N544))))*(R544/(R544+Q544)))</f>
        <v>2.75383141762452</v>
      </c>
    </row>
    <row r="545" customFormat="false" ht="15" hidden="false" customHeight="false" outlineLevel="0" collapsed="false">
      <c r="A545" s="0" t="s">
        <v>58</v>
      </c>
      <c r="B545" s="0" t="s">
        <v>14</v>
      </c>
      <c r="C545" s="0" t="n">
        <v>24</v>
      </c>
      <c r="D545" s="0" t="n">
        <v>48</v>
      </c>
      <c r="E545" s="0" t="n">
        <v>185</v>
      </c>
      <c r="F545" s="0" t="n">
        <v>441</v>
      </c>
      <c r="G545" s="0" t="n">
        <v>164</v>
      </c>
      <c r="H545" s="0" t="n">
        <v>41</v>
      </c>
      <c r="I545" s="0" t="n">
        <v>1</v>
      </c>
      <c r="J545" s="0" t="n">
        <v>0</v>
      </c>
      <c r="K545" s="0" t="n">
        <v>0</v>
      </c>
      <c r="L545" s="0" t="n">
        <v>1</v>
      </c>
      <c r="M545" s="0" t="n">
        <f aca="false">VLOOKUP(A545,'Team Data'!$A$1:$P$133,2,FALSE())</f>
        <v>4</v>
      </c>
      <c r="N545" s="0" t="n">
        <f aca="false">VLOOKUP(A545,'Team Data'!$A$1:$P$133,3,FALSE())</f>
        <v>8</v>
      </c>
      <c r="O545" s="0" t="n">
        <f aca="false">VLOOKUP(B545,'Team Data'!$A$1:$P$133,2,FALSE())</f>
        <v>6</v>
      </c>
      <c r="P545" s="0" t="n">
        <f aca="false">VLOOKUP(B545,'Team Data'!$A$1:$P$133,3,FALSE())</f>
        <v>6</v>
      </c>
      <c r="Q545" s="0" t="n">
        <f aca="false">VLOOKUP(A545,'Team Data'!$A$1:$P$133,4,FALSE())</f>
        <v>88</v>
      </c>
      <c r="R545" s="0" t="n">
        <f aca="false">VLOOKUP(A545,'Team Data'!$A$1:$P$133,5,FALSE())</f>
        <v>172</v>
      </c>
      <c r="S545" s="0" t="n">
        <f aca="false">VLOOKUP(B545,'Team Data'!$A$1:$P$133,4,FALSE())</f>
        <v>85</v>
      </c>
      <c r="T545" s="0" t="n">
        <f aca="false">VLOOKUP(B545,'Team Data'!$A$1:$P$133,5,FALSE())</f>
        <v>283</v>
      </c>
      <c r="U545" s="0" t="n">
        <f aca="false">IF(K545=1,(MIN(35,(C545-D545)))*(O545/(O545+P545))*(S545/(S545+T545)),(MAX(-35,(C545-D545)))*(IF(P545=0,0.1,(P545/(O545+P545))))*(T545/(S545+T545)))</f>
        <v>-9.22826086956522</v>
      </c>
      <c r="V545" s="0" t="n">
        <f aca="false">IF(L545=1,(MIN(35,(D545-C545)))*(M545/(M545+N545))*(Q545/(Q545+R545)),(MAX(-35,(D545-C545)))*(IF(N545=0,0.1,(N545/(M545+N545))))*(R545/(R545+Q545)))</f>
        <v>2.70769230769231</v>
      </c>
    </row>
    <row r="546" customFormat="false" ht="15" hidden="false" customHeight="false" outlineLevel="0" collapsed="false">
      <c r="A546" s="0" t="s">
        <v>16</v>
      </c>
      <c r="B546" s="0" t="s">
        <v>55</v>
      </c>
      <c r="C546" s="0" t="n">
        <v>14</v>
      </c>
      <c r="D546" s="0" t="n">
        <v>41</v>
      </c>
      <c r="E546" s="0" t="n">
        <v>71</v>
      </c>
      <c r="F546" s="0" t="n">
        <v>300</v>
      </c>
      <c r="G546" s="0" t="n">
        <v>187</v>
      </c>
      <c r="H546" s="0" t="n">
        <v>247</v>
      </c>
      <c r="I546" s="0" t="n">
        <v>0</v>
      </c>
      <c r="J546" s="0" t="n">
        <v>2</v>
      </c>
      <c r="K546" s="0" t="n">
        <v>0</v>
      </c>
      <c r="L546" s="0" t="n">
        <v>1</v>
      </c>
      <c r="M546" s="0" t="n">
        <f aca="false">VLOOKUP(A546,'Team Data'!$A$1:$P$133,2,FALSE())</f>
        <v>8</v>
      </c>
      <c r="N546" s="0" t="n">
        <f aca="false">VLOOKUP(A546,'Team Data'!$A$1:$P$133,3,FALSE())</f>
        <v>5</v>
      </c>
      <c r="O546" s="0" t="n">
        <f aca="false">VLOOKUP(B546,'Team Data'!$A$1:$P$133,2,FALSE())</f>
        <v>8</v>
      </c>
      <c r="P546" s="0" t="n">
        <f aca="false">VLOOKUP(B546,'Team Data'!$A$1:$P$133,3,FALSE())</f>
        <v>5</v>
      </c>
      <c r="Q546" s="0" t="n">
        <f aca="false">VLOOKUP(A546,'Team Data'!$A$1:$P$133,4,FALSE())</f>
        <v>90</v>
      </c>
      <c r="R546" s="0" t="n">
        <f aca="false">VLOOKUP(A546,'Team Data'!$A$1:$P$133,5,FALSE())</f>
        <v>185</v>
      </c>
      <c r="S546" s="0" t="n">
        <f aca="false">VLOOKUP(B546,'Team Data'!$A$1:$P$133,4,FALSE())</f>
        <v>76</v>
      </c>
      <c r="T546" s="0" t="n">
        <f aca="false">VLOOKUP(B546,'Team Data'!$A$1:$P$133,5,FALSE())</f>
        <v>196</v>
      </c>
      <c r="U546" s="0" t="n">
        <f aca="false">IF(K546=1,(MIN(35,(C546-D546)))*(O546/(O546+P546))*(S546/(S546+T546)),(MAX(-35,(C546-D546)))*(IF(P546=0,0.1,(P546/(O546+P546))))*(T546/(S546+T546)))</f>
        <v>-7.48303167420815</v>
      </c>
      <c r="V546" s="0" t="n">
        <f aca="false">IF(L546=1,(MIN(35,(D546-C546)))*(M546/(M546+N546))*(Q546/(Q546+R546)),(MAX(-35,(D546-C546)))*(IF(N546=0,0.1,(N546/(M546+N546))))*(R546/(R546+Q546)))</f>
        <v>5.43776223776224</v>
      </c>
    </row>
    <row r="547" customFormat="false" ht="15" hidden="false" customHeight="false" outlineLevel="0" collapsed="false">
      <c r="A547" s="0" t="s">
        <v>92</v>
      </c>
      <c r="B547" s="0" t="s">
        <v>135</v>
      </c>
      <c r="C547" s="0" t="n">
        <v>24</v>
      </c>
      <c r="D547" s="0" t="n">
        <v>35</v>
      </c>
      <c r="E547" s="0" t="n">
        <v>111</v>
      </c>
      <c r="F547" s="0" t="n">
        <v>178</v>
      </c>
      <c r="G547" s="0" t="n">
        <v>320</v>
      </c>
      <c r="H547" s="0" t="n">
        <v>203</v>
      </c>
      <c r="I547" s="0" t="n">
        <v>3</v>
      </c>
      <c r="J547" s="0" t="n">
        <v>1</v>
      </c>
      <c r="K547" s="0" t="n">
        <v>0</v>
      </c>
      <c r="L547" s="0" t="n">
        <v>1</v>
      </c>
      <c r="M547" s="0" t="n">
        <f aca="false">VLOOKUP(A547,'Team Data'!$A$1:$P$133,2,FALSE())</f>
        <v>8</v>
      </c>
      <c r="N547" s="0" t="n">
        <f aca="false">VLOOKUP(A547,'Team Data'!$A$1:$P$133,3,FALSE())</f>
        <v>6</v>
      </c>
      <c r="O547" s="0" t="n">
        <f aca="false">VLOOKUP(B547,'Team Data'!$A$1:$P$133,2,FALSE())</f>
        <v>7</v>
      </c>
      <c r="P547" s="0" t="n">
        <f aca="false">VLOOKUP(B547,'Team Data'!$A$1:$P$133,3,FALSE())</f>
        <v>6</v>
      </c>
      <c r="Q547" s="0" t="n">
        <f aca="false">VLOOKUP(A547,'Team Data'!$A$1:$P$133,4,FALSE())</f>
        <v>103</v>
      </c>
      <c r="R547" s="0" t="n">
        <f aca="false">VLOOKUP(A547,'Team Data'!$A$1:$P$133,5,FALSE())</f>
        <v>184</v>
      </c>
      <c r="S547" s="0" t="n">
        <f aca="false">VLOOKUP(B547,'Team Data'!$A$1:$P$133,4,FALSE())</f>
        <v>91</v>
      </c>
      <c r="T547" s="0" t="n">
        <f aca="false">VLOOKUP(B547,'Team Data'!$A$1:$P$133,5,FALSE())</f>
        <v>183</v>
      </c>
      <c r="U547" s="0" t="n">
        <f aca="false">IF(K547=1,(MIN(35,(C547-D547)))*(O547/(O547+P547))*(S547/(S547+T547)),(MAX(-35,(C547-D547)))*(IF(P547=0,0.1,(P547/(O547+P547))))*(T547/(S547+T547)))</f>
        <v>-3.39079169006176</v>
      </c>
      <c r="V547" s="0" t="n">
        <f aca="false">IF(L547=1,(MIN(35,(D547-C547)))*(M547/(M547+N547))*(Q547/(Q547+R547)),(MAX(-35,(D547-C547)))*(IF(N547=0,0.1,(N547/(M547+N547))))*(R547/(R547+Q547)))</f>
        <v>2.25584868093579</v>
      </c>
    </row>
    <row r="548" customFormat="false" ht="15" hidden="false" customHeight="false" outlineLevel="0" collapsed="false">
      <c r="A548" s="0" t="s">
        <v>80</v>
      </c>
      <c r="B548" s="0" t="s">
        <v>61</v>
      </c>
      <c r="C548" s="0" t="n">
        <v>24</v>
      </c>
      <c r="D548" s="0" t="n">
        <v>31</v>
      </c>
      <c r="E548" s="0" t="n">
        <v>215</v>
      </c>
      <c r="F548" s="0" t="n">
        <v>257</v>
      </c>
      <c r="G548" s="0" t="n">
        <v>143</v>
      </c>
      <c r="H548" s="0" t="n">
        <v>166</v>
      </c>
      <c r="I548" s="0" t="n">
        <v>2</v>
      </c>
      <c r="J548" s="0" t="n">
        <v>0</v>
      </c>
      <c r="K548" s="0" t="n">
        <v>0</v>
      </c>
      <c r="L548" s="0" t="n">
        <v>1</v>
      </c>
      <c r="M548" s="0" t="n">
        <f aca="false">VLOOKUP(A548,'Team Data'!$A$1:$P$133,2,FALSE())</f>
        <v>1</v>
      </c>
      <c r="N548" s="0" t="n">
        <f aca="false">VLOOKUP(A548,'Team Data'!$A$1:$P$133,3,FALSE())</f>
        <v>11</v>
      </c>
      <c r="O548" s="0" t="n">
        <f aca="false">VLOOKUP(B548,'Team Data'!$A$1:$P$133,2,FALSE())</f>
        <v>8</v>
      </c>
      <c r="P548" s="0" t="n">
        <f aca="false">VLOOKUP(B548,'Team Data'!$A$1:$P$133,3,FALSE())</f>
        <v>5</v>
      </c>
      <c r="Q548" s="0" t="n">
        <f aca="false">VLOOKUP(A548,'Team Data'!$A$1:$P$133,4,FALSE())</f>
        <v>97</v>
      </c>
      <c r="R548" s="0" t="n">
        <f aca="false">VLOOKUP(A548,'Team Data'!$A$1:$P$133,5,FALSE())</f>
        <v>166</v>
      </c>
      <c r="S548" s="0" t="n">
        <f aca="false">VLOOKUP(B548,'Team Data'!$A$1:$P$133,4,FALSE())</f>
        <v>89</v>
      </c>
      <c r="T548" s="0" t="n">
        <f aca="false">VLOOKUP(B548,'Team Data'!$A$1:$P$133,5,FALSE())</f>
        <v>77</v>
      </c>
      <c r="U548" s="0" t="n">
        <f aca="false">IF(K548=1,(MIN(35,(C548-D548)))*(O548/(O548+P548))*(S548/(S548+T548)),(MAX(-35,(C548-D548)))*(IF(P548=0,0.1,(P548/(O548+P548))))*(T548/(S548+T548)))</f>
        <v>-1.24884151992586</v>
      </c>
      <c r="V548" s="0" t="n">
        <f aca="false">IF(L548=1,(MIN(35,(D548-C548)))*(M548/(M548+N548))*(Q548/(Q548+R548)),(MAX(-35,(D548-C548)))*(IF(N548=0,0.1,(N548/(M548+N548))))*(R548/(R548+Q548)))</f>
        <v>0.215145754119138</v>
      </c>
    </row>
    <row r="549" customFormat="false" ht="15" hidden="false" customHeight="false" outlineLevel="0" collapsed="false">
      <c r="A549" s="0" t="s">
        <v>47</v>
      </c>
      <c r="B549" s="0" t="s">
        <v>83</v>
      </c>
      <c r="C549" s="0" t="n">
        <v>10</v>
      </c>
      <c r="D549" s="0" t="n">
        <v>54</v>
      </c>
      <c r="E549" s="0" t="n">
        <v>77</v>
      </c>
      <c r="F549" s="0" t="n">
        <v>66</v>
      </c>
      <c r="G549" s="0" t="n">
        <v>81</v>
      </c>
      <c r="H549" s="0" t="n">
        <v>294</v>
      </c>
      <c r="I549" s="0" t="n">
        <v>6</v>
      </c>
      <c r="J549" s="0" t="n">
        <v>2</v>
      </c>
      <c r="K549" s="0" t="n">
        <v>0</v>
      </c>
      <c r="L549" s="0" t="n">
        <v>1</v>
      </c>
      <c r="M549" s="0" t="n">
        <f aca="false">VLOOKUP(A549,'Team Data'!$A$1:$P$133,2,FALSE())</f>
        <v>8</v>
      </c>
      <c r="N549" s="0" t="n">
        <f aca="false">VLOOKUP(A549,'Team Data'!$A$1:$P$133,3,FALSE())</f>
        <v>5</v>
      </c>
      <c r="O549" s="0" t="n">
        <f aca="false">VLOOKUP(B549,'Team Data'!$A$1:$P$133,2,FALSE())</f>
        <v>11</v>
      </c>
      <c r="P549" s="0" t="n">
        <f aca="false">VLOOKUP(B549,'Team Data'!$A$1:$P$133,3,FALSE())</f>
        <v>2</v>
      </c>
      <c r="Q549" s="0" t="n">
        <f aca="false">VLOOKUP(A549,'Team Data'!$A$1:$P$133,4,FALSE())</f>
        <v>86</v>
      </c>
      <c r="R549" s="0" t="n">
        <f aca="false">VLOOKUP(A549,'Team Data'!$A$1:$P$133,5,FALSE())</f>
        <v>187</v>
      </c>
      <c r="S549" s="0" t="n">
        <f aca="false">VLOOKUP(B549,'Team Data'!$A$1:$P$133,4,FALSE())</f>
        <v>97</v>
      </c>
      <c r="T549" s="0" t="n">
        <f aca="false">VLOOKUP(B549,'Team Data'!$A$1:$P$133,5,FALSE())</f>
        <v>71</v>
      </c>
      <c r="U549" s="0" t="n">
        <f aca="false">IF(K549=1,(MIN(35,(C549-D549)))*(O549/(O549+P549))*(S549/(S549+T549)),(MAX(-35,(C549-D549)))*(IF(P549=0,0.1,(P549/(O549+P549))))*(T549/(S549+T549)))</f>
        <v>-2.27564102564103</v>
      </c>
      <c r="V549" s="0" t="n">
        <f aca="false">IF(L549=1,(MIN(35,(D549-C549)))*(M549/(M549+N549))*(Q549/(Q549+R549)),(MAX(-35,(D549-C549)))*(IF(N549=0,0.1,(N549/(M549+N549))))*(R549/(R549+Q549)))</f>
        <v>6.78500986193294</v>
      </c>
    </row>
    <row r="550" customFormat="false" ht="15" hidden="false" customHeight="false" outlineLevel="0" collapsed="false">
      <c r="A550" s="0" t="s">
        <v>68</v>
      </c>
      <c r="B550" s="0" t="s">
        <v>90</v>
      </c>
      <c r="C550" s="0" t="n">
        <v>17</v>
      </c>
      <c r="D550" s="0" t="n">
        <v>45</v>
      </c>
      <c r="E550" s="0" t="n">
        <v>165</v>
      </c>
      <c r="F550" s="0" t="n">
        <v>175</v>
      </c>
      <c r="G550" s="0" t="n">
        <v>175</v>
      </c>
      <c r="H550" s="0" t="n">
        <v>304</v>
      </c>
      <c r="I550" s="0" t="n">
        <v>1</v>
      </c>
      <c r="J550" s="0" t="n">
        <v>1</v>
      </c>
      <c r="K550" s="0" t="n">
        <v>0</v>
      </c>
      <c r="L550" s="0" t="n">
        <v>1</v>
      </c>
      <c r="M550" s="0" t="n">
        <f aca="false">VLOOKUP(A550,'Team Data'!$A$1:$P$133,2,FALSE())</f>
        <v>9</v>
      </c>
      <c r="N550" s="0" t="n">
        <f aca="false">VLOOKUP(A550,'Team Data'!$A$1:$P$133,3,FALSE())</f>
        <v>4</v>
      </c>
      <c r="O550" s="0" t="n">
        <f aca="false">VLOOKUP(B550,'Team Data'!$A$1:$P$133,2,FALSE())</f>
        <v>11</v>
      </c>
      <c r="P550" s="0" t="n">
        <f aca="false">VLOOKUP(B550,'Team Data'!$A$1:$P$133,3,FALSE())</f>
        <v>2</v>
      </c>
      <c r="Q550" s="0" t="n">
        <f aca="false">VLOOKUP(A550,'Team Data'!$A$1:$P$133,4,FALSE())</f>
        <v>79</v>
      </c>
      <c r="R550" s="0" t="n">
        <f aca="false">VLOOKUP(A550,'Team Data'!$A$1:$P$133,5,FALSE())</f>
        <v>193</v>
      </c>
      <c r="S550" s="0" t="n">
        <f aca="false">VLOOKUP(B550,'Team Data'!$A$1:$P$133,4,FALSE())</f>
        <v>92</v>
      </c>
      <c r="T550" s="0" t="n">
        <f aca="false">VLOOKUP(B550,'Team Data'!$A$1:$P$133,5,FALSE())</f>
        <v>75</v>
      </c>
      <c r="U550" s="0" t="n">
        <f aca="false">IF(K550=1,(MIN(35,(C550-D550)))*(O550/(O550+P550))*(S550/(S550+T550)),(MAX(-35,(C550-D550)))*(IF(P550=0,0.1,(P550/(O550+P550))))*(T550/(S550+T550)))</f>
        <v>-1.93459235375403</v>
      </c>
      <c r="V550" s="0" t="n">
        <f aca="false">IF(L550=1,(MIN(35,(D550-C550)))*(M550/(M550+N550))*(Q550/(Q550+R550)),(MAX(-35,(D550-C550)))*(IF(N550=0,0.1,(N550/(M550+N550))))*(R550/(R550+Q550)))</f>
        <v>5.63009049773756</v>
      </c>
    </row>
    <row r="551" customFormat="false" ht="15" hidden="false" customHeight="false" outlineLevel="0" collapsed="false">
      <c r="A551" s="0" t="s">
        <v>46</v>
      </c>
      <c r="B551" s="0" t="s">
        <v>94</v>
      </c>
      <c r="C551" s="0" t="n">
        <v>17</v>
      </c>
      <c r="D551" s="0" t="n">
        <v>24</v>
      </c>
      <c r="E551" s="0" t="n">
        <v>62</v>
      </c>
      <c r="F551" s="0" t="n">
        <v>192</v>
      </c>
      <c r="G551" s="0" t="n">
        <v>210</v>
      </c>
      <c r="H551" s="0" t="n">
        <v>113</v>
      </c>
      <c r="I551" s="0" t="n">
        <v>1</v>
      </c>
      <c r="J551" s="0" t="n">
        <v>0</v>
      </c>
      <c r="K551" s="0" t="n">
        <v>0</v>
      </c>
      <c r="L551" s="0" t="n">
        <v>1</v>
      </c>
      <c r="M551" s="0" t="n">
        <f aca="false">VLOOKUP(A551,'Team Data'!$A$1:$P$133,2,FALSE())</f>
        <v>4</v>
      </c>
      <c r="N551" s="0" t="n">
        <f aca="false">VLOOKUP(A551,'Team Data'!$A$1:$P$133,3,FALSE())</f>
        <v>8</v>
      </c>
      <c r="O551" s="0" t="n">
        <f aca="false">VLOOKUP(B551,'Team Data'!$A$1:$P$133,2,FALSE())</f>
        <v>4</v>
      </c>
      <c r="P551" s="0" t="n">
        <f aca="false">VLOOKUP(B551,'Team Data'!$A$1:$P$133,3,FALSE())</f>
        <v>8</v>
      </c>
      <c r="Q551" s="0" t="n">
        <f aca="false">VLOOKUP(A551,'Team Data'!$A$1:$P$133,4,FALSE())</f>
        <v>98</v>
      </c>
      <c r="R551" s="0" t="n">
        <f aca="false">VLOOKUP(A551,'Team Data'!$A$1:$P$133,5,FALSE())</f>
        <v>165</v>
      </c>
      <c r="S551" s="0" t="n">
        <f aca="false">VLOOKUP(B551,'Team Data'!$A$1:$P$133,4,FALSE())</f>
        <v>87</v>
      </c>
      <c r="T551" s="0" t="n">
        <f aca="false">VLOOKUP(B551,'Team Data'!$A$1:$P$133,5,FALSE())</f>
        <v>172</v>
      </c>
      <c r="U551" s="0" t="n">
        <f aca="false">IF(K551=1,(MIN(35,(C551-D551)))*(O551/(O551+P551))*(S551/(S551+T551)),(MAX(-35,(C551-D551)))*(IF(P551=0,0.1,(P551/(O551+P551))))*(T551/(S551+T551)))</f>
        <v>-3.0990990990991</v>
      </c>
      <c r="V551" s="0" t="n">
        <f aca="false">IF(L551=1,(MIN(35,(D551-C551)))*(M551/(M551+N551))*(Q551/(Q551+R551)),(MAX(-35,(D551-C551)))*(IF(N551=0,0.1,(N551/(M551+N551))))*(R551/(R551+Q551)))</f>
        <v>0.869455006337136</v>
      </c>
    </row>
    <row r="552" customFormat="false" ht="15" hidden="false" customHeight="false" outlineLevel="0" collapsed="false">
      <c r="A552" s="0" t="s">
        <v>127</v>
      </c>
      <c r="B552" s="0" t="s">
        <v>42</v>
      </c>
      <c r="C552" s="0" t="n">
        <v>16</v>
      </c>
      <c r="D552" s="0" t="n">
        <v>9</v>
      </c>
      <c r="E552" s="0" t="n">
        <v>155</v>
      </c>
      <c r="F552" s="0" t="n">
        <v>60</v>
      </c>
      <c r="G552" s="0" t="n">
        <v>255</v>
      </c>
      <c r="H552" s="0" t="n">
        <v>146</v>
      </c>
      <c r="I552" s="0" t="n">
        <v>4</v>
      </c>
      <c r="J552" s="0" t="n">
        <v>2</v>
      </c>
      <c r="K552" s="0" t="n">
        <v>1</v>
      </c>
      <c r="L552" s="0" t="n">
        <v>0</v>
      </c>
      <c r="M552" s="0" t="n">
        <f aca="false">VLOOKUP(A552,'Team Data'!$A$1:$P$133,2,FALSE())</f>
        <v>3</v>
      </c>
      <c r="N552" s="0" t="n">
        <f aca="false">VLOOKUP(A552,'Team Data'!$A$1:$P$133,3,FALSE())</f>
        <v>7</v>
      </c>
      <c r="O552" s="0" t="n">
        <f aca="false">VLOOKUP(B552,'Team Data'!$A$1:$P$133,2,FALSE())</f>
        <v>5</v>
      </c>
      <c r="P552" s="0" t="n">
        <f aca="false">VLOOKUP(B552,'Team Data'!$A$1:$P$133,3,FALSE())</f>
        <v>7</v>
      </c>
      <c r="Q552" s="0" t="n">
        <f aca="false">VLOOKUP(A552,'Team Data'!$A$1:$P$133,4,FALSE())</f>
        <v>71</v>
      </c>
      <c r="R552" s="0" t="n">
        <f aca="false">VLOOKUP(A552,'Team Data'!$A$1:$P$133,5,FALSE())</f>
        <v>164</v>
      </c>
      <c r="S552" s="0" t="n">
        <f aca="false">VLOOKUP(B552,'Team Data'!$A$1:$P$133,4,FALSE())</f>
        <v>99</v>
      </c>
      <c r="T552" s="0" t="n">
        <f aca="false">VLOOKUP(B552,'Team Data'!$A$1:$P$133,5,FALSE())</f>
        <v>163</v>
      </c>
      <c r="U552" s="0" t="n">
        <f aca="false">IF(K552=1,(MIN(35,(C552-D552)))*(O552/(O552+P552))*(S552/(S552+T552)),(MAX(-35,(C552-D552)))*(IF(P552=0,0.1,(P552/(O552+P552))))*(T552/(S552+T552)))</f>
        <v>1.10209923664122</v>
      </c>
      <c r="V552" s="0" t="n">
        <f aca="false">IF(L552=1,(MIN(35,(D552-C552)))*(M552/(M552+N552))*(Q552/(Q552+R552)),(MAX(-35,(D552-C552)))*(IF(N552=0,0.1,(N552/(M552+N552))))*(R552/(R552+Q552)))</f>
        <v>-3.41957446808511</v>
      </c>
    </row>
    <row r="553" customFormat="false" ht="15" hidden="false" customHeight="false" outlineLevel="0" collapsed="false">
      <c r="A553" s="0" t="s">
        <v>102</v>
      </c>
      <c r="B553" s="0" t="s">
        <v>27</v>
      </c>
      <c r="C553" s="0" t="n">
        <v>21</v>
      </c>
      <c r="D553" s="0" t="n">
        <v>27</v>
      </c>
      <c r="E553" s="0" t="n">
        <v>124</v>
      </c>
      <c r="F553" s="0" t="n">
        <v>293</v>
      </c>
      <c r="G553" s="0" t="n">
        <v>167</v>
      </c>
      <c r="H553" s="0" t="n">
        <v>157</v>
      </c>
      <c r="I553" s="0" t="n">
        <v>1</v>
      </c>
      <c r="J553" s="0" t="n">
        <v>4</v>
      </c>
      <c r="K553" s="0" t="n">
        <v>0</v>
      </c>
      <c r="L553" s="0" t="n">
        <v>1</v>
      </c>
      <c r="M553" s="0" t="n">
        <f aca="false">VLOOKUP(A553,'Team Data'!$A$1:$P$133,2,FALSE())</f>
        <v>7</v>
      </c>
      <c r="N553" s="0" t="n">
        <f aca="false">VLOOKUP(A553,'Team Data'!$A$1:$P$133,3,FALSE())</f>
        <v>6</v>
      </c>
      <c r="O553" s="0" t="n">
        <f aca="false">VLOOKUP(B553,'Team Data'!$A$1:$P$133,2,FALSE())</f>
        <v>11</v>
      </c>
      <c r="P553" s="0" t="n">
        <f aca="false">VLOOKUP(B553,'Team Data'!$A$1:$P$133,3,FALSE())</f>
        <v>3</v>
      </c>
      <c r="Q553" s="0" t="n">
        <f aca="false">VLOOKUP(A553,'Team Data'!$A$1:$P$133,4,FALSE())</f>
        <v>100</v>
      </c>
      <c r="R553" s="0" t="n">
        <f aca="false">VLOOKUP(A553,'Team Data'!$A$1:$P$133,5,FALSE())</f>
        <v>174</v>
      </c>
      <c r="S553" s="0" t="n">
        <f aca="false">VLOOKUP(B553,'Team Data'!$A$1:$P$133,4,FALSE())</f>
        <v>102</v>
      </c>
      <c r="T553" s="0" t="n">
        <f aca="false">VLOOKUP(B553,'Team Data'!$A$1:$P$133,5,FALSE())</f>
        <v>184</v>
      </c>
      <c r="U553" s="0" t="n">
        <f aca="false">IF(K553=1,(MIN(35,(C553-D553)))*(O553/(O553+P553))*(S553/(S553+T553)),(MAX(-35,(C553-D553)))*(IF(P553=0,0.1,(P553/(O553+P553))))*(T553/(S553+T553)))</f>
        <v>-0.827172827172827</v>
      </c>
      <c r="V553" s="0" t="n">
        <f aca="false">IF(L553=1,(MIN(35,(D553-C553)))*(M553/(M553+N553))*(Q553/(Q553+R553)),(MAX(-35,(D553-C553)))*(IF(N553=0,0.1,(N553/(M553+N553))))*(R553/(R553+Q553)))</f>
        <v>1.17911285794497</v>
      </c>
    </row>
    <row r="554" customFormat="false" ht="15" hidden="false" customHeight="false" outlineLevel="0" collapsed="false">
      <c r="A554" s="0" t="s">
        <v>91</v>
      </c>
      <c r="B554" s="0" t="s">
        <v>59</v>
      </c>
      <c r="C554" s="0" t="n">
        <v>10</v>
      </c>
      <c r="D554" s="0" t="n">
        <v>24</v>
      </c>
      <c r="E554" s="0" t="n">
        <v>168</v>
      </c>
      <c r="F554" s="0" t="n">
        <v>122</v>
      </c>
      <c r="G554" s="0" t="n">
        <v>158</v>
      </c>
      <c r="H554" s="0" t="n">
        <v>190</v>
      </c>
      <c r="I554" s="0" t="n">
        <v>4</v>
      </c>
      <c r="J554" s="0" t="n">
        <v>1</v>
      </c>
      <c r="K554" s="0" t="n">
        <v>0</v>
      </c>
      <c r="L554" s="0" t="n">
        <v>1</v>
      </c>
      <c r="M554" s="0" t="n">
        <f aca="false">VLOOKUP(A554,'Team Data'!$A$1:$P$133,2,FALSE())</f>
        <v>9</v>
      </c>
      <c r="N554" s="0" t="n">
        <f aca="false">VLOOKUP(A554,'Team Data'!$A$1:$P$133,3,FALSE())</f>
        <v>4</v>
      </c>
      <c r="O554" s="0" t="n">
        <f aca="false">VLOOKUP(B554,'Team Data'!$A$1:$P$133,2,FALSE())</f>
        <v>8</v>
      </c>
      <c r="P554" s="0" t="n">
        <f aca="false">VLOOKUP(B554,'Team Data'!$A$1:$P$133,3,FALSE())</f>
        <v>5</v>
      </c>
      <c r="Q554" s="0" t="n">
        <f aca="false">VLOOKUP(A554,'Team Data'!$A$1:$P$133,4,FALSE())</f>
        <v>87</v>
      </c>
      <c r="R554" s="0" t="n">
        <f aca="false">VLOOKUP(A554,'Team Data'!$A$1:$P$133,5,FALSE())</f>
        <v>181</v>
      </c>
      <c r="S554" s="0" t="n">
        <f aca="false">VLOOKUP(B554,'Team Data'!$A$1:$P$133,4,FALSE())</f>
        <v>93</v>
      </c>
      <c r="T554" s="0" t="n">
        <f aca="false">VLOOKUP(B554,'Team Data'!$A$1:$P$133,5,FALSE())</f>
        <v>71</v>
      </c>
      <c r="U554" s="0" t="n">
        <f aca="false">IF(K554=1,(MIN(35,(C554-D554)))*(O554/(O554+P554))*(S554/(S554+T554)),(MAX(-35,(C554-D554)))*(IF(P554=0,0.1,(P554/(O554+P554))))*(T554/(S554+T554)))</f>
        <v>-2.33114446529081</v>
      </c>
      <c r="V554" s="0" t="n">
        <f aca="false">IF(L554=1,(MIN(35,(D554-C554)))*(M554/(M554+N554))*(Q554/(Q554+R554)),(MAX(-35,(D554-C554)))*(IF(N554=0,0.1,(N554/(M554+N554))))*(R554/(R554+Q554)))</f>
        <v>3.14638346727899</v>
      </c>
    </row>
    <row r="555" customFormat="false" ht="15" hidden="false" customHeight="false" outlineLevel="0" collapsed="false">
      <c r="A555" s="0" t="s">
        <v>31</v>
      </c>
      <c r="B555" s="0" t="s">
        <v>63</v>
      </c>
      <c r="C555" s="0" t="n">
        <v>45</v>
      </c>
      <c r="D555" s="0" t="n">
        <v>21</v>
      </c>
      <c r="E555" s="0" t="n">
        <v>200</v>
      </c>
      <c r="F555" s="0" t="n">
        <v>48</v>
      </c>
      <c r="G555" s="0" t="n">
        <v>136</v>
      </c>
      <c r="H555" s="0" t="n">
        <v>279</v>
      </c>
      <c r="I555" s="0" t="n">
        <v>2</v>
      </c>
      <c r="J555" s="0" t="n">
        <v>8</v>
      </c>
      <c r="K555" s="0" t="n">
        <v>1</v>
      </c>
      <c r="L555" s="0" t="n">
        <v>0</v>
      </c>
      <c r="M555" s="0" t="n">
        <f aca="false">VLOOKUP(A555,'Team Data'!$A$1:$P$133,2,FALSE())</f>
        <v>9</v>
      </c>
      <c r="N555" s="0" t="n">
        <f aca="false">VLOOKUP(A555,'Team Data'!$A$1:$P$133,3,FALSE())</f>
        <v>4</v>
      </c>
      <c r="O555" s="0" t="n">
        <f aca="false">VLOOKUP(B555,'Team Data'!$A$1:$P$133,2,FALSE())</f>
        <v>5</v>
      </c>
      <c r="P555" s="0" t="n">
        <f aca="false">VLOOKUP(B555,'Team Data'!$A$1:$P$133,3,FALSE())</f>
        <v>7</v>
      </c>
      <c r="Q555" s="0" t="n">
        <f aca="false">VLOOKUP(A555,'Team Data'!$A$1:$P$133,4,FALSE())</f>
        <v>72</v>
      </c>
      <c r="R555" s="0" t="n">
        <f aca="false">VLOOKUP(A555,'Team Data'!$A$1:$P$133,5,FALSE())</f>
        <v>196</v>
      </c>
      <c r="S555" s="0" t="n">
        <f aca="false">VLOOKUP(B555,'Team Data'!$A$1:$P$133,4,FALSE())</f>
        <v>87</v>
      </c>
      <c r="T555" s="0" t="n">
        <f aca="false">VLOOKUP(B555,'Team Data'!$A$1:$P$133,5,FALSE())</f>
        <v>171</v>
      </c>
      <c r="U555" s="0" t="n">
        <f aca="false">IF(K555=1,(MIN(35,(C555-D555)))*(O555/(O555+P555))*(S555/(S555+T555)),(MAX(-35,(C555-D555)))*(IF(P555=0,0.1,(P555/(O555+P555))))*(T555/(S555+T555)))</f>
        <v>3.37209302325581</v>
      </c>
      <c r="V555" s="0" t="n">
        <f aca="false">IF(L555=1,(MIN(35,(D555-C555)))*(M555/(M555+N555))*(Q555/(Q555+R555)),(MAX(-35,(D555-C555)))*(IF(N555=0,0.1,(N555/(M555+N555))))*(R555/(R555+Q555)))</f>
        <v>-5.40068886337543</v>
      </c>
    </row>
    <row r="556" customFormat="false" ht="15" hidden="false" customHeight="false" outlineLevel="0" collapsed="false">
      <c r="A556" s="0" t="s">
        <v>20</v>
      </c>
      <c r="B556" s="0" t="s">
        <v>129</v>
      </c>
      <c r="C556" s="0" t="n">
        <v>15</v>
      </c>
      <c r="D556" s="0" t="n">
        <v>43</v>
      </c>
      <c r="E556" s="0" t="n">
        <v>56</v>
      </c>
      <c r="F556" s="0" t="n">
        <v>115</v>
      </c>
      <c r="G556" s="0" t="n">
        <v>259</v>
      </c>
      <c r="H556" s="0" t="n">
        <v>313</v>
      </c>
      <c r="I556" s="0" t="n">
        <v>1</v>
      </c>
      <c r="J556" s="0" t="n">
        <v>2</v>
      </c>
      <c r="K556" s="0" t="n">
        <v>0</v>
      </c>
      <c r="L556" s="0" t="n">
        <v>1</v>
      </c>
      <c r="M556" s="0" t="n">
        <f aca="false">VLOOKUP(A556,'Team Data'!$A$1:$P$133,2,FALSE())</f>
        <v>3</v>
      </c>
      <c r="N556" s="0" t="n">
        <f aca="false">VLOOKUP(A556,'Team Data'!$A$1:$P$133,3,FALSE())</f>
        <v>9</v>
      </c>
      <c r="O556" s="0" t="n">
        <f aca="false">VLOOKUP(B556,'Team Data'!$A$1:$P$133,2,FALSE())</f>
        <v>8</v>
      </c>
      <c r="P556" s="0" t="n">
        <f aca="false">VLOOKUP(B556,'Team Data'!$A$1:$P$133,3,FALSE())</f>
        <v>5</v>
      </c>
      <c r="Q556" s="0" t="n">
        <f aca="false">VLOOKUP(A556,'Team Data'!$A$1:$P$133,4,FALSE())</f>
        <v>91</v>
      </c>
      <c r="R556" s="0" t="n">
        <f aca="false">VLOOKUP(A556,'Team Data'!$A$1:$P$133,5,FALSE())</f>
        <v>170</v>
      </c>
      <c r="S556" s="0" t="n">
        <f aca="false">VLOOKUP(B556,'Team Data'!$A$1:$P$133,4,FALSE())</f>
        <v>98</v>
      </c>
      <c r="T556" s="0" t="n">
        <f aca="false">VLOOKUP(B556,'Team Data'!$A$1:$P$133,5,FALSE())</f>
        <v>177</v>
      </c>
      <c r="U556" s="0" t="n">
        <f aca="false">IF(K556=1,(MIN(35,(C556-D556)))*(O556/(O556+P556))*(S556/(S556+T556)),(MAX(-35,(C556-D556)))*(IF(P556=0,0.1,(P556/(O556+P556))))*(T556/(S556+T556)))</f>
        <v>-6.93146853146853</v>
      </c>
      <c r="V556" s="0" t="n">
        <f aca="false">IF(L556=1,(MIN(35,(D556-C556)))*(M556/(M556+N556))*(Q556/(Q556+R556)),(MAX(-35,(D556-C556)))*(IF(N556=0,0.1,(N556/(M556+N556))))*(R556/(R556+Q556)))</f>
        <v>2.44061302681992</v>
      </c>
    </row>
    <row r="557" customFormat="false" ht="15" hidden="false" customHeight="false" outlineLevel="0" collapsed="false">
      <c r="A557" s="0" t="s">
        <v>19</v>
      </c>
      <c r="B557" s="0" t="s">
        <v>6</v>
      </c>
      <c r="C557" s="0" t="n">
        <v>19</v>
      </c>
      <c r="D557" s="0" t="n">
        <v>14</v>
      </c>
      <c r="E557" s="0" t="n">
        <v>115</v>
      </c>
      <c r="F557" s="0" t="n">
        <v>175</v>
      </c>
      <c r="G557" s="0" t="n">
        <v>207</v>
      </c>
      <c r="H557" s="0" t="n">
        <v>96</v>
      </c>
      <c r="I557" s="0" t="n">
        <v>1</v>
      </c>
      <c r="J557" s="0" t="n">
        <v>1</v>
      </c>
      <c r="K557" s="0" t="n">
        <v>1</v>
      </c>
      <c r="L557" s="0" t="n">
        <v>0</v>
      </c>
      <c r="M557" s="0" t="n">
        <f aca="false">VLOOKUP(A557,'Team Data'!$A$1:$P$133,2,FALSE())</f>
        <v>10</v>
      </c>
      <c r="N557" s="0" t="n">
        <f aca="false">VLOOKUP(A557,'Team Data'!$A$1:$P$133,3,FALSE())</f>
        <v>4</v>
      </c>
      <c r="O557" s="0" t="n">
        <f aca="false">VLOOKUP(B557,'Team Data'!$A$1:$P$133,2,FALSE())</f>
        <v>10</v>
      </c>
      <c r="P557" s="0" t="n">
        <f aca="false">VLOOKUP(B557,'Team Data'!$A$1:$P$133,3,FALSE())</f>
        <v>3</v>
      </c>
      <c r="Q557" s="0" t="n">
        <f aca="false">VLOOKUP(A557,'Team Data'!$A$1:$P$133,4,FALSE())</f>
        <v>95</v>
      </c>
      <c r="R557" s="0" t="n">
        <f aca="false">VLOOKUP(A557,'Team Data'!$A$1:$P$133,5,FALSE())</f>
        <v>193</v>
      </c>
      <c r="S557" s="0" t="n">
        <f aca="false">VLOOKUP(B557,'Team Data'!$A$1:$P$133,4,FALSE())</f>
        <v>67</v>
      </c>
      <c r="T557" s="0" t="n">
        <f aca="false">VLOOKUP(B557,'Team Data'!$A$1:$P$133,5,FALSE())</f>
        <v>203</v>
      </c>
      <c r="U557" s="0" t="n">
        <f aca="false">IF(K557=1,(MIN(35,(C557-D557)))*(O557/(O557+P557))*(S557/(S557+T557)),(MAX(-35,(C557-D557)))*(IF(P557=0,0.1,(P557/(O557+P557))))*(T557/(S557+T557)))</f>
        <v>0.954415954415954</v>
      </c>
      <c r="V557" s="0" t="n">
        <f aca="false">IF(L557=1,(MIN(35,(D557-C557)))*(M557/(M557+N557))*(Q557/(Q557+R557)),(MAX(-35,(D557-C557)))*(IF(N557=0,0.1,(N557/(M557+N557))))*(R557/(R557+Q557)))</f>
        <v>-0.95734126984127</v>
      </c>
    </row>
    <row r="558" customFormat="false" ht="15" hidden="false" customHeight="false" outlineLevel="0" collapsed="false">
      <c r="A558" s="0" t="s">
        <v>43</v>
      </c>
      <c r="B558" s="0" t="s">
        <v>30</v>
      </c>
      <c r="C558" s="0" t="n">
        <v>13</v>
      </c>
      <c r="D558" s="0" t="n">
        <v>17</v>
      </c>
      <c r="E558" s="0" t="n">
        <v>84</v>
      </c>
      <c r="F558" s="0" t="n">
        <v>209</v>
      </c>
      <c r="G558" s="0" t="n">
        <v>173</v>
      </c>
      <c r="H558" s="0" t="n">
        <v>177</v>
      </c>
      <c r="I558" s="0" t="n">
        <v>1</v>
      </c>
      <c r="J558" s="0" t="n">
        <v>0</v>
      </c>
      <c r="K558" s="0" t="n">
        <v>0</v>
      </c>
      <c r="L558" s="0" t="n">
        <v>1</v>
      </c>
      <c r="M558" s="0" t="n">
        <f aca="false">VLOOKUP(A558,'Team Data'!$A$1:$P$133,2,FALSE())</f>
        <v>3</v>
      </c>
      <c r="N558" s="0" t="n">
        <f aca="false">VLOOKUP(A558,'Team Data'!$A$1:$P$133,3,FALSE())</f>
        <v>10</v>
      </c>
      <c r="O558" s="0" t="n">
        <f aca="false">VLOOKUP(B558,'Team Data'!$A$1:$P$133,2,FALSE())</f>
        <v>3</v>
      </c>
      <c r="P558" s="0" t="n">
        <f aca="false">VLOOKUP(B558,'Team Data'!$A$1:$P$133,3,FALSE())</f>
        <v>9</v>
      </c>
      <c r="Q558" s="0" t="n">
        <f aca="false">VLOOKUP(A558,'Team Data'!$A$1:$P$133,4,FALSE())</f>
        <v>89</v>
      </c>
      <c r="R558" s="0" t="n">
        <f aca="false">VLOOKUP(A558,'Team Data'!$A$1:$P$133,5,FALSE())</f>
        <v>185</v>
      </c>
      <c r="S558" s="0" t="n">
        <f aca="false">VLOOKUP(B558,'Team Data'!$A$1:$P$133,4,FALSE())</f>
        <v>83</v>
      </c>
      <c r="T558" s="0" t="n">
        <f aca="false">VLOOKUP(B558,'Team Data'!$A$1:$P$133,5,FALSE())</f>
        <v>179</v>
      </c>
      <c r="U558" s="0" t="n">
        <f aca="false">IF(K558=1,(MIN(35,(C558-D558)))*(O558/(O558+P558))*(S558/(S558+T558)),(MAX(-35,(C558-D558)))*(IF(P558=0,0.1,(P558/(O558+P558))))*(T558/(S558+T558)))</f>
        <v>-2.04961832061069</v>
      </c>
      <c r="V558" s="0" t="n">
        <f aca="false">IF(L558=1,(MIN(35,(D558-C558)))*(M558/(M558+N558))*(Q558/(Q558+R558)),(MAX(-35,(D558-C558)))*(IF(N558=0,0.1,(N558/(M558+N558))))*(R558/(R558+Q558)))</f>
        <v>0.299831555306008</v>
      </c>
    </row>
    <row r="559" customFormat="false" ht="15" hidden="false" customHeight="false" outlineLevel="0" collapsed="false">
      <c r="A559" s="0" t="s">
        <v>38</v>
      </c>
      <c r="B559" s="0" t="s">
        <v>75</v>
      </c>
      <c r="C559" s="0" t="n">
        <v>41</v>
      </c>
      <c r="D559" s="0" t="n">
        <v>9</v>
      </c>
      <c r="E559" s="0" t="n">
        <v>285</v>
      </c>
      <c r="F559" s="0" t="n">
        <v>87</v>
      </c>
      <c r="G559" s="0" t="n">
        <v>225</v>
      </c>
      <c r="H559" s="0" t="n">
        <v>51</v>
      </c>
      <c r="I559" s="0" t="n">
        <v>1</v>
      </c>
      <c r="J559" s="0" t="n">
        <v>0</v>
      </c>
      <c r="K559" s="0" t="n">
        <v>1</v>
      </c>
      <c r="L559" s="0" t="n">
        <v>0</v>
      </c>
      <c r="M559" s="0" t="n">
        <f aca="false">VLOOKUP(A559,'Team Data'!$A$1:$P$133,2,FALSE())</f>
        <v>10</v>
      </c>
      <c r="N559" s="0" t="n">
        <f aca="false">VLOOKUP(A559,'Team Data'!$A$1:$P$133,3,FALSE())</f>
        <v>4</v>
      </c>
      <c r="O559" s="0" t="n">
        <f aca="false">VLOOKUP(B559,'Team Data'!$A$1:$P$133,2,FALSE())</f>
        <v>2</v>
      </c>
      <c r="P559" s="0" t="n">
        <f aca="false">VLOOKUP(B559,'Team Data'!$A$1:$P$133,3,FALSE())</f>
        <v>10</v>
      </c>
      <c r="Q559" s="0" t="n">
        <f aca="false">VLOOKUP(A559,'Team Data'!$A$1:$P$133,4,FALSE())</f>
        <v>95</v>
      </c>
      <c r="R559" s="0" t="n">
        <f aca="false">VLOOKUP(A559,'Team Data'!$A$1:$P$133,5,FALSE())</f>
        <v>193</v>
      </c>
      <c r="S559" s="0" t="n">
        <f aca="false">VLOOKUP(B559,'Team Data'!$A$1:$P$133,4,FALSE())</f>
        <v>88</v>
      </c>
      <c r="T559" s="0" t="n">
        <f aca="false">VLOOKUP(B559,'Team Data'!$A$1:$P$133,5,FALSE())</f>
        <v>175</v>
      </c>
      <c r="U559" s="0" t="n">
        <f aca="false">IF(K559=1,(MIN(35,(C559-D559)))*(O559/(O559+P559))*(S559/(S559+T559)),(MAX(-35,(C559-D559)))*(IF(P559=0,0.1,(P559/(O559+P559))))*(T559/(S559+T559)))</f>
        <v>1.78453738910013</v>
      </c>
      <c r="V559" s="0" t="n">
        <f aca="false">IF(L559=1,(MIN(35,(D559-C559)))*(M559/(M559+N559))*(Q559/(Q559+R559)),(MAX(-35,(D559-C559)))*(IF(N559=0,0.1,(N559/(M559+N559))))*(R559/(R559+Q559)))</f>
        <v>-6.12698412698413</v>
      </c>
    </row>
    <row r="560" customFormat="false" ht="15" hidden="false" customHeight="false" outlineLevel="0" collapsed="false">
      <c r="A560" s="0" t="s">
        <v>125</v>
      </c>
      <c r="B560" s="0" t="s">
        <v>136</v>
      </c>
      <c r="C560" s="0" t="n">
        <v>14</v>
      </c>
      <c r="D560" s="0" t="n">
        <v>28</v>
      </c>
      <c r="E560" s="0" t="n">
        <v>113</v>
      </c>
      <c r="F560" s="0" t="n">
        <v>330</v>
      </c>
      <c r="G560" s="0" t="n">
        <v>104</v>
      </c>
      <c r="H560" s="0" t="n">
        <v>199</v>
      </c>
      <c r="I560" s="0" t="n">
        <v>1</v>
      </c>
      <c r="J560" s="0" t="n">
        <v>1</v>
      </c>
      <c r="K560" s="0" t="n">
        <v>0</v>
      </c>
      <c r="L560" s="0" t="n">
        <v>1</v>
      </c>
      <c r="M560" s="0" t="n">
        <f aca="false">VLOOKUP(A560,'Team Data'!$A$1:$P$133,2,FALSE())</f>
        <v>6</v>
      </c>
      <c r="N560" s="0" t="n">
        <f aca="false">VLOOKUP(A560,'Team Data'!$A$1:$P$133,3,FALSE())</f>
        <v>7</v>
      </c>
      <c r="O560" s="0" t="n">
        <f aca="false">VLOOKUP(B560,'Team Data'!$A$1:$P$133,2,FALSE())</f>
        <v>7</v>
      </c>
      <c r="P560" s="0" t="n">
        <f aca="false">VLOOKUP(B560,'Team Data'!$A$1:$P$133,3,FALSE())</f>
        <v>6</v>
      </c>
      <c r="Q560" s="0" t="n">
        <f aca="false">VLOOKUP(A560,'Team Data'!$A$1:$P$133,4,FALSE())</f>
        <v>87</v>
      </c>
      <c r="R560" s="0" t="n">
        <f aca="false">VLOOKUP(A560,'Team Data'!$A$1:$P$133,5,FALSE())</f>
        <v>186</v>
      </c>
      <c r="S560" s="0" t="n">
        <f aca="false">VLOOKUP(B560,'Team Data'!$A$1:$P$133,4,FALSE())</f>
        <v>90</v>
      </c>
      <c r="T560" s="0" t="n">
        <f aca="false">VLOOKUP(B560,'Team Data'!$A$1:$P$133,5,FALSE())</f>
        <v>185</v>
      </c>
      <c r="U560" s="0" t="n">
        <f aca="false">IF(K560=1,(MIN(35,(C560-D560)))*(O560/(O560+P560))*(S560/(S560+T560)),(MAX(-35,(C560-D560)))*(IF(P560=0,0.1,(P560/(O560+P560))))*(T560/(S560+T560)))</f>
        <v>-4.34685314685315</v>
      </c>
      <c r="V560" s="0" t="n">
        <f aca="false">IF(L560=1,(MIN(35,(D560-C560)))*(M560/(M560+N560))*(Q560/(Q560+R560)),(MAX(-35,(D560-C560)))*(IF(N560=0,0.1,(N560/(M560+N560))))*(R560/(R560+Q560)))</f>
        <v>2.05917159763314</v>
      </c>
    </row>
    <row r="561" customFormat="false" ht="15" hidden="false" customHeight="false" outlineLevel="0" collapsed="false">
      <c r="A561" s="0" t="s">
        <v>96</v>
      </c>
      <c r="B561" s="0" t="s">
        <v>74</v>
      </c>
      <c r="C561" s="0" t="n">
        <v>23</v>
      </c>
      <c r="D561" s="0" t="n">
        <v>7</v>
      </c>
      <c r="E561" s="0" t="n">
        <v>161</v>
      </c>
      <c r="F561" s="0" t="n">
        <v>35</v>
      </c>
      <c r="G561" s="0" t="n">
        <v>156</v>
      </c>
      <c r="H561" s="0" t="n">
        <v>192</v>
      </c>
      <c r="I561" s="0" t="n">
        <v>1</v>
      </c>
      <c r="J561" s="0" t="n">
        <v>2</v>
      </c>
      <c r="K561" s="0" t="n">
        <v>1</v>
      </c>
      <c r="L561" s="0" t="n">
        <v>0</v>
      </c>
      <c r="M561" s="0" t="n">
        <f aca="false">VLOOKUP(A561,'Team Data'!$A$1:$P$133,2,FALSE())</f>
        <v>7</v>
      </c>
      <c r="N561" s="0" t="n">
        <f aca="false">VLOOKUP(A561,'Team Data'!$A$1:$P$133,3,FALSE())</f>
        <v>6</v>
      </c>
      <c r="O561" s="0" t="n">
        <f aca="false">VLOOKUP(B561,'Team Data'!$A$1:$P$133,2,FALSE())</f>
        <v>2</v>
      </c>
      <c r="P561" s="0" t="n">
        <f aca="false">VLOOKUP(B561,'Team Data'!$A$1:$P$133,3,FALSE())</f>
        <v>10</v>
      </c>
      <c r="Q561" s="0" t="n">
        <f aca="false">VLOOKUP(A561,'Team Data'!$A$1:$P$133,4,FALSE())</f>
        <v>89</v>
      </c>
      <c r="R561" s="0" t="n">
        <f aca="false">VLOOKUP(A561,'Team Data'!$A$1:$P$133,5,FALSE())</f>
        <v>186</v>
      </c>
      <c r="S561" s="0" t="n">
        <f aca="false">VLOOKUP(B561,'Team Data'!$A$1:$P$133,4,FALSE())</f>
        <v>82</v>
      </c>
      <c r="T561" s="0" t="n">
        <f aca="false">VLOOKUP(B561,'Team Data'!$A$1:$P$133,5,FALSE())</f>
        <v>179</v>
      </c>
      <c r="U561" s="0" t="n">
        <f aca="false">IF(K561=1,(MIN(35,(C561-D561)))*(O561/(O561+P561))*(S561/(S561+T561)),(MAX(-35,(C561-D561)))*(IF(P561=0,0.1,(P561/(O561+P561))))*(T561/(S561+T561)))</f>
        <v>0.837803320561941</v>
      </c>
      <c r="V561" s="0" t="n">
        <f aca="false">IF(L561=1,(MIN(35,(D561-C561)))*(M561/(M561+N561))*(Q561/(Q561+R561)),(MAX(-35,(D561-C561)))*(IF(N561=0,0.1,(N561/(M561+N561))))*(R561/(R561+Q561)))</f>
        <v>-4.99468531468532</v>
      </c>
    </row>
    <row r="562" customFormat="false" ht="15" hidden="false" customHeight="false" outlineLevel="0" collapsed="false">
      <c r="A562" s="0" t="s">
        <v>113</v>
      </c>
      <c r="B562" s="0" t="s">
        <v>104</v>
      </c>
      <c r="C562" s="0" t="n">
        <v>27</v>
      </c>
      <c r="D562" s="0" t="n">
        <v>16</v>
      </c>
      <c r="E562" s="0" t="n">
        <v>299</v>
      </c>
      <c r="F562" s="0" t="n">
        <v>84</v>
      </c>
      <c r="G562" s="0" t="n">
        <v>155</v>
      </c>
      <c r="H562" s="0" t="n">
        <v>196</v>
      </c>
      <c r="I562" s="0" t="n">
        <v>3</v>
      </c>
      <c r="J562" s="0" t="n">
        <v>1</v>
      </c>
      <c r="K562" s="0" t="n">
        <v>1</v>
      </c>
      <c r="L562" s="0" t="n">
        <v>0</v>
      </c>
      <c r="M562" s="0" t="n">
        <f aca="false">VLOOKUP(A562,'Team Data'!$A$1:$P$133,2,FALSE())</f>
        <v>5</v>
      </c>
      <c r="N562" s="0" t="n">
        <f aca="false">VLOOKUP(A562,'Team Data'!$A$1:$P$133,3,FALSE())</f>
        <v>7</v>
      </c>
      <c r="O562" s="0" t="n">
        <f aca="false">VLOOKUP(B562,'Team Data'!$A$1:$P$133,2,FALSE())</f>
        <v>3</v>
      </c>
      <c r="P562" s="0" t="n">
        <f aca="false">VLOOKUP(B562,'Team Data'!$A$1:$P$133,3,FALSE())</f>
        <v>9</v>
      </c>
      <c r="Q562" s="0" t="n">
        <f aca="false">VLOOKUP(A562,'Team Data'!$A$1:$P$133,4,FALSE())</f>
        <v>77</v>
      </c>
      <c r="R562" s="0" t="n">
        <f aca="false">VLOOKUP(A562,'Team Data'!$A$1:$P$133,5,FALSE())</f>
        <v>183</v>
      </c>
      <c r="S562" s="0" t="n">
        <f aca="false">VLOOKUP(B562,'Team Data'!$A$1:$P$133,4,FALSE())</f>
        <v>73</v>
      </c>
      <c r="T562" s="0" t="n">
        <f aca="false">VLOOKUP(B562,'Team Data'!$A$1:$P$133,5,FALSE())</f>
        <v>186</v>
      </c>
      <c r="U562" s="0" t="n">
        <f aca="false">IF(K562=1,(MIN(35,(C562-D562)))*(O562/(O562+P562))*(S562/(S562+T562)),(MAX(-35,(C562-D562)))*(IF(P562=0,0.1,(P562/(O562+P562))))*(T562/(S562+T562)))</f>
        <v>0.775096525096525</v>
      </c>
      <c r="V562" s="0" t="n">
        <f aca="false">IF(L562=1,(MIN(35,(D562-C562)))*(M562/(M562+N562))*(Q562/(Q562+R562)),(MAX(-35,(D562-C562)))*(IF(N562=0,0.1,(N562/(M562+N562))))*(R562/(R562+Q562)))</f>
        <v>-4.51634615384615</v>
      </c>
    </row>
    <row r="563" customFormat="false" ht="15" hidden="false" customHeight="false" outlineLevel="0" collapsed="false">
      <c r="A563" s="0" t="s">
        <v>62</v>
      </c>
      <c r="B563" s="0" t="s">
        <v>112</v>
      </c>
      <c r="C563" s="0" t="n">
        <v>28</v>
      </c>
      <c r="D563" s="0" t="n">
        <v>38</v>
      </c>
      <c r="E563" s="0" t="n">
        <v>103</v>
      </c>
      <c r="F563" s="0" t="n">
        <v>186</v>
      </c>
      <c r="G563" s="0" t="n">
        <v>312</v>
      </c>
      <c r="H563" s="0" t="n">
        <v>158</v>
      </c>
      <c r="I563" s="0" t="n">
        <v>4</v>
      </c>
      <c r="J563" s="0" t="n">
        <v>0</v>
      </c>
      <c r="K563" s="0" t="n">
        <v>0</v>
      </c>
      <c r="L563" s="0" t="n">
        <v>1</v>
      </c>
      <c r="M563" s="0" t="n">
        <f aca="false">VLOOKUP(A563,'Team Data'!$A$1:$P$133,2,FALSE())</f>
        <v>7</v>
      </c>
      <c r="N563" s="0" t="n">
        <f aca="false">VLOOKUP(A563,'Team Data'!$A$1:$P$133,3,FALSE())</f>
        <v>6</v>
      </c>
      <c r="O563" s="0" t="n">
        <f aca="false">VLOOKUP(B563,'Team Data'!$A$1:$P$133,2,FALSE())</f>
        <v>12</v>
      </c>
      <c r="P563" s="0" t="n">
        <f aca="false">VLOOKUP(B563,'Team Data'!$A$1:$P$133,3,FALSE())</f>
        <v>2</v>
      </c>
      <c r="Q563" s="0" t="n">
        <f aca="false">VLOOKUP(A563,'Team Data'!$A$1:$P$133,4,FALSE())</f>
        <v>89</v>
      </c>
      <c r="R563" s="0" t="n">
        <f aca="false">VLOOKUP(A563,'Team Data'!$A$1:$P$133,5,FALSE())</f>
        <v>186</v>
      </c>
      <c r="S563" s="0" t="n">
        <f aca="false">VLOOKUP(B563,'Team Data'!$A$1:$P$133,4,FALSE())</f>
        <v>100</v>
      </c>
      <c r="T563" s="0" t="n">
        <f aca="false">VLOOKUP(B563,'Team Data'!$A$1:$P$133,5,FALSE())</f>
        <v>190</v>
      </c>
      <c r="U563" s="0" t="n">
        <f aca="false">IF(K563=1,(MIN(35,(C563-D563)))*(O563/(O563+P563))*(S563/(S563+T563)),(MAX(-35,(C563-D563)))*(IF(P563=0,0.1,(P563/(O563+P563))))*(T563/(S563+T563)))</f>
        <v>-0.935960591133005</v>
      </c>
      <c r="V563" s="0" t="n">
        <f aca="false">IF(L563=1,(MIN(35,(D563-C563)))*(M563/(M563+N563))*(Q563/(Q563+R563)),(MAX(-35,(D563-C563)))*(IF(N563=0,0.1,(N563/(M563+N563))))*(R563/(R563+Q563)))</f>
        <v>1.74265734265734</v>
      </c>
    </row>
    <row r="564" customFormat="false" ht="15" hidden="false" customHeight="false" outlineLevel="0" collapsed="false">
      <c r="A564" s="0" t="s">
        <v>44</v>
      </c>
      <c r="B564" s="0" t="s">
        <v>72</v>
      </c>
      <c r="C564" s="0" t="n">
        <v>38</v>
      </c>
      <c r="D564" s="0" t="n">
        <v>20</v>
      </c>
      <c r="E564" s="0" t="n">
        <v>180</v>
      </c>
      <c r="F564" s="0" t="n">
        <v>201</v>
      </c>
      <c r="G564" s="0" t="n">
        <v>261</v>
      </c>
      <c r="H564" s="0" t="n">
        <v>125</v>
      </c>
      <c r="I564" s="0" t="n">
        <v>3</v>
      </c>
      <c r="J564" s="0" t="n">
        <v>2</v>
      </c>
      <c r="K564" s="0" t="n">
        <v>1</v>
      </c>
      <c r="L564" s="0" t="n">
        <v>0</v>
      </c>
      <c r="M564" s="0" t="n">
        <f aca="false">VLOOKUP(A564,'Team Data'!$A$1:$P$133,2,FALSE())</f>
        <v>8</v>
      </c>
      <c r="N564" s="0" t="n">
        <f aca="false">VLOOKUP(A564,'Team Data'!$A$1:$P$133,3,FALSE())</f>
        <v>5</v>
      </c>
      <c r="O564" s="0" t="n">
        <f aca="false">VLOOKUP(B564,'Team Data'!$A$1:$P$133,2,FALSE())</f>
        <v>4</v>
      </c>
      <c r="P564" s="0" t="n">
        <f aca="false">VLOOKUP(B564,'Team Data'!$A$1:$P$133,3,FALSE())</f>
        <v>8</v>
      </c>
      <c r="Q564" s="0" t="n">
        <f aca="false">VLOOKUP(A564,'Team Data'!$A$1:$P$133,4,FALSE())</f>
        <v>83</v>
      </c>
      <c r="R564" s="0" t="n">
        <f aca="false">VLOOKUP(A564,'Team Data'!$A$1:$P$133,5,FALSE())</f>
        <v>84</v>
      </c>
      <c r="S564" s="0" t="n">
        <f aca="false">VLOOKUP(B564,'Team Data'!$A$1:$P$133,4,FALSE())</f>
        <v>89</v>
      </c>
      <c r="T564" s="0" t="n">
        <f aca="false">VLOOKUP(B564,'Team Data'!$A$1:$P$133,5,FALSE())</f>
        <v>172</v>
      </c>
      <c r="U564" s="0" t="n">
        <f aca="false">IF(K564=1,(MIN(35,(C564-D564)))*(O564/(O564+P564))*(S564/(S564+T564)),(MAX(-35,(C564-D564)))*(IF(P564=0,0.1,(P564/(O564+P564))))*(T564/(S564+T564)))</f>
        <v>2.04597701149425</v>
      </c>
      <c r="V564" s="0" t="n">
        <f aca="false">IF(L564=1,(MIN(35,(D564-C564)))*(M564/(M564+N564))*(Q564/(Q564+R564)),(MAX(-35,(D564-C564)))*(IF(N564=0,0.1,(N564/(M564+N564))))*(R564/(R564+Q564)))</f>
        <v>-3.48226623675725</v>
      </c>
    </row>
    <row r="565" customFormat="false" ht="15" hidden="false" customHeight="false" outlineLevel="0" collapsed="false">
      <c r="A565" s="0" t="s">
        <v>26</v>
      </c>
      <c r="B565" s="0" t="s">
        <v>95</v>
      </c>
      <c r="C565" s="0" t="n">
        <v>29</v>
      </c>
      <c r="D565" s="0" t="n">
        <v>27</v>
      </c>
      <c r="E565" s="0" t="n">
        <v>179</v>
      </c>
      <c r="F565" s="0" t="n">
        <v>80</v>
      </c>
      <c r="G565" s="0" t="n">
        <v>200</v>
      </c>
      <c r="H565" s="0" t="n">
        <v>179</v>
      </c>
      <c r="I565" s="0" t="n">
        <v>0</v>
      </c>
      <c r="J565" s="0" t="n">
        <v>1</v>
      </c>
      <c r="K565" s="0" t="n">
        <v>1</v>
      </c>
      <c r="L565" s="0" t="n">
        <v>0</v>
      </c>
      <c r="M565" s="0" t="n">
        <f aca="false">VLOOKUP(A565,'Team Data'!$A$1:$P$133,2,FALSE())</f>
        <v>9</v>
      </c>
      <c r="N565" s="0" t="n">
        <f aca="false">VLOOKUP(A565,'Team Data'!$A$1:$P$133,3,FALSE())</f>
        <v>4</v>
      </c>
      <c r="O565" s="0" t="n">
        <f aca="false">VLOOKUP(B565,'Team Data'!$A$1:$P$133,2,FALSE())</f>
        <v>7</v>
      </c>
      <c r="P565" s="0" t="n">
        <f aca="false">VLOOKUP(B565,'Team Data'!$A$1:$P$133,3,FALSE())</f>
        <v>6</v>
      </c>
      <c r="Q565" s="0" t="n">
        <f aca="false">VLOOKUP(A565,'Team Data'!$A$1:$P$133,4,FALSE())</f>
        <v>82</v>
      </c>
      <c r="R565" s="0" t="n">
        <f aca="false">VLOOKUP(A565,'Team Data'!$A$1:$P$133,5,FALSE())</f>
        <v>191</v>
      </c>
      <c r="S565" s="0" t="n">
        <f aca="false">VLOOKUP(B565,'Team Data'!$A$1:$P$133,4,FALSE())</f>
        <v>99</v>
      </c>
      <c r="T565" s="0" t="n">
        <f aca="false">VLOOKUP(B565,'Team Data'!$A$1:$P$133,5,FALSE())</f>
        <v>179</v>
      </c>
      <c r="U565" s="0" t="n">
        <f aca="false">IF(K565=1,(MIN(35,(C565-D565)))*(O565/(O565+P565))*(S565/(S565+T565)),(MAX(-35,(C565-D565)))*(IF(P565=0,0.1,(P565/(O565+P565))))*(T565/(S565+T565)))</f>
        <v>0.383508577753182</v>
      </c>
      <c r="V565" s="0" t="n">
        <f aca="false">IF(L565=1,(MIN(35,(D565-C565)))*(M565/(M565+N565))*(Q565/(Q565+R565)),(MAX(-35,(D565-C565)))*(IF(N565=0,0.1,(N565/(M565+N565))))*(R565/(R565+Q565)))</f>
        <v>-0.4305438151592</v>
      </c>
    </row>
    <row r="566" customFormat="false" ht="15" hidden="false" customHeight="false" outlineLevel="0" collapsed="false">
      <c r="A566" s="0" t="s">
        <v>115</v>
      </c>
      <c r="B566" s="0" t="s">
        <v>32</v>
      </c>
      <c r="C566" s="0" t="n">
        <v>13</v>
      </c>
      <c r="D566" s="0" t="n">
        <v>34</v>
      </c>
      <c r="E566" s="0" t="n">
        <v>130</v>
      </c>
      <c r="F566" s="0" t="n">
        <v>147</v>
      </c>
      <c r="G566" s="0" t="n">
        <v>296</v>
      </c>
      <c r="H566" s="0" t="n">
        <v>311</v>
      </c>
      <c r="I566" s="0" t="n">
        <v>4</v>
      </c>
      <c r="J566" s="0" t="n">
        <v>0</v>
      </c>
      <c r="K566" s="0" t="n">
        <v>0</v>
      </c>
      <c r="L566" s="0" t="n">
        <v>1</v>
      </c>
      <c r="M566" s="0" t="n">
        <f aca="false">VLOOKUP(A566,'Team Data'!$A$1:$P$133,2,FALSE())</f>
        <v>9</v>
      </c>
      <c r="N566" s="0" t="n">
        <f aca="false">VLOOKUP(A566,'Team Data'!$A$1:$P$133,3,FALSE())</f>
        <v>5</v>
      </c>
      <c r="O566" s="0" t="n">
        <f aca="false">VLOOKUP(B566,'Team Data'!$A$1:$P$133,2,FALSE())</f>
        <v>8</v>
      </c>
      <c r="P566" s="0" t="n">
        <f aca="false">VLOOKUP(B566,'Team Data'!$A$1:$P$133,3,FALSE())</f>
        <v>5</v>
      </c>
      <c r="Q566" s="0" t="n">
        <f aca="false">VLOOKUP(A566,'Team Data'!$A$1:$P$133,4,FALSE())</f>
        <v>98</v>
      </c>
      <c r="R566" s="0" t="n">
        <f aca="false">VLOOKUP(A566,'Team Data'!$A$1:$P$133,5,FALSE())</f>
        <v>188</v>
      </c>
      <c r="S566" s="0" t="n">
        <f aca="false">VLOOKUP(B566,'Team Data'!$A$1:$P$133,4,FALSE())</f>
        <v>89</v>
      </c>
      <c r="T566" s="0" t="n">
        <f aca="false">VLOOKUP(B566,'Team Data'!$A$1:$P$133,5,FALSE())</f>
        <v>185</v>
      </c>
      <c r="U566" s="0" t="n">
        <f aca="false">IF(K566=1,(MIN(35,(C566-D566)))*(O566/(O566+P566))*(S566/(S566+T566)),(MAX(-35,(C566-D566)))*(IF(P566=0,0.1,(P566/(O566+P566))))*(T566/(S566+T566)))</f>
        <v>-5.45339696799551</v>
      </c>
      <c r="V566" s="0" t="n">
        <f aca="false">IF(L566=1,(MIN(35,(D566-C566)))*(M566/(M566+N566))*(Q566/(Q566+R566)),(MAX(-35,(D566-C566)))*(IF(N566=0,0.1,(N566/(M566+N566))))*(R566/(R566+Q566)))</f>
        <v>4.62587412587413</v>
      </c>
    </row>
    <row r="567" customFormat="false" ht="15" hidden="false" customHeight="false" outlineLevel="0" collapsed="false">
      <c r="A567" s="0" t="s">
        <v>33</v>
      </c>
      <c r="B567" s="0" t="s">
        <v>17</v>
      </c>
      <c r="C567" s="0" t="n">
        <v>20</v>
      </c>
      <c r="D567" s="0" t="n">
        <v>16</v>
      </c>
      <c r="E567" s="0" t="n">
        <v>161</v>
      </c>
      <c r="F567" s="0" t="n">
        <v>114</v>
      </c>
      <c r="G567" s="0" t="n">
        <v>197</v>
      </c>
      <c r="H567" s="0" t="n">
        <v>178</v>
      </c>
      <c r="I567" s="0" t="n">
        <v>0</v>
      </c>
      <c r="J567" s="0" t="n">
        <v>3</v>
      </c>
      <c r="K567" s="0" t="n">
        <v>1</v>
      </c>
      <c r="L567" s="0" t="n">
        <v>0</v>
      </c>
      <c r="M567" s="0" t="n">
        <f aca="false">VLOOKUP(A567,'Team Data'!$A$1:$P$133,2,FALSE())</f>
        <v>9</v>
      </c>
      <c r="N567" s="0" t="n">
        <f aca="false">VLOOKUP(A567,'Team Data'!$A$1:$P$133,3,FALSE())</f>
        <v>4</v>
      </c>
      <c r="O567" s="0" t="n">
        <f aca="false">VLOOKUP(B567,'Team Data'!$A$1:$P$133,2,FALSE())</f>
        <v>5</v>
      </c>
      <c r="P567" s="0" t="n">
        <f aca="false">VLOOKUP(B567,'Team Data'!$A$1:$P$133,3,FALSE())</f>
        <v>7</v>
      </c>
      <c r="Q567" s="0" t="n">
        <f aca="false">VLOOKUP(A567,'Team Data'!$A$1:$P$133,4,FALSE())</f>
        <v>65</v>
      </c>
      <c r="R567" s="0" t="n">
        <f aca="false">VLOOKUP(A567,'Team Data'!$A$1:$P$133,5,FALSE())</f>
        <v>203</v>
      </c>
      <c r="S567" s="0" t="n">
        <f aca="false">VLOOKUP(B567,'Team Data'!$A$1:$P$133,4,FALSE())</f>
        <v>82</v>
      </c>
      <c r="T567" s="0" t="n">
        <f aca="false">VLOOKUP(B567,'Team Data'!$A$1:$P$133,5,FALSE())</f>
        <v>179</v>
      </c>
      <c r="U567" s="0" t="n">
        <f aca="false">IF(K567=1,(MIN(35,(C567-D567)))*(O567/(O567+P567))*(S567/(S567+T567)),(MAX(-35,(C567-D567)))*(IF(P567=0,0.1,(P567/(O567+P567))))*(T567/(S567+T567)))</f>
        <v>0.523627075351213</v>
      </c>
      <c r="V567" s="0" t="n">
        <f aca="false">IF(L567=1,(MIN(35,(D567-C567)))*(M567/(M567+N567))*(Q567/(Q567+R567)),(MAX(-35,(D567-C567)))*(IF(N567=0,0.1,(N567/(M567+N567))))*(R567/(R567+Q567)))</f>
        <v>-0.932261768082664</v>
      </c>
    </row>
    <row r="568" customFormat="false" ht="15" hidden="false" customHeight="false" outlineLevel="0" collapsed="false">
      <c r="A568" s="0" t="s">
        <v>79</v>
      </c>
      <c r="B568" s="0" t="s">
        <v>82</v>
      </c>
      <c r="C568" s="0" t="n">
        <v>17</v>
      </c>
      <c r="D568" s="0" t="n">
        <v>24</v>
      </c>
      <c r="E568" s="0" t="n">
        <v>267</v>
      </c>
      <c r="F568" s="0" t="n">
        <v>154</v>
      </c>
      <c r="G568" s="0" t="n">
        <v>110</v>
      </c>
      <c r="H568" s="0" t="n">
        <v>200</v>
      </c>
      <c r="I568" s="0" t="n">
        <v>0</v>
      </c>
      <c r="J568" s="0" t="n">
        <v>0</v>
      </c>
      <c r="K568" s="0" t="n">
        <v>0</v>
      </c>
      <c r="L568" s="0" t="n">
        <v>1</v>
      </c>
      <c r="M568" s="0" t="n">
        <f aca="false">VLOOKUP(A568,'Team Data'!$A$1:$P$133,2,FALSE())</f>
        <v>3</v>
      </c>
      <c r="N568" s="0" t="n">
        <f aca="false">VLOOKUP(A568,'Team Data'!$A$1:$P$133,3,FALSE())</f>
        <v>9</v>
      </c>
      <c r="O568" s="0" t="n">
        <f aca="false">VLOOKUP(B568,'Team Data'!$A$1:$P$133,2,FALSE())</f>
        <v>10</v>
      </c>
      <c r="P568" s="0" t="n">
        <f aca="false">VLOOKUP(B568,'Team Data'!$A$1:$P$133,3,FALSE())</f>
        <v>4</v>
      </c>
      <c r="Q568" s="0" t="n">
        <f aca="false">VLOOKUP(A568,'Team Data'!$A$1:$P$133,4,FALSE())</f>
        <v>75</v>
      </c>
      <c r="R568" s="0" t="n">
        <f aca="false">VLOOKUP(A568,'Team Data'!$A$1:$P$133,5,FALSE())</f>
        <v>184</v>
      </c>
      <c r="S568" s="0" t="n">
        <f aca="false">VLOOKUP(B568,'Team Data'!$A$1:$P$133,4,FALSE())</f>
        <v>83</v>
      </c>
      <c r="T568" s="0" t="n">
        <f aca="false">VLOOKUP(B568,'Team Data'!$A$1:$P$133,5,FALSE())</f>
        <v>200</v>
      </c>
      <c r="U568" s="0" t="n">
        <f aca="false">IF(K568=1,(MIN(35,(C568-D568)))*(O568/(O568+P568))*(S568/(S568+T568)),(MAX(-35,(C568-D568)))*(IF(P568=0,0.1,(P568/(O568+P568))))*(T568/(S568+T568)))</f>
        <v>-1.41342756183746</v>
      </c>
      <c r="V568" s="0" t="n">
        <f aca="false">IF(L568=1,(MIN(35,(D568-C568)))*(M568/(M568+N568))*(Q568/(Q568+R568)),(MAX(-35,(D568-C568)))*(IF(N568=0,0.1,(N568/(M568+N568))))*(R568/(R568+Q568)))</f>
        <v>0.506756756756757</v>
      </c>
    </row>
    <row r="569" customFormat="false" ht="15" hidden="false" customHeight="false" outlineLevel="0" collapsed="false">
      <c r="A569" s="0" t="s">
        <v>110</v>
      </c>
      <c r="B569" s="0" t="s">
        <v>22</v>
      </c>
      <c r="C569" s="0" t="n">
        <v>27</v>
      </c>
      <c r="D569" s="0" t="n">
        <v>34</v>
      </c>
      <c r="E569" s="0" t="n">
        <v>198</v>
      </c>
      <c r="F569" s="0" t="n">
        <v>153</v>
      </c>
      <c r="G569" s="0" t="n">
        <v>240</v>
      </c>
      <c r="H569" s="0" t="n">
        <v>245</v>
      </c>
      <c r="I569" s="0" t="n">
        <v>6</v>
      </c>
      <c r="J569" s="0" t="n">
        <v>1</v>
      </c>
      <c r="K569" s="0" t="n">
        <v>0</v>
      </c>
      <c r="L569" s="0" t="n">
        <v>1</v>
      </c>
      <c r="M569" s="0" t="n">
        <f aca="false">VLOOKUP(A569,'Team Data'!$A$1:$P$133,2,FALSE())</f>
        <v>9</v>
      </c>
      <c r="N569" s="0" t="n">
        <f aca="false">VLOOKUP(A569,'Team Data'!$A$1:$P$133,3,FALSE())</f>
        <v>5</v>
      </c>
      <c r="O569" s="0" t="n">
        <f aca="false">VLOOKUP(B569,'Team Data'!$A$1:$P$133,2,FALSE())</f>
        <v>7</v>
      </c>
      <c r="P569" s="0" t="n">
        <f aca="false">VLOOKUP(B569,'Team Data'!$A$1:$P$133,3,FALSE())</f>
        <v>6</v>
      </c>
      <c r="Q569" s="0" t="n">
        <f aca="false">VLOOKUP(A569,'Team Data'!$A$1:$P$133,4,FALSE())</f>
        <v>89</v>
      </c>
      <c r="R569" s="0" t="n">
        <f aca="false">VLOOKUP(A569,'Team Data'!$A$1:$P$133,5,FALSE())</f>
        <v>195</v>
      </c>
      <c r="S569" s="0" t="n">
        <f aca="false">VLOOKUP(B569,'Team Data'!$A$1:$P$133,4,FALSE())</f>
        <v>83</v>
      </c>
      <c r="T569" s="0" t="n">
        <f aca="false">VLOOKUP(B569,'Team Data'!$A$1:$P$133,5,FALSE())</f>
        <v>191</v>
      </c>
      <c r="U569" s="0" t="n">
        <f aca="false">IF(K569=1,(MIN(35,(C569-D569)))*(O569/(O569+P569))*(S569/(S569+T569)),(MAX(-35,(C569-D569)))*(IF(P569=0,0.1,(P569/(O569+P569))))*(T569/(S569+T569)))</f>
        <v>-2.2521055586749</v>
      </c>
      <c r="V569" s="0" t="n">
        <f aca="false">IF(L569=1,(MIN(35,(D569-C569)))*(M569/(M569+N569))*(Q569/(Q569+R569)),(MAX(-35,(D569-C569)))*(IF(N569=0,0.1,(N569/(M569+N569))))*(R569/(R569+Q569)))</f>
        <v>1.41021126760563</v>
      </c>
    </row>
    <row r="570" customFormat="false" ht="15" hidden="false" customHeight="false" outlineLevel="0" collapsed="false">
      <c r="A570" s="0" t="s">
        <v>134</v>
      </c>
      <c r="B570" s="0" t="s">
        <v>64</v>
      </c>
      <c r="C570" s="0" t="n">
        <v>16</v>
      </c>
      <c r="D570" s="0" t="n">
        <v>10</v>
      </c>
      <c r="E570" s="0" t="n">
        <v>181</v>
      </c>
      <c r="F570" s="0" t="n">
        <v>83</v>
      </c>
      <c r="G570" s="0" t="n">
        <v>123</v>
      </c>
      <c r="H570" s="0" t="n">
        <v>222</v>
      </c>
      <c r="I570" s="0" t="n">
        <v>0</v>
      </c>
      <c r="J570" s="0" t="n">
        <v>1</v>
      </c>
      <c r="K570" s="0" t="n">
        <v>1</v>
      </c>
      <c r="L570" s="0" t="n">
        <v>0</v>
      </c>
      <c r="M570" s="0" t="n">
        <f aca="false">VLOOKUP(A570,'Team Data'!$A$1:$P$133,2,FALSE())</f>
        <v>5</v>
      </c>
      <c r="N570" s="0" t="n">
        <f aca="false">VLOOKUP(A570,'Team Data'!$A$1:$P$133,3,FALSE())</f>
        <v>7</v>
      </c>
      <c r="O570" s="0" t="n">
        <f aca="false">VLOOKUP(B570,'Team Data'!$A$1:$P$133,2,FALSE())</f>
        <v>6</v>
      </c>
      <c r="P570" s="0" t="n">
        <f aca="false">VLOOKUP(B570,'Team Data'!$A$1:$P$133,3,FALSE())</f>
        <v>7</v>
      </c>
      <c r="Q570" s="0" t="n">
        <f aca="false">VLOOKUP(A570,'Team Data'!$A$1:$P$133,4,FALSE())</f>
        <v>81</v>
      </c>
      <c r="R570" s="0" t="n">
        <f aca="false">VLOOKUP(A570,'Team Data'!$A$1:$P$133,5,FALSE())</f>
        <v>179</v>
      </c>
      <c r="S570" s="0" t="n">
        <f aca="false">VLOOKUP(B570,'Team Data'!$A$1:$P$133,4,FALSE())</f>
        <v>75</v>
      </c>
      <c r="T570" s="0" t="n">
        <f aca="false">VLOOKUP(B570,'Team Data'!$A$1:$P$133,5,FALSE())</f>
        <v>196</v>
      </c>
      <c r="U570" s="0" t="n">
        <f aca="false">IF(K570=1,(MIN(35,(C570-D570)))*(O570/(O570+P570))*(S570/(S570+T570)),(MAX(-35,(C570-D570)))*(IF(P570=0,0.1,(P570/(O570+P570))))*(T570/(S570+T570)))</f>
        <v>0.766392279307409</v>
      </c>
      <c r="V570" s="0" t="n">
        <f aca="false">IF(L570=1,(MIN(35,(D570-C570)))*(M570/(M570+N570))*(Q570/(Q570+R570)),(MAX(-35,(D570-C570)))*(IF(N570=0,0.1,(N570/(M570+N570))))*(R570/(R570+Q570)))</f>
        <v>-2.40961538461538</v>
      </c>
    </row>
    <row r="571" customFormat="false" ht="15" hidden="false" customHeight="false" outlineLevel="0" collapsed="false">
      <c r="A571" s="0" t="s">
        <v>7</v>
      </c>
      <c r="B571" s="0" t="s">
        <v>52</v>
      </c>
      <c r="C571" s="0" t="n">
        <v>27</v>
      </c>
      <c r="D571" s="0" t="n">
        <v>33</v>
      </c>
      <c r="E571" s="0" t="n">
        <v>109</v>
      </c>
      <c r="F571" s="0" t="n">
        <v>242</v>
      </c>
      <c r="G571" s="0" t="n">
        <v>383</v>
      </c>
      <c r="H571" s="0" t="n">
        <v>213</v>
      </c>
      <c r="I571" s="0" t="n">
        <v>2</v>
      </c>
      <c r="J571" s="0" t="n">
        <v>0</v>
      </c>
      <c r="K571" s="0" t="n">
        <v>0</v>
      </c>
      <c r="L571" s="0" t="n">
        <v>1</v>
      </c>
      <c r="M571" s="0" t="n">
        <f aca="false">VLOOKUP(A571,'Team Data'!$A$1:$P$133,2,FALSE())</f>
        <v>2</v>
      </c>
      <c r="N571" s="0" t="n">
        <f aca="false">VLOOKUP(A571,'Team Data'!$A$1:$P$133,3,FALSE())</f>
        <v>10</v>
      </c>
      <c r="O571" s="0" t="n">
        <f aca="false">VLOOKUP(B571,'Team Data'!$A$1:$P$133,2,FALSE())</f>
        <v>5</v>
      </c>
      <c r="P571" s="0" t="n">
        <f aca="false">VLOOKUP(B571,'Team Data'!$A$1:$P$133,3,FALSE())</f>
        <v>7</v>
      </c>
      <c r="Q571" s="0" t="n">
        <f aca="false">VLOOKUP(A571,'Team Data'!$A$1:$P$133,4,FALSE())</f>
        <v>82</v>
      </c>
      <c r="R571" s="0" t="n">
        <f aca="false">VLOOKUP(A571,'Team Data'!$A$1:$P$133,5,FALSE())</f>
        <v>178</v>
      </c>
      <c r="S571" s="0" t="n">
        <f aca="false">VLOOKUP(B571,'Team Data'!$A$1:$P$133,4,FALSE())</f>
        <v>94</v>
      </c>
      <c r="T571" s="0" t="n">
        <f aca="false">VLOOKUP(B571,'Team Data'!$A$1:$P$133,5,FALSE())</f>
        <v>171</v>
      </c>
      <c r="U571" s="0" t="n">
        <f aca="false">IF(K571=1,(MIN(35,(C571-D571)))*(O571/(O571+P571))*(S571/(S571+T571)),(MAX(-35,(C571-D571)))*(IF(P571=0,0.1,(P571/(O571+P571))))*(T571/(S571+T571)))</f>
        <v>-2.25849056603774</v>
      </c>
      <c r="V571" s="0" t="n">
        <f aca="false">IF(L571=1,(MIN(35,(D571-C571)))*(M571/(M571+N571))*(Q571/(Q571+R571)),(MAX(-35,(D571-C571)))*(IF(N571=0,0.1,(N571/(M571+N571))))*(R571/(R571+Q571)))</f>
        <v>0.315384615384615</v>
      </c>
    </row>
    <row r="572" customFormat="false" ht="15" hidden="false" customHeight="false" outlineLevel="0" collapsed="false">
      <c r="A572" s="0" t="s">
        <v>21</v>
      </c>
      <c r="B572" s="0" t="s">
        <v>24</v>
      </c>
      <c r="C572" s="0" t="n">
        <v>34</v>
      </c>
      <c r="D572" s="0" t="n">
        <v>18</v>
      </c>
      <c r="E572" s="0" t="n">
        <v>116</v>
      </c>
      <c r="F572" s="0" t="n">
        <v>102</v>
      </c>
      <c r="G572" s="0" t="n">
        <v>253</v>
      </c>
      <c r="H572" s="0" t="n">
        <v>204</v>
      </c>
      <c r="I572" s="0" t="n">
        <v>0</v>
      </c>
      <c r="J572" s="0" t="n">
        <v>4</v>
      </c>
      <c r="K572" s="0" t="n">
        <v>1</v>
      </c>
      <c r="L572" s="0" t="n">
        <v>0</v>
      </c>
      <c r="M572" s="0" t="n">
        <f aca="false">VLOOKUP(A572,'Team Data'!$A$1:$P$133,2,FALSE())</f>
        <v>6</v>
      </c>
      <c r="N572" s="0" t="n">
        <f aca="false">VLOOKUP(A572,'Team Data'!$A$1:$P$133,3,FALSE())</f>
        <v>7</v>
      </c>
      <c r="O572" s="0" t="n">
        <f aca="false">VLOOKUP(B572,'Team Data'!$A$1:$P$133,2,FALSE())</f>
        <v>4</v>
      </c>
      <c r="P572" s="0" t="n">
        <f aca="false">VLOOKUP(B572,'Team Data'!$A$1:$P$133,3,FALSE())</f>
        <v>8</v>
      </c>
      <c r="Q572" s="0" t="n">
        <f aca="false">VLOOKUP(A572,'Team Data'!$A$1:$P$133,4,FALSE())</f>
        <v>90</v>
      </c>
      <c r="R572" s="0" t="n">
        <f aca="false">VLOOKUP(A572,'Team Data'!$A$1:$P$133,5,FALSE())</f>
        <v>184</v>
      </c>
      <c r="S572" s="0" t="n">
        <f aca="false">VLOOKUP(B572,'Team Data'!$A$1:$P$133,4,FALSE())</f>
        <v>82</v>
      </c>
      <c r="T572" s="0" t="n">
        <f aca="false">VLOOKUP(B572,'Team Data'!$A$1:$P$133,5,FALSE())</f>
        <v>178</v>
      </c>
      <c r="U572" s="0" t="n">
        <f aca="false">IF(K572=1,(MIN(35,(C572-D572)))*(O572/(O572+P572))*(S572/(S572+T572)),(MAX(-35,(C572-D572)))*(IF(P572=0,0.1,(P572/(O572+P572))))*(T572/(S572+T572)))</f>
        <v>1.68205128205128</v>
      </c>
      <c r="V572" s="0" t="n">
        <f aca="false">IF(L572=1,(MIN(35,(D572-C572)))*(M572/(M572+N572))*(Q572/(Q572+R572)),(MAX(-35,(D572-C572)))*(IF(N572=0,0.1,(N572/(M572+N572))))*(R572/(R572+Q572)))</f>
        <v>-5.78551375631668</v>
      </c>
    </row>
    <row r="573" customFormat="false" ht="15" hidden="false" customHeight="false" outlineLevel="0" collapsed="false">
      <c r="A573" s="0" t="s">
        <v>41</v>
      </c>
      <c r="B573" s="0" t="s">
        <v>9</v>
      </c>
      <c r="C573" s="0" t="n">
        <v>17</v>
      </c>
      <c r="D573" s="0" t="n">
        <v>42</v>
      </c>
      <c r="E573" s="0" t="n">
        <v>228</v>
      </c>
      <c r="F573" s="0" t="n">
        <v>404</v>
      </c>
      <c r="G573" s="0" t="n">
        <v>73</v>
      </c>
      <c r="H573" s="0" t="n">
        <v>62</v>
      </c>
      <c r="I573" s="0" t="n">
        <v>4</v>
      </c>
      <c r="J573" s="0" t="n">
        <v>1</v>
      </c>
      <c r="K573" s="0" t="n">
        <v>0</v>
      </c>
      <c r="L573" s="0" t="n">
        <v>1</v>
      </c>
      <c r="M573" s="0" t="n">
        <f aca="false">VLOOKUP(A573,'Team Data'!$A$1:$P$133,2,FALSE())</f>
        <v>4</v>
      </c>
      <c r="N573" s="0" t="n">
        <f aca="false">VLOOKUP(A573,'Team Data'!$A$1:$P$133,3,FALSE())</f>
        <v>8</v>
      </c>
      <c r="O573" s="0" t="n">
        <f aca="false">VLOOKUP(B573,'Team Data'!$A$1:$P$133,2,FALSE())</f>
        <v>6</v>
      </c>
      <c r="P573" s="0" t="n">
        <f aca="false">VLOOKUP(B573,'Team Data'!$A$1:$P$133,3,FALSE())</f>
        <v>6</v>
      </c>
      <c r="Q573" s="0" t="n">
        <f aca="false">VLOOKUP(A573,'Team Data'!$A$1:$P$133,4,FALSE())</f>
        <v>78</v>
      </c>
      <c r="R573" s="0" t="n">
        <f aca="false">VLOOKUP(A573,'Team Data'!$A$1:$P$133,5,FALSE())</f>
        <v>72</v>
      </c>
      <c r="S573" s="0" t="n">
        <f aca="false">VLOOKUP(B573,'Team Data'!$A$1:$P$133,4,FALSE())</f>
        <v>85</v>
      </c>
      <c r="T573" s="0" t="n">
        <f aca="false">VLOOKUP(B573,'Team Data'!$A$1:$P$133,5,FALSE())</f>
        <v>281</v>
      </c>
      <c r="U573" s="0" t="n">
        <f aca="false">IF(K573=1,(MIN(35,(C573-D573)))*(O573/(O573+P573))*(S573/(S573+T573)),(MAX(-35,(C573-D573)))*(IF(P573=0,0.1,(P573/(O573+P573))))*(T573/(S573+T573)))</f>
        <v>-9.59699453551913</v>
      </c>
      <c r="V573" s="0" t="n">
        <f aca="false">IF(L573=1,(MIN(35,(D573-C573)))*(M573/(M573+N573))*(Q573/(Q573+R573)),(MAX(-35,(D573-C573)))*(IF(N573=0,0.1,(N573/(M573+N573))))*(R573/(R573+Q573)))</f>
        <v>4.33333333333333</v>
      </c>
    </row>
    <row r="574" customFormat="false" ht="15" hidden="false" customHeight="false" outlineLevel="0" collapsed="false">
      <c r="A574" s="0" t="s">
        <v>111</v>
      </c>
      <c r="B574" s="0" t="s">
        <v>98</v>
      </c>
      <c r="C574" s="0" t="n">
        <v>10</v>
      </c>
      <c r="D574" s="0" t="n">
        <v>6</v>
      </c>
      <c r="E574" s="0" t="n">
        <v>128</v>
      </c>
      <c r="F574" s="0" t="n">
        <v>31</v>
      </c>
      <c r="G574" s="0" t="n">
        <v>138</v>
      </c>
      <c r="H574" s="0" t="n">
        <v>224</v>
      </c>
      <c r="I574" s="0" t="n">
        <v>1</v>
      </c>
      <c r="J574" s="0" t="n">
        <v>1</v>
      </c>
      <c r="K574" s="0" t="n">
        <v>1</v>
      </c>
      <c r="L574" s="0" t="n">
        <v>0</v>
      </c>
      <c r="M574" s="0" t="n">
        <f aca="false">VLOOKUP(A574,'Team Data'!$A$1:$P$133,2,FALSE())</f>
        <v>12</v>
      </c>
      <c r="N574" s="0" t="n">
        <f aca="false">VLOOKUP(A574,'Team Data'!$A$1:$P$133,3,FALSE())</f>
        <v>2</v>
      </c>
      <c r="O574" s="0" t="n">
        <f aca="false">VLOOKUP(B574,'Team Data'!$A$1:$P$133,2,FALSE())</f>
        <v>10</v>
      </c>
      <c r="P574" s="0" t="n">
        <f aca="false">VLOOKUP(B574,'Team Data'!$A$1:$P$133,3,FALSE())</f>
        <v>3</v>
      </c>
      <c r="Q574" s="0" t="n">
        <f aca="false">VLOOKUP(A574,'Team Data'!$A$1:$P$133,4,FALSE())</f>
        <v>100</v>
      </c>
      <c r="R574" s="0" t="n">
        <f aca="false">VLOOKUP(A574,'Team Data'!$A$1:$P$133,5,FALSE())</f>
        <v>186</v>
      </c>
      <c r="S574" s="0" t="n">
        <f aca="false">VLOOKUP(B574,'Team Data'!$A$1:$P$133,4,FALSE())</f>
        <v>78</v>
      </c>
      <c r="T574" s="0" t="n">
        <f aca="false">VLOOKUP(B574,'Team Data'!$A$1:$P$133,5,FALSE())</f>
        <v>194</v>
      </c>
      <c r="U574" s="0" t="n">
        <f aca="false">IF(K574=1,(MIN(35,(C574-D574)))*(O574/(O574+P574))*(S574/(S574+T574)),(MAX(-35,(C574-D574)))*(IF(P574=0,0.1,(P574/(O574+P574))))*(T574/(S574+T574)))</f>
        <v>0.882352941176471</v>
      </c>
      <c r="V574" s="0" t="n">
        <f aca="false">IF(L574=1,(MIN(35,(D574-C574)))*(M574/(M574+N574))*(Q574/(Q574+R574)),(MAX(-35,(D574-C574)))*(IF(N574=0,0.1,(N574/(M574+N574))))*(R574/(R574+Q574)))</f>
        <v>-0.371628371628372</v>
      </c>
    </row>
    <row r="575" customFormat="false" ht="15" hidden="false" customHeight="false" outlineLevel="0" collapsed="false">
      <c r="A575" s="0" t="s">
        <v>60</v>
      </c>
      <c r="B575" s="0" t="s">
        <v>49</v>
      </c>
      <c r="C575" s="0" t="n">
        <v>26</v>
      </c>
      <c r="D575" s="0" t="n">
        <v>12</v>
      </c>
      <c r="E575" s="0" t="n">
        <v>167</v>
      </c>
      <c r="F575" s="0" t="n">
        <v>83</v>
      </c>
      <c r="G575" s="0" t="n">
        <v>159</v>
      </c>
      <c r="H575" s="0" t="n">
        <v>164</v>
      </c>
      <c r="I575" s="0" t="n">
        <v>3</v>
      </c>
      <c r="J575" s="0" t="n">
        <v>5</v>
      </c>
      <c r="K575" s="0" t="n">
        <v>1</v>
      </c>
      <c r="L575" s="0" t="n">
        <v>0</v>
      </c>
      <c r="M575" s="0" t="n">
        <f aca="false">VLOOKUP(A575,'Team Data'!$A$1:$P$133,2,FALSE())</f>
        <v>9</v>
      </c>
      <c r="N575" s="0" t="n">
        <f aca="false">VLOOKUP(A575,'Team Data'!$A$1:$P$133,3,FALSE())</f>
        <v>4</v>
      </c>
      <c r="O575" s="0" t="n">
        <f aca="false">VLOOKUP(B575,'Team Data'!$A$1:$P$133,2,FALSE())</f>
        <v>8</v>
      </c>
      <c r="P575" s="0" t="n">
        <f aca="false">VLOOKUP(B575,'Team Data'!$A$1:$P$133,3,FALSE())</f>
        <v>3</v>
      </c>
      <c r="Q575" s="0" t="n">
        <f aca="false">VLOOKUP(A575,'Team Data'!$A$1:$P$133,4,FALSE())</f>
        <v>91</v>
      </c>
      <c r="R575" s="0" t="n">
        <f aca="false">VLOOKUP(A575,'Team Data'!$A$1:$P$133,5,FALSE())</f>
        <v>288</v>
      </c>
      <c r="S575" s="0" t="n">
        <f aca="false">VLOOKUP(B575,'Team Data'!$A$1:$P$133,4,FALSE())</f>
        <v>68</v>
      </c>
      <c r="T575" s="0" t="n">
        <f aca="false">VLOOKUP(B575,'Team Data'!$A$1:$P$133,5,FALSE())</f>
        <v>177</v>
      </c>
      <c r="U575" s="0" t="n">
        <f aca="false">IF(K575=1,(MIN(35,(C575-D575)))*(O575/(O575+P575))*(S575/(S575+T575)),(MAX(-35,(C575-D575)))*(IF(P575=0,0.1,(P575/(O575+P575))))*(T575/(S575+T575)))</f>
        <v>2.82597402597403</v>
      </c>
      <c r="V575" s="0" t="n">
        <f aca="false">IF(L575=1,(MIN(35,(D575-C575)))*(M575/(M575+N575))*(Q575/(Q575+R575)),(MAX(-35,(D575-C575)))*(IF(N575=0,0.1,(N575/(M575+N575))))*(R575/(R575+Q575)))</f>
        <v>-3.27339151613558</v>
      </c>
    </row>
    <row r="576" customFormat="false" ht="15" hidden="false" customHeight="false" outlineLevel="0" collapsed="false">
      <c r="A576" s="0" t="s">
        <v>40</v>
      </c>
      <c r="B576" s="0" t="s">
        <v>86</v>
      </c>
      <c r="C576" s="0" t="n">
        <v>28</v>
      </c>
      <c r="D576" s="0" t="n">
        <v>23</v>
      </c>
      <c r="E576" s="0" t="n">
        <v>223</v>
      </c>
      <c r="F576" s="0" t="n">
        <v>133</v>
      </c>
      <c r="G576" s="0" t="n">
        <v>192</v>
      </c>
      <c r="H576" s="0" t="n">
        <v>328</v>
      </c>
      <c r="I576" s="0" t="n">
        <v>0</v>
      </c>
      <c r="J576" s="0" t="n">
        <v>0</v>
      </c>
      <c r="K576" s="0" t="n">
        <v>1</v>
      </c>
      <c r="L576" s="0" t="n">
        <v>0</v>
      </c>
      <c r="M576" s="0" t="n">
        <f aca="false">VLOOKUP(A576,'Team Data'!$A$1:$P$133,2,FALSE())</f>
        <v>6</v>
      </c>
      <c r="N576" s="0" t="n">
        <f aca="false">VLOOKUP(A576,'Team Data'!$A$1:$P$133,3,FALSE())</f>
        <v>7</v>
      </c>
      <c r="O576" s="0" t="n">
        <f aca="false">VLOOKUP(B576,'Team Data'!$A$1:$P$133,2,FALSE())</f>
        <v>3</v>
      </c>
      <c r="P576" s="0" t="n">
        <f aca="false">VLOOKUP(B576,'Team Data'!$A$1:$P$133,3,FALSE())</f>
        <v>9</v>
      </c>
      <c r="Q576" s="0" t="n">
        <f aca="false">VLOOKUP(A576,'Team Data'!$A$1:$P$133,4,FALSE())</f>
        <v>86</v>
      </c>
      <c r="R576" s="0" t="n">
        <f aca="false">VLOOKUP(A576,'Team Data'!$A$1:$P$133,5,FALSE())</f>
        <v>183</v>
      </c>
      <c r="S576" s="0" t="n">
        <f aca="false">VLOOKUP(B576,'Team Data'!$A$1:$P$133,4,FALSE())</f>
        <v>77</v>
      </c>
      <c r="T576" s="0" t="n">
        <f aca="false">VLOOKUP(B576,'Team Data'!$A$1:$P$133,5,FALSE())</f>
        <v>69</v>
      </c>
      <c r="U576" s="0" t="n">
        <f aca="false">IF(K576=1,(MIN(35,(C576-D576)))*(O576/(O576+P576))*(S576/(S576+T576)),(MAX(-35,(C576-D576)))*(IF(P576=0,0.1,(P576/(O576+P576))))*(T576/(S576+T576)))</f>
        <v>0.659246575342466</v>
      </c>
      <c r="V576" s="0" t="n">
        <f aca="false">IF(L576=1,(MIN(35,(D576-C576)))*(M576/(M576+N576))*(Q576/(Q576+R576)),(MAX(-35,(D576-C576)))*(IF(N576=0,0.1,(N576/(M576+N576))))*(R576/(R576+Q576)))</f>
        <v>-1.83156991707178</v>
      </c>
    </row>
    <row r="577" customFormat="false" ht="15" hidden="false" customHeight="false" outlineLevel="0" collapsed="false">
      <c r="A577" s="0" t="s">
        <v>13</v>
      </c>
      <c r="B577" s="0" t="s">
        <v>56</v>
      </c>
      <c r="C577" s="0" t="n">
        <v>18</v>
      </c>
      <c r="D577" s="0" t="n">
        <v>38</v>
      </c>
      <c r="E577" s="0" t="n">
        <v>82</v>
      </c>
      <c r="F577" s="0" t="n">
        <v>206</v>
      </c>
      <c r="G577" s="0" t="n">
        <v>189</v>
      </c>
      <c r="H577" s="0" t="n">
        <v>316</v>
      </c>
      <c r="I577" s="0" t="n">
        <v>1</v>
      </c>
      <c r="J577" s="0" t="n">
        <v>2</v>
      </c>
      <c r="K577" s="0" t="n">
        <v>0</v>
      </c>
      <c r="L577" s="0" t="n">
        <v>1</v>
      </c>
      <c r="M577" s="0" t="n">
        <f aca="false">VLOOKUP(A577,'Team Data'!$A$1:$P$133,2,FALSE())</f>
        <v>3</v>
      </c>
      <c r="N577" s="0" t="n">
        <f aca="false">VLOOKUP(A577,'Team Data'!$A$1:$P$133,3,FALSE())</f>
        <v>9</v>
      </c>
      <c r="O577" s="0" t="n">
        <f aca="false">VLOOKUP(B577,'Team Data'!$A$1:$P$133,2,FALSE())</f>
        <v>6</v>
      </c>
      <c r="P577" s="0" t="n">
        <f aca="false">VLOOKUP(B577,'Team Data'!$A$1:$P$133,3,FALSE())</f>
        <v>7</v>
      </c>
      <c r="Q577" s="0" t="n">
        <f aca="false">VLOOKUP(A577,'Team Data'!$A$1:$P$133,4,FALSE())</f>
        <v>81</v>
      </c>
      <c r="R577" s="0" t="n">
        <f aca="false">VLOOKUP(A577,'Team Data'!$A$1:$P$133,5,FALSE())</f>
        <v>177</v>
      </c>
      <c r="S577" s="0" t="n">
        <f aca="false">VLOOKUP(B577,'Team Data'!$A$1:$P$133,4,FALSE())</f>
        <v>95</v>
      </c>
      <c r="T577" s="0" t="n">
        <f aca="false">VLOOKUP(B577,'Team Data'!$A$1:$P$133,5,FALSE())</f>
        <v>179</v>
      </c>
      <c r="U577" s="0" t="n">
        <f aca="false">IF(K577=1,(MIN(35,(C577-D577)))*(O577/(O577+P577))*(S577/(S577+T577)),(MAX(-35,(C577-D577)))*(IF(P577=0,0.1,(P577/(O577+P577))))*(T577/(S577+T577)))</f>
        <v>-7.03537338573835</v>
      </c>
      <c r="V577" s="0" t="n">
        <f aca="false">IF(L577=1,(MIN(35,(D577-C577)))*(M577/(M577+N577))*(Q577/(Q577+R577)),(MAX(-35,(D577-C577)))*(IF(N577=0,0.1,(N577/(M577+N577))))*(R577/(R577+Q577)))</f>
        <v>1.56976744186047</v>
      </c>
    </row>
    <row r="578" customFormat="false" ht="15" hidden="false" customHeight="false" outlineLevel="0" collapsed="false">
      <c r="A578" s="0" t="s">
        <v>100</v>
      </c>
      <c r="B578" s="0" t="s">
        <v>108</v>
      </c>
      <c r="C578" s="0" t="n">
        <v>20</v>
      </c>
      <c r="D578" s="0" t="n">
        <v>14</v>
      </c>
      <c r="E578" s="0" t="n">
        <v>131</v>
      </c>
      <c r="F578" s="0" t="n">
        <v>-6</v>
      </c>
      <c r="G578" s="0" t="n">
        <v>187</v>
      </c>
      <c r="H578" s="0" t="n">
        <v>249</v>
      </c>
      <c r="I578" s="0" t="n">
        <v>3</v>
      </c>
      <c r="J578" s="0" t="n">
        <v>1</v>
      </c>
      <c r="K578" s="0" t="n">
        <v>1</v>
      </c>
      <c r="L578" s="0" t="n">
        <v>0</v>
      </c>
      <c r="M578" s="0" t="n">
        <f aca="false">VLOOKUP(A578,'Team Data'!$A$1:$P$133,2,FALSE())</f>
        <v>7</v>
      </c>
      <c r="N578" s="0" t="n">
        <f aca="false">VLOOKUP(A578,'Team Data'!$A$1:$P$133,3,FALSE())</f>
        <v>6</v>
      </c>
      <c r="O578" s="0" t="n">
        <f aca="false">VLOOKUP(B578,'Team Data'!$A$1:$P$133,2,FALSE())</f>
        <v>4</v>
      </c>
      <c r="P578" s="0" t="n">
        <f aca="false">VLOOKUP(B578,'Team Data'!$A$1:$P$133,3,FALSE())</f>
        <v>8</v>
      </c>
      <c r="Q578" s="0" t="n">
        <f aca="false">VLOOKUP(A578,'Team Data'!$A$1:$P$133,4,FALSE())</f>
        <v>90</v>
      </c>
      <c r="R578" s="0" t="n">
        <f aca="false">VLOOKUP(A578,'Team Data'!$A$1:$P$133,5,FALSE())</f>
        <v>183</v>
      </c>
      <c r="S578" s="0" t="n">
        <f aca="false">VLOOKUP(B578,'Team Data'!$A$1:$P$133,4,FALSE())</f>
        <v>76</v>
      </c>
      <c r="T578" s="0" t="n">
        <f aca="false">VLOOKUP(B578,'Team Data'!$A$1:$P$133,5,FALSE())</f>
        <v>181</v>
      </c>
      <c r="U578" s="0" t="n">
        <f aca="false">IF(K578=1,(MIN(35,(C578-D578)))*(O578/(O578+P578))*(S578/(S578+T578)),(MAX(-35,(C578-D578)))*(IF(P578=0,0.1,(P578/(O578+P578))))*(T578/(S578+T578)))</f>
        <v>0.591439688715953</v>
      </c>
      <c r="V578" s="0" t="n">
        <f aca="false">IF(L578=1,(MIN(35,(D578-C578)))*(M578/(M578+N578))*(Q578/(Q578+R578)),(MAX(-35,(D578-C578)))*(IF(N578=0,0.1,(N578/(M578+N578))))*(R578/(R578+Q578)))</f>
        <v>-1.85629754860524</v>
      </c>
    </row>
    <row r="579" customFormat="false" ht="15" hidden="false" customHeight="false" outlineLevel="0" collapsed="false">
      <c r="A579" s="0" t="s">
        <v>34</v>
      </c>
      <c r="B579" s="0" t="s">
        <v>25</v>
      </c>
      <c r="C579" s="0" t="n">
        <v>34</v>
      </c>
      <c r="D579" s="0" t="n">
        <v>15</v>
      </c>
      <c r="E579" s="0" t="n">
        <v>147</v>
      </c>
      <c r="F579" s="0" t="n">
        <v>60</v>
      </c>
      <c r="G579" s="0" t="n">
        <v>306</v>
      </c>
      <c r="H579" s="0" t="n">
        <v>277</v>
      </c>
      <c r="I579" s="0" t="n">
        <v>1</v>
      </c>
      <c r="J579" s="0" t="n">
        <v>5</v>
      </c>
      <c r="K579" s="0" t="n">
        <v>1</v>
      </c>
      <c r="L579" s="0" t="n">
        <v>0</v>
      </c>
      <c r="M579" s="0" t="n">
        <f aca="false">VLOOKUP(A579,'Team Data'!$A$1:$P$133,2,FALSE())</f>
        <v>4</v>
      </c>
      <c r="N579" s="0" t="n">
        <f aca="false">VLOOKUP(A579,'Team Data'!$A$1:$P$133,3,FALSE())</f>
        <v>8</v>
      </c>
      <c r="O579" s="0" t="n">
        <f aca="false">VLOOKUP(B579,'Team Data'!$A$1:$P$133,2,FALSE())</f>
        <v>3</v>
      </c>
      <c r="P579" s="0" t="n">
        <f aca="false">VLOOKUP(B579,'Team Data'!$A$1:$P$133,3,FALSE())</f>
        <v>9</v>
      </c>
      <c r="Q579" s="0" t="n">
        <f aca="false">VLOOKUP(A579,'Team Data'!$A$1:$P$133,4,FALSE())</f>
        <v>76</v>
      </c>
      <c r="R579" s="0" t="n">
        <f aca="false">VLOOKUP(A579,'Team Data'!$A$1:$P$133,5,FALSE())</f>
        <v>185</v>
      </c>
      <c r="S579" s="0" t="n">
        <f aca="false">VLOOKUP(B579,'Team Data'!$A$1:$P$133,4,FALSE())</f>
        <v>74</v>
      </c>
      <c r="T579" s="0" t="n">
        <f aca="false">VLOOKUP(B579,'Team Data'!$A$1:$P$133,5,FALSE())</f>
        <v>185</v>
      </c>
      <c r="U579" s="0" t="n">
        <f aca="false">IF(K579=1,(MIN(35,(C579-D579)))*(O579/(O579+P579))*(S579/(S579+T579)),(MAX(-35,(C579-D579)))*(IF(P579=0,0.1,(P579/(O579+P579))))*(T579/(S579+T579)))</f>
        <v>1.35714285714286</v>
      </c>
      <c r="V579" s="0" t="n">
        <f aca="false">IF(L579=1,(MIN(35,(D579-C579)))*(M579/(M579+N579))*(Q579/(Q579+R579)),(MAX(-35,(D579-C579)))*(IF(N579=0,0.1,(N579/(M579+N579))))*(R579/(R579+Q579)))</f>
        <v>-8.97828863346105</v>
      </c>
    </row>
    <row r="580" customFormat="false" ht="15" hidden="false" customHeight="false" outlineLevel="0" collapsed="false">
      <c r="A580" s="0" t="s">
        <v>36</v>
      </c>
      <c r="B580" s="0" t="s">
        <v>122</v>
      </c>
      <c r="C580" s="0" t="n">
        <v>21</v>
      </c>
      <c r="D580" s="0" t="n">
        <v>24</v>
      </c>
      <c r="E580" s="0" t="n">
        <v>165</v>
      </c>
      <c r="F580" s="0" t="n">
        <v>234</v>
      </c>
      <c r="G580" s="0" t="n">
        <v>164</v>
      </c>
      <c r="H580" s="0" t="n">
        <v>178</v>
      </c>
      <c r="I580" s="0" t="n">
        <v>1</v>
      </c>
      <c r="J580" s="0" t="n">
        <v>1</v>
      </c>
      <c r="K580" s="0" t="n">
        <v>0</v>
      </c>
      <c r="L580" s="0" t="n">
        <v>1</v>
      </c>
      <c r="M580" s="0" t="n">
        <f aca="false">VLOOKUP(A580,'Team Data'!$A$1:$P$133,2,FALSE())</f>
        <v>5</v>
      </c>
      <c r="N580" s="0" t="n">
        <f aca="false">VLOOKUP(A580,'Team Data'!$A$1:$P$133,3,FALSE())</f>
        <v>7</v>
      </c>
      <c r="O580" s="0" t="n">
        <f aca="false">VLOOKUP(B580,'Team Data'!$A$1:$P$133,2,FALSE())</f>
        <v>5</v>
      </c>
      <c r="P580" s="0" t="n">
        <f aca="false">VLOOKUP(B580,'Team Data'!$A$1:$P$133,3,FALSE())</f>
        <v>7</v>
      </c>
      <c r="Q580" s="0" t="n">
        <f aca="false">VLOOKUP(A580,'Team Data'!$A$1:$P$133,4,FALSE())</f>
        <v>83</v>
      </c>
      <c r="R580" s="0" t="n">
        <f aca="false">VLOOKUP(A580,'Team Data'!$A$1:$P$133,5,FALSE())</f>
        <v>182</v>
      </c>
      <c r="S580" s="0" t="n">
        <f aca="false">VLOOKUP(B580,'Team Data'!$A$1:$P$133,4,FALSE())</f>
        <v>71</v>
      </c>
      <c r="T580" s="0" t="n">
        <f aca="false">VLOOKUP(B580,'Team Data'!$A$1:$P$133,5,FALSE())</f>
        <v>83</v>
      </c>
      <c r="U580" s="0" t="n">
        <f aca="false">IF(K580=1,(MIN(35,(C580-D580)))*(O580/(O580+P580))*(S580/(S580+T580)),(MAX(-35,(C580-D580)))*(IF(P580=0,0.1,(P580/(O580+P580))))*(T580/(S580+T580)))</f>
        <v>-0.943181818181818</v>
      </c>
      <c r="V580" s="0" t="n">
        <f aca="false">IF(L580=1,(MIN(35,(D580-C580)))*(M580/(M580+N580))*(Q580/(Q580+R580)),(MAX(-35,(D580-C580)))*(IF(N580=0,0.1,(N580/(M580+N580))))*(R580/(R580+Q580)))</f>
        <v>0.391509433962264</v>
      </c>
    </row>
    <row r="581" customFormat="false" ht="15" hidden="false" customHeight="false" outlineLevel="0" collapsed="false">
      <c r="A581" s="0" t="s">
        <v>93</v>
      </c>
      <c r="B581" s="0" t="s">
        <v>57</v>
      </c>
      <c r="C581" s="0" t="n">
        <v>42</v>
      </c>
      <c r="D581" s="0" t="n">
        <v>41</v>
      </c>
      <c r="E581" s="0" t="n">
        <v>279</v>
      </c>
      <c r="F581" s="0" t="n">
        <v>144</v>
      </c>
      <c r="G581" s="0" t="n">
        <v>208</v>
      </c>
      <c r="H581" s="0" t="n">
        <v>229</v>
      </c>
      <c r="I581" s="0" t="n">
        <v>3</v>
      </c>
      <c r="J581" s="0" t="n">
        <v>1</v>
      </c>
      <c r="K581" s="0" t="n">
        <v>1</v>
      </c>
      <c r="L581" s="0" t="n">
        <v>0</v>
      </c>
      <c r="M581" s="0" t="n">
        <f aca="false">VLOOKUP(A581,'Team Data'!$A$1:$P$133,2,FALSE())</f>
        <v>5</v>
      </c>
      <c r="N581" s="0" t="n">
        <f aca="false">VLOOKUP(A581,'Team Data'!$A$1:$P$133,3,FALSE())</f>
        <v>8</v>
      </c>
      <c r="O581" s="0" t="n">
        <f aca="false">VLOOKUP(B581,'Team Data'!$A$1:$P$133,2,FALSE())</f>
        <v>3</v>
      </c>
      <c r="P581" s="0" t="n">
        <f aca="false">VLOOKUP(B581,'Team Data'!$A$1:$P$133,3,FALSE())</f>
        <v>9</v>
      </c>
      <c r="Q581" s="0" t="n">
        <f aca="false">VLOOKUP(A581,'Team Data'!$A$1:$P$133,4,FALSE())</f>
        <v>90</v>
      </c>
      <c r="R581" s="0" t="n">
        <f aca="false">VLOOKUP(A581,'Team Data'!$A$1:$P$133,5,FALSE())</f>
        <v>186</v>
      </c>
      <c r="S581" s="0" t="n">
        <f aca="false">VLOOKUP(B581,'Team Data'!$A$1:$P$133,4,FALSE())</f>
        <v>85</v>
      </c>
      <c r="T581" s="0" t="n">
        <f aca="false">VLOOKUP(B581,'Team Data'!$A$1:$P$133,5,FALSE())</f>
        <v>178</v>
      </c>
      <c r="U581" s="0" t="n">
        <f aca="false">IF(K581=1,(MIN(35,(C581-D581)))*(O581/(O581+P581))*(S581/(S581+T581)),(MAX(-35,(C581-D581)))*(IF(P581=0,0.1,(P581/(O581+P581))))*(T581/(S581+T581)))</f>
        <v>0.0807984790874525</v>
      </c>
      <c r="V581" s="0" t="n">
        <f aca="false">IF(L581=1,(MIN(35,(D581-C581)))*(M581/(M581+N581))*(Q581/(Q581+R581)),(MAX(-35,(D581-C581)))*(IF(N581=0,0.1,(N581/(M581+N581))))*(R581/(R581+Q581)))</f>
        <v>-0.414715719063545</v>
      </c>
    </row>
    <row r="582" customFormat="false" ht="15" hidden="false" customHeight="false" outlineLevel="0" collapsed="false">
      <c r="A582" s="0" t="s">
        <v>78</v>
      </c>
      <c r="B582" s="0" t="s">
        <v>123</v>
      </c>
      <c r="C582" s="0" t="n">
        <v>27</v>
      </c>
      <c r="D582" s="0" t="n">
        <v>31</v>
      </c>
      <c r="E582" s="0" t="n">
        <v>22</v>
      </c>
      <c r="F582" s="0" t="n">
        <v>257</v>
      </c>
      <c r="G582" s="0" t="n">
        <v>325</v>
      </c>
      <c r="H582" s="0" t="n">
        <v>238</v>
      </c>
      <c r="I582" s="0" t="n">
        <v>1</v>
      </c>
      <c r="J582" s="0" t="n">
        <v>1</v>
      </c>
      <c r="K582" s="0" t="n">
        <v>0</v>
      </c>
      <c r="L582" s="0" t="n">
        <v>1</v>
      </c>
      <c r="M582" s="0" t="n">
        <f aca="false">VLOOKUP(A582,'Team Data'!$A$1:$P$133,2,FALSE())</f>
        <v>7</v>
      </c>
      <c r="N582" s="0" t="n">
        <f aca="false">VLOOKUP(A582,'Team Data'!$A$1:$P$133,3,FALSE())</f>
        <v>7</v>
      </c>
      <c r="O582" s="0" t="n">
        <f aca="false">VLOOKUP(B582,'Team Data'!$A$1:$P$133,2,FALSE())</f>
        <v>11</v>
      </c>
      <c r="P582" s="0" t="n">
        <f aca="false">VLOOKUP(B582,'Team Data'!$A$1:$P$133,3,FALSE())</f>
        <v>3</v>
      </c>
      <c r="Q582" s="0" t="n">
        <f aca="false">VLOOKUP(A582,'Team Data'!$A$1:$P$133,4,FALSE())</f>
        <v>97</v>
      </c>
      <c r="R582" s="0" t="n">
        <f aca="false">VLOOKUP(A582,'Team Data'!$A$1:$P$133,5,FALSE())</f>
        <v>191</v>
      </c>
      <c r="S582" s="0" t="n">
        <f aca="false">VLOOKUP(B582,'Team Data'!$A$1:$P$133,4,FALSE())</f>
        <v>97</v>
      </c>
      <c r="T582" s="0" t="n">
        <f aca="false">VLOOKUP(B582,'Team Data'!$A$1:$P$133,5,FALSE())</f>
        <v>192</v>
      </c>
      <c r="U582" s="0" t="n">
        <f aca="false">IF(K582=1,(MIN(35,(C582-D582)))*(O582/(O582+P582))*(S582/(S582+T582)),(MAX(-35,(C582-D582)))*(IF(P582=0,0.1,(P582/(O582+P582))))*(T582/(S582+T582)))</f>
        <v>-0.569451309935739</v>
      </c>
      <c r="V582" s="0" t="n">
        <f aca="false">IF(L582=1,(MIN(35,(D582-C582)))*(M582/(M582+N582))*(Q582/(Q582+R582)),(MAX(-35,(D582-C582)))*(IF(N582=0,0.1,(N582/(M582+N582))))*(R582/(R582+Q582)))</f>
        <v>0.673611111111111</v>
      </c>
    </row>
    <row r="583" customFormat="false" ht="15" hidden="false" customHeight="false" outlineLevel="0" collapsed="false">
      <c r="A583" s="0" t="s">
        <v>114</v>
      </c>
      <c r="B583" s="0" t="s">
        <v>133</v>
      </c>
      <c r="C583" s="0" t="n">
        <v>17</v>
      </c>
      <c r="D583" s="0" t="n">
        <v>20</v>
      </c>
      <c r="E583" s="0" t="n">
        <v>228</v>
      </c>
      <c r="F583" s="0" t="n">
        <v>224</v>
      </c>
      <c r="G583" s="0" t="n">
        <v>96</v>
      </c>
      <c r="H583" s="0" t="n">
        <v>128</v>
      </c>
      <c r="I583" s="0" t="n">
        <v>4</v>
      </c>
      <c r="J583" s="0" t="n">
        <v>1</v>
      </c>
      <c r="K583" s="0" t="n">
        <v>0</v>
      </c>
      <c r="L583" s="0" t="n">
        <v>1</v>
      </c>
      <c r="M583" s="0" t="n">
        <f aca="false">VLOOKUP(A583,'Team Data'!$A$1:$P$133,2,FALSE())</f>
        <v>7</v>
      </c>
      <c r="N583" s="0" t="n">
        <f aca="false">VLOOKUP(A583,'Team Data'!$A$1:$P$133,3,FALSE())</f>
        <v>6</v>
      </c>
      <c r="O583" s="0" t="n">
        <f aca="false">VLOOKUP(B583,'Team Data'!$A$1:$P$133,2,FALSE())</f>
        <v>9</v>
      </c>
      <c r="P583" s="0" t="n">
        <f aca="false">VLOOKUP(B583,'Team Data'!$A$1:$P$133,3,FALSE())</f>
        <v>5</v>
      </c>
      <c r="Q583" s="0" t="n">
        <f aca="false">VLOOKUP(A583,'Team Data'!$A$1:$P$133,4,FALSE())</f>
        <v>89</v>
      </c>
      <c r="R583" s="0" t="n">
        <f aca="false">VLOOKUP(A583,'Team Data'!$A$1:$P$133,5,FALSE())</f>
        <v>188</v>
      </c>
      <c r="S583" s="0" t="n">
        <f aca="false">VLOOKUP(B583,'Team Data'!$A$1:$P$133,4,FALSE())</f>
        <v>92</v>
      </c>
      <c r="T583" s="0" t="n">
        <f aca="false">VLOOKUP(B583,'Team Data'!$A$1:$P$133,5,FALSE())</f>
        <v>195</v>
      </c>
      <c r="U583" s="0" t="n">
        <f aca="false">IF(K583=1,(MIN(35,(C583-D583)))*(O583/(O583+P583))*(S583/(S583+T583)),(MAX(-35,(C583-D583)))*(IF(P583=0,0.1,(P583/(O583+P583))))*(T583/(S583+T583)))</f>
        <v>-0.727974116475859</v>
      </c>
      <c r="V583" s="0" t="n">
        <f aca="false">IF(L583=1,(MIN(35,(D583-C583)))*(M583/(M583+N583))*(Q583/(Q583+R583)),(MAX(-35,(D583-C583)))*(IF(N583=0,0.1,(N583/(M583+N583))))*(R583/(R583+Q583)))</f>
        <v>0.519022493751736</v>
      </c>
    </row>
    <row r="584" customFormat="false" ht="15" hidden="false" customHeight="false" outlineLevel="0" collapsed="false">
      <c r="A584" s="0" t="s">
        <v>12</v>
      </c>
      <c r="B584" s="0" t="s">
        <v>15</v>
      </c>
      <c r="C584" s="0" t="n">
        <v>41</v>
      </c>
      <c r="D584" s="0" t="n">
        <v>27</v>
      </c>
      <c r="E584" s="0" t="n">
        <v>286</v>
      </c>
      <c r="F584" s="0" t="n">
        <v>183</v>
      </c>
      <c r="G584" s="0" t="n">
        <v>234</v>
      </c>
      <c r="H584" s="0" t="n">
        <v>285</v>
      </c>
      <c r="I584" s="0" t="n">
        <v>1</v>
      </c>
      <c r="J584" s="0" t="n">
        <v>0</v>
      </c>
      <c r="K584" s="0" t="n">
        <v>1</v>
      </c>
      <c r="L584" s="0" t="n">
        <v>0</v>
      </c>
      <c r="M584" s="0" t="n">
        <f aca="false">VLOOKUP(A584,'Team Data'!$A$1:$P$133,2,FALSE())</f>
        <v>7</v>
      </c>
      <c r="N584" s="0" t="n">
        <f aca="false">VLOOKUP(A584,'Team Data'!$A$1:$P$133,3,FALSE())</f>
        <v>6</v>
      </c>
      <c r="O584" s="0" t="n">
        <f aca="false">VLOOKUP(B584,'Team Data'!$A$1:$P$133,2,FALSE())</f>
        <v>5</v>
      </c>
      <c r="P584" s="0" t="n">
        <f aca="false">VLOOKUP(B584,'Team Data'!$A$1:$P$133,3,FALSE())</f>
        <v>7</v>
      </c>
      <c r="Q584" s="0" t="n">
        <f aca="false">VLOOKUP(A584,'Team Data'!$A$1:$P$133,4,FALSE())</f>
        <v>101</v>
      </c>
      <c r="R584" s="0" t="n">
        <f aca="false">VLOOKUP(A584,'Team Data'!$A$1:$P$133,5,FALSE())</f>
        <v>174</v>
      </c>
      <c r="S584" s="0" t="n">
        <f aca="false">VLOOKUP(B584,'Team Data'!$A$1:$P$133,4,FALSE())</f>
        <v>106</v>
      </c>
      <c r="T584" s="0" t="n">
        <f aca="false">VLOOKUP(B584,'Team Data'!$A$1:$P$133,5,FALSE())</f>
        <v>159</v>
      </c>
      <c r="U584" s="0" t="n">
        <f aca="false">IF(K584=1,(MIN(35,(C584-D584)))*(O584/(O584+P584))*(S584/(S584+T584)),(MAX(-35,(C584-D584)))*(IF(P584=0,0.1,(P584/(O584+P584))))*(T584/(S584+T584)))</f>
        <v>2.33333333333333</v>
      </c>
      <c r="V584" s="0" t="n">
        <f aca="false">IF(L584=1,(MIN(35,(D584-C584)))*(M584/(M584+N584))*(Q584/(Q584+R584)),(MAX(-35,(D584-C584)))*(IF(N584=0,0.1,(N584/(M584+N584))))*(R584/(R584+Q584)))</f>
        <v>-4.08839160839161</v>
      </c>
    </row>
    <row r="585" customFormat="false" ht="15" hidden="false" customHeight="false" outlineLevel="0" collapsed="false">
      <c r="A585" s="0" t="s">
        <v>35</v>
      </c>
      <c r="B585" s="0" t="s">
        <v>39</v>
      </c>
      <c r="C585" s="0" t="n">
        <v>20</v>
      </c>
      <c r="D585" s="0" t="n">
        <v>42</v>
      </c>
      <c r="E585" s="0" t="n">
        <v>100</v>
      </c>
      <c r="F585" s="0" t="n">
        <v>239</v>
      </c>
      <c r="G585" s="0" t="n">
        <v>271</v>
      </c>
      <c r="H585" s="0" t="n">
        <v>316</v>
      </c>
      <c r="I585" s="0" t="n">
        <v>0</v>
      </c>
      <c r="J585" s="0" t="n">
        <v>3</v>
      </c>
      <c r="K585" s="0" t="n">
        <v>0</v>
      </c>
      <c r="L585" s="0" t="n">
        <v>1</v>
      </c>
      <c r="M585" s="0" t="n">
        <f aca="false">VLOOKUP(A585,'Team Data'!$A$1:$P$133,2,FALSE())</f>
        <v>6</v>
      </c>
      <c r="N585" s="0" t="n">
        <f aca="false">VLOOKUP(A585,'Team Data'!$A$1:$P$133,3,FALSE())</f>
        <v>7</v>
      </c>
      <c r="O585" s="0" t="n">
        <f aca="false">VLOOKUP(B585,'Team Data'!$A$1:$P$133,2,FALSE())</f>
        <v>15</v>
      </c>
      <c r="P585" s="0" t="n">
        <f aca="false">VLOOKUP(B585,'Team Data'!$A$1:$P$133,3,FALSE())</f>
        <v>0</v>
      </c>
      <c r="Q585" s="0" t="n">
        <f aca="false">VLOOKUP(A585,'Team Data'!$A$1:$P$133,4,FALSE())</f>
        <v>106</v>
      </c>
      <c r="R585" s="0" t="n">
        <f aca="false">VLOOKUP(A585,'Team Data'!$A$1:$P$133,5,FALSE())</f>
        <v>171</v>
      </c>
      <c r="S585" s="0" t="n">
        <f aca="false">VLOOKUP(B585,'Team Data'!$A$1:$P$133,4,FALSE())</f>
        <v>119</v>
      </c>
      <c r="T585" s="0" t="n">
        <f aca="false">VLOOKUP(B585,'Team Data'!$A$1:$P$133,5,FALSE())</f>
        <v>182</v>
      </c>
      <c r="U585" s="0" t="n">
        <f aca="false">IF(K585=1,(MIN(35,(C585-D585)))*(O585/(O585+P585))*(S585/(S585+T585)),(MAX(-35,(C585-D585)))*(IF(P585=0,0.1,(P585/(O585+P585))))*(T585/(S585+T585)))</f>
        <v>-1.33023255813954</v>
      </c>
      <c r="V585" s="0" t="n">
        <f aca="false">IF(L585=1,(MIN(35,(D585-C585)))*(M585/(M585+N585))*(Q585/(Q585+R585)),(MAX(-35,(D585-C585)))*(IF(N585=0,0.1,(N585/(M585+N585))))*(R585/(R585+Q585)))</f>
        <v>3.88558733685088</v>
      </c>
    </row>
    <row r="586" customFormat="false" ht="15" hidden="false" customHeight="false" outlineLevel="0" collapsed="false">
      <c r="A586" s="0" t="s">
        <v>70</v>
      </c>
      <c r="B586" s="0" t="s">
        <v>99</v>
      </c>
      <c r="C586" s="0" t="n">
        <v>23</v>
      </c>
      <c r="D586" s="0" t="n">
        <v>10</v>
      </c>
      <c r="E586" s="0" t="n">
        <v>143</v>
      </c>
      <c r="F586" s="0" t="n">
        <v>32</v>
      </c>
      <c r="G586" s="0" t="n">
        <v>224</v>
      </c>
      <c r="H586" s="0" t="n">
        <v>171</v>
      </c>
      <c r="I586" s="0" t="n">
        <v>0</v>
      </c>
      <c r="J586" s="0" t="n">
        <v>2</v>
      </c>
      <c r="K586" s="0" t="n">
        <v>1</v>
      </c>
      <c r="L586" s="0" t="n">
        <v>0</v>
      </c>
      <c r="M586" s="0" t="n">
        <f aca="false">VLOOKUP(A586,'Team Data'!$A$1:$P$133,2,FALSE())</f>
        <v>6</v>
      </c>
      <c r="N586" s="0" t="n">
        <f aca="false">VLOOKUP(A586,'Team Data'!$A$1:$P$133,3,FALSE())</f>
        <v>7</v>
      </c>
      <c r="O586" s="0" t="n">
        <f aca="false">VLOOKUP(B586,'Team Data'!$A$1:$P$133,2,FALSE())</f>
        <v>8</v>
      </c>
      <c r="P586" s="0" t="n">
        <f aca="false">VLOOKUP(B586,'Team Data'!$A$1:$P$133,3,FALSE())</f>
        <v>5</v>
      </c>
      <c r="Q586" s="0" t="n">
        <f aca="false">VLOOKUP(A586,'Team Data'!$A$1:$P$133,4,FALSE())</f>
        <v>100</v>
      </c>
      <c r="R586" s="0" t="n">
        <f aca="false">VLOOKUP(A586,'Team Data'!$A$1:$P$133,5,FALSE())</f>
        <v>176</v>
      </c>
      <c r="S586" s="0" t="n">
        <f aca="false">VLOOKUP(B586,'Team Data'!$A$1:$P$133,4,FALSE())</f>
        <v>97</v>
      </c>
      <c r="T586" s="0" t="n">
        <f aca="false">VLOOKUP(B586,'Team Data'!$A$1:$P$133,5,FALSE())</f>
        <v>178</v>
      </c>
      <c r="U586" s="0" t="n">
        <f aca="false">IF(K586=1,(MIN(35,(C586-D586)))*(O586/(O586+P586))*(S586/(S586+T586)),(MAX(-35,(C586-D586)))*(IF(P586=0,0.1,(P586/(O586+P586))))*(T586/(S586+T586)))</f>
        <v>2.82181818181818</v>
      </c>
      <c r="V586" s="0" t="n">
        <f aca="false">IF(L586=1,(MIN(35,(D586-C586)))*(M586/(M586+N586))*(Q586/(Q586+R586)),(MAX(-35,(D586-C586)))*(IF(N586=0,0.1,(N586/(M586+N586))))*(R586/(R586+Q586)))</f>
        <v>-4.46376811594203</v>
      </c>
    </row>
    <row r="587" customFormat="false" ht="15" hidden="false" customHeight="false" outlineLevel="0" collapsed="false">
      <c r="A587" s="0" t="s">
        <v>53</v>
      </c>
      <c r="B587" s="0" t="s">
        <v>105</v>
      </c>
      <c r="C587" s="0" t="n">
        <v>6</v>
      </c>
      <c r="D587" s="0" t="n">
        <v>44</v>
      </c>
      <c r="E587" s="0" t="n">
        <v>107</v>
      </c>
      <c r="F587" s="0" t="n">
        <v>177</v>
      </c>
      <c r="G587" s="0" t="n">
        <v>98</v>
      </c>
      <c r="H587" s="0" t="n">
        <v>245</v>
      </c>
      <c r="I587" s="0" t="n">
        <v>3</v>
      </c>
      <c r="J587" s="0" t="n">
        <v>0</v>
      </c>
      <c r="K587" s="0" t="n">
        <v>0</v>
      </c>
      <c r="L587" s="0" t="n">
        <v>1</v>
      </c>
      <c r="M587" s="0" t="n">
        <f aca="false">VLOOKUP(A587,'Team Data'!$A$1:$P$133,2,FALSE())</f>
        <v>7</v>
      </c>
      <c r="N587" s="0" t="n">
        <f aca="false">VLOOKUP(A587,'Team Data'!$A$1:$P$133,3,FALSE())</f>
        <v>6</v>
      </c>
      <c r="O587" s="0" t="n">
        <f aca="false">VLOOKUP(B587,'Team Data'!$A$1:$P$133,2,FALSE())</f>
        <v>11</v>
      </c>
      <c r="P587" s="0" t="n">
        <f aca="false">VLOOKUP(B587,'Team Data'!$A$1:$P$133,3,FALSE())</f>
        <v>2</v>
      </c>
      <c r="Q587" s="0" t="n">
        <f aca="false">VLOOKUP(A587,'Team Data'!$A$1:$P$133,4,FALSE())</f>
        <v>101</v>
      </c>
      <c r="R587" s="0" t="n">
        <f aca="false">VLOOKUP(A587,'Team Data'!$A$1:$P$133,5,FALSE())</f>
        <v>175</v>
      </c>
      <c r="S587" s="0" t="n">
        <f aca="false">VLOOKUP(B587,'Team Data'!$A$1:$P$133,4,FALSE())</f>
        <v>103</v>
      </c>
      <c r="T587" s="0" t="n">
        <f aca="false">VLOOKUP(B587,'Team Data'!$A$1:$P$133,5,FALSE())</f>
        <v>174</v>
      </c>
      <c r="U587" s="0" t="n">
        <f aca="false">IF(K587=1,(MIN(35,(C587-D587)))*(O587/(O587+P587))*(S587/(S587+T587)),(MAX(-35,(C587-D587)))*(IF(P587=0,0.1,(P587/(O587+P587))))*(T587/(S587+T587)))</f>
        <v>-3.38239377950569</v>
      </c>
      <c r="V587" s="0" t="n">
        <f aca="false">IF(L587=1,(MIN(35,(D587-C587)))*(M587/(M587+N587))*(Q587/(Q587+R587)),(MAX(-35,(D587-C587)))*(IF(N587=0,0.1,(N587/(M587+N587))))*(R587/(R587+Q587)))</f>
        <v>6.89659977703456</v>
      </c>
    </row>
    <row r="588" customFormat="false" ht="15" hidden="false" customHeight="false" outlineLevel="0" collapsed="false">
      <c r="A588" s="0" t="s">
        <v>87</v>
      </c>
      <c r="B588" s="0" t="s">
        <v>107</v>
      </c>
      <c r="C588" s="0" t="n">
        <v>31</v>
      </c>
      <c r="D588" s="0" t="n">
        <v>28</v>
      </c>
      <c r="E588" s="0" t="n">
        <v>390</v>
      </c>
      <c r="F588" s="0" t="n">
        <v>142</v>
      </c>
      <c r="G588" s="0" t="n">
        <v>140</v>
      </c>
      <c r="H588" s="0" t="n">
        <v>338</v>
      </c>
      <c r="I588" s="0" t="n">
        <v>0</v>
      </c>
      <c r="J588" s="0" t="n">
        <v>0</v>
      </c>
      <c r="K588" s="0" t="n">
        <v>1</v>
      </c>
      <c r="L588" s="0" t="n">
        <v>0</v>
      </c>
      <c r="M588" s="0" t="n">
        <f aca="false">VLOOKUP(A588,'Team Data'!$A$1:$P$133,2,FALSE())</f>
        <v>8</v>
      </c>
      <c r="N588" s="0" t="n">
        <f aca="false">VLOOKUP(A588,'Team Data'!$A$1:$P$133,3,FALSE())</f>
        <v>5</v>
      </c>
      <c r="O588" s="0" t="n">
        <f aca="false">VLOOKUP(B588,'Team Data'!$A$1:$P$133,2,FALSE())</f>
        <v>5</v>
      </c>
      <c r="P588" s="0" t="n">
        <f aca="false">VLOOKUP(B588,'Team Data'!$A$1:$P$133,3,FALSE())</f>
        <v>7</v>
      </c>
      <c r="Q588" s="0" t="n">
        <f aca="false">VLOOKUP(A588,'Team Data'!$A$1:$P$133,4,FALSE())</f>
        <v>97</v>
      </c>
      <c r="R588" s="0" t="n">
        <f aca="false">VLOOKUP(A588,'Team Data'!$A$1:$P$133,5,FALSE())</f>
        <v>176</v>
      </c>
      <c r="S588" s="0" t="n">
        <f aca="false">VLOOKUP(B588,'Team Data'!$A$1:$P$133,4,FALSE())</f>
        <v>84</v>
      </c>
      <c r="T588" s="0" t="n">
        <f aca="false">VLOOKUP(B588,'Team Data'!$A$1:$P$133,5,FALSE())</f>
        <v>176</v>
      </c>
      <c r="U588" s="0" t="n">
        <f aca="false">IF(K588=1,(MIN(35,(C588-D588)))*(O588/(O588+P588))*(S588/(S588+T588)),(MAX(-35,(C588-D588)))*(IF(P588=0,0.1,(P588/(O588+P588))))*(T588/(S588+T588)))</f>
        <v>0.403846153846154</v>
      </c>
      <c r="V588" s="0" t="n">
        <f aca="false">IF(L588=1,(MIN(35,(D588-C588)))*(M588/(M588+N588))*(Q588/(Q588+R588)),(MAX(-35,(D588-C588)))*(IF(N588=0,0.1,(N588/(M588+N588))))*(R588/(R588+Q588)))</f>
        <v>-0.743871513102283</v>
      </c>
    </row>
    <row r="589" customFormat="false" ht="15" hidden="false" customHeight="false" outlineLevel="0" collapsed="false">
      <c r="A589" s="0" t="s">
        <v>120</v>
      </c>
      <c r="B589" s="0" t="s">
        <v>10</v>
      </c>
      <c r="C589" s="0" t="n">
        <v>45</v>
      </c>
      <c r="D589" s="0" t="n">
        <v>37</v>
      </c>
      <c r="E589" s="0" t="n">
        <v>210</v>
      </c>
      <c r="F589" s="0" t="n">
        <v>163</v>
      </c>
      <c r="G589" s="0" t="n">
        <v>411</v>
      </c>
      <c r="H589" s="0" t="n">
        <v>380</v>
      </c>
      <c r="I589" s="0" t="n">
        <v>0</v>
      </c>
      <c r="J589" s="0" t="n">
        <v>1</v>
      </c>
      <c r="K589" s="0" t="n">
        <v>1</v>
      </c>
      <c r="L589" s="0" t="n">
        <v>0</v>
      </c>
      <c r="M589" s="0" t="n">
        <f aca="false">VLOOKUP(A589,'Team Data'!$A$1:$P$133,2,FALSE())</f>
        <v>11</v>
      </c>
      <c r="N589" s="0" t="n">
        <f aca="false">VLOOKUP(A589,'Team Data'!$A$1:$P$133,3,FALSE())</f>
        <v>3</v>
      </c>
      <c r="O589" s="0" t="n">
        <f aca="false">VLOOKUP(B589,'Team Data'!$A$1:$P$133,2,FALSE())</f>
        <v>5</v>
      </c>
      <c r="P589" s="0" t="n">
        <f aca="false">VLOOKUP(B589,'Team Data'!$A$1:$P$133,3,FALSE())</f>
        <v>7</v>
      </c>
      <c r="Q589" s="0" t="n">
        <f aca="false">VLOOKUP(A589,'Team Data'!$A$1:$P$133,4,FALSE())</f>
        <v>98</v>
      </c>
      <c r="R589" s="0" t="n">
        <f aca="false">VLOOKUP(A589,'Team Data'!$A$1:$P$133,5,FALSE())</f>
        <v>83</v>
      </c>
      <c r="S589" s="0" t="n">
        <f aca="false">VLOOKUP(B589,'Team Data'!$A$1:$P$133,4,FALSE())</f>
        <v>90</v>
      </c>
      <c r="T589" s="0" t="n">
        <f aca="false">VLOOKUP(B589,'Team Data'!$A$1:$P$133,5,FALSE())</f>
        <v>172</v>
      </c>
      <c r="U589" s="0" t="n">
        <f aca="false">IF(K589=1,(MIN(35,(C589-D589)))*(O589/(O589+P589))*(S589/(S589+T589)),(MAX(-35,(C589-D589)))*(IF(P589=0,0.1,(P589/(O589+P589))))*(T589/(S589+T589)))</f>
        <v>1.14503816793893</v>
      </c>
      <c r="V589" s="0" t="n">
        <f aca="false">IF(L589=1,(MIN(35,(D589-C589)))*(M589/(M589+N589))*(Q589/(Q589+R589)),(MAX(-35,(D589-C589)))*(IF(N589=0,0.1,(N589/(M589+N589))))*(R589/(R589+Q589)))</f>
        <v>-0.786108918705604</v>
      </c>
    </row>
    <row r="590" customFormat="false" ht="15" hidden="false" customHeight="false" outlineLevel="0" collapsed="false">
      <c r="A590" s="0" t="s">
        <v>11</v>
      </c>
      <c r="B590" s="0" t="s">
        <v>29</v>
      </c>
      <c r="C590" s="0" t="n">
        <v>42</v>
      </c>
      <c r="D590" s="0" t="n">
        <v>34</v>
      </c>
      <c r="E590" s="0" t="n">
        <v>122</v>
      </c>
      <c r="F590" s="0" t="n">
        <v>137</v>
      </c>
      <c r="G590" s="0" t="n">
        <v>435</v>
      </c>
      <c r="H590" s="0" t="n">
        <v>222</v>
      </c>
      <c r="I590" s="0" t="n">
        <v>1</v>
      </c>
      <c r="J590" s="0" t="n">
        <v>1</v>
      </c>
      <c r="K590" s="0" t="n">
        <v>1</v>
      </c>
      <c r="L590" s="0" t="n">
        <v>0</v>
      </c>
      <c r="M590" s="0" t="n">
        <f aca="false">VLOOKUP(A590,'Team Data'!$A$1:$P$133,2,FALSE())</f>
        <v>3</v>
      </c>
      <c r="N590" s="0" t="n">
        <f aca="false">VLOOKUP(A590,'Team Data'!$A$1:$P$133,3,FALSE())</f>
        <v>9</v>
      </c>
      <c r="O590" s="0" t="n">
        <f aca="false">VLOOKUP(B590,'Team Data'!$A$1:$P$133,2,FALSE())</f>
        <v>1</v>
      </c>
      <c r="P590" s="0" t="n">
        <f aca="false">VLOOKUP(B590,'Team Data'!$A$1:$P$133,3,FALSE())</f>
        <v>11</v>
      </c>
      <c r="Q590" s="0" t="n">
        <f aca="false">VLOOKUP(A590,'Team Data'!$A$1:$P$133,4,FALSE())</f>
        <v>91</v>
      </c>
      <c r="R590" s="0" t="n">
        <f aca="false">VLOOKUP(A590,'Team Data'!$A$1:$P$133,5,FALSE())</f>
        <v>171</v>
      </c>
      <c r="S590" s="0" t="n">
        <f aca="false">VLOOKUP(B590,'Team Data'!$A$1:$P$133,4,FALSE())</f>
        <v>105</v>
      </c>
      <c r="T590" s="0" t="n">
        <f aca="false">VLOOKUP(B590,'Team Data'!$A$1:$P$133,5,FALSE())</f>
        <v>52</v>
      </c>
      <c r="U590" s="0" t="n">
        <f aca="false">IF(K590=1,(MIN(35,(C590-D590)))*(O590/(O590+P590))*(S590/(S590+T590)),(MAX(-35,(C590-D590)))*(IF(P590=0,0.1,(P590/(O590+P590))))*(T590/(S590+T590)))</f>
        <v>0.445859872611465</v>
      </c>
      <c r="V590" s="0" t="n">
        <f aca="false">IF(L590=1,(MIN(35,(D590-C590)))*(M590/(M590+N590))*(Q590/(Q590+R590)),(MAX(-35,(D590-C590)))*(IF(N590=0,0.1,(N590/(M590+N590))))*(R590/(R590+Q590)))</f>
        <v>-3.91603053435115</v>
      </c>
    </row>
    <row r="591" customFormat="false" ht="15" hidden="false" customHeight="false" outlineLevel="0" collapsed="false">
      <c r="A591" s="0" t="s">
        <v>88</v>
      </c>
      <c r="B591" s="0" t="s">
        <v>23</v>
      </c>
      <c r="C591" s="0" t="n">
        <v>42</v>
      </c>
      <c r="D591" s="0" t="n">
        <v>24</v>
      </c>
      <c r="E591" s="0" t="n">
        <v>174</v>
      </c>
      <c r="F591" s="0" t="n">
        <v>74</v>
      </c>
      <c r="G591" s="0" t="n">
        <v>412</v>
      </c>
      <c r="H591" s="0" t="n">
        <v>328</v>
      </c>
      <c r="I591" s="0" t="n">
        <v>2</v>
      </c>
      <c r="J591" s="0" t="n">
        <v>2</v>
      </c>
      <c r="K591" s="0" t="n">
        <v>1</v>
      </c>
      <c r="L591" s="0" t="n">
        <v>0</v>
      </c>
      <c r="M591" s="0" t="n">
        <f aca="false">VLOOKUP(A591,'Team Data'!$A$1:$P$133,2,FALSE())</f>
        <v>10</v>
      </c>
      <c r="N591" s="0" t="n">
        <f aca="false">VLOOKUP(A591,'Team Data'!$A$1:$P$133,3,FALSE())</f>
        <v>3</v>
      </c>
      <c r="O591" s="0" t="n">
        <f aca="false">VLOOKUP(B591,'Team Data'!$A$1:$P$133,2,FALSE())</f>
        <v>4</v>
      </c>
      <c r="P591" s="0" t="n">
        <f aca="false">VLOOKUP(B591,'Team Data'!$A$1:$P$133,3,FALSE())</f>
        <v>8</v>
      </c>
      <c r="Q591" s="0" t="n">
        <f aca="false">VLOOKUP(A591,'Team Data'!$A$1:$P$133,4,FALSE())</f>
        <v>100</v>
      </c>
      <c r="R591" s="0" t="n">
        <f aca="false">VLOOKUP(A591,'Team Data'!$A$1:$P$133,5,FALSE())</f>
        <v>176</v>
      </c>
      <c r="S591" s="0" t="n">
        <f aca="false">VLOOKUP(B591,'Team Data'!$A$1:$P$133,4,FALSE())</f>
        <v>89</v>
      </c>
      <c r="T591" s="0" t="n">
        <f aca="false">VLOOKUP(B591,'Team Data'!$A$1:$P$133,5,FALSE())</f>
        <v>171</v>
      </c>
      <c r="U591" s="0" t="n">
        <f aca="false">IF(K591=1,(MIN(35,(C591-D591)))*(O591/(O591+P591))*(S591/(S591+T591)),(MAX(-35,(C591-D591)))*(IF(P591=0,0.1,(P591/(O591+P591))))*(T591/(S591+T591)))</f>
        <v>2.05384615384615</v>
      </c>
      <c r="V591" s="0" t="n">
        <f aca="false">IF(L591=1,(MIN(35,(D591-C591)))*(M591/(M591+N591))*(Q591/(Q591+R591)),(MAX(-35,(D591-C591)))*(IF(N591=0,0.1,(N591/(M591+N591))))*(R591/(R591+Q591)))</f>
        <v>-2.64882943143813</v>
      </c>
    </row>
    <row r="592" customFormat="false" ht="15" hidden="false" customHeight="false" outlineLevel="0" collapsed="false">
      <c r="A592" s="0" t="s">
        <v>101</v>
      </c>
      <c r="B592" s="0" t="s">
        <v>116</v>
      </c>
      <c r="C592" s="0" t="n">
        <v>13</v>
      </c>
      <c r="D592" s="0" t="n">
        <v>38</v>
      </c>
      <c r="E592" s="0" t="n">
        <v>145</v>
      </c>
      <c r="F592" s="0" t="n">
        <v>324</v>
      </c>
      <c r="G592" s="0" t="n">
        <v>125</v>
      </c>
      <c r="H592" s="0" t="n">
        <v>199</v>
      </c>
      <c r="I592" s="0" t="n">
        <v>1</v>
      </c>
      <c r="J592" s="0" t="n">
        <v>1</v>
      </c>
      <c r="K592" s="0" t="n">
        <v>0</v>
      </c>
      <c r="L592" s="0" t="n">
        <v>1</v>
      </c>
      <c r="M592" s="0" t="n">
        <f aca="false">VLOOKUP(A592,'Team Data'!$A$1:$P$133,2,FALSE())</f>
        <v>3</v>
      </c>
      <c r="N592" s="0" t="n">
        <f aca="false">VLOOKUP(A592,'Team Data'!$A$1:$P$133,3,FALSE())</f>
        <v>9</v>
      </c>
      <c r="O592" s="0" t="n">
        <f aca="false">VLOOKUP(B592,'Team Data'!$A$1:$P$133,2,FALSE())</f>
        <v>9</v>
      </c>
      <c r="P592" s="0" t="n">
        <f aca="false">VLOOKUP(B592,'Team Data'!$A$1:$P$133,3,FALSE())</f>
        <v>4</v>
      </c>
      <c r="Q592" s="0" t="n">
        <f aca="false">VLOOKUP(A592,'Team Data'!$A$1:$P$133,4,FALSE())</f>
        <v>100</v>
      </c>
      <c r="R592" s="0" t="n">
        <f aca="false">VLOOKUP(A592,'Team Data'!$A$1:$P$133,5,FALSE())</f>
        <v>163</v>
      </c>
      <c r="S592" s="0" t="n">
        <f aca="false">VLOOKUP(B592,'Team Data'!$A$1:$P$133,4,FALSE())</f>
        <v>91</v>
      </c>
      <c r="T592" s="0" t="n">
        <f aca="false">VLOOKUP(B592,'Team Data'!$A$1:$P$133,5,FALSE())</f>
        <v>182</v>
      </c>
      <c r="U592" s="0" t="n">
        <f aca="false">IF(K592=1,(MIN(35,(C592-D592)))*(O592/(O592+P592))*(S592/(S592+T592)),(MAX(-35,(C592-D592)))*(IF(P592=0,0.1,(P592/(O592+P592))))*(T592/(S592+T592)))</f>
        <v>-5.12820512820513</v>
      </c>
      <c r="V592" s="0" t="n">
        <f aca="false">IF(L592=1,(MIN(35,(D592-C592)))*(M592/(M592+N592))*(Q592/(Q592+R592)),(MAX(-35,(D592-C592)))*(IF(N592=0,0.1,(N592/(M592+N592))))*(R592/(R592+Q592)))</f>
        <v>2.37642585551331</v>
      </c>
    </row>
    <row r="593" customFormat="false" ht="15" hidden="false" customHeight="false" outlineLevel="0" collapsed="false">
      <c r="A593" s="0" t="s">
        <v>124</v>
      </c>
      <c r="B593" s="0" t="s">
        <v>131</v>
      </c>
      <c r="C593" s="0" t="n">
        <v>21</v>
      </c>
      <c r="D593" s="0" t="n">
        <v>17</v>
      </c>
      <c r="E593" s="0" t="n">
        <v>169</v>
      </c>
      <c r="F593" s="0" t="n">
        <v>42</v>
      </c>
      <c r="G593" s="0" t="n">
        <v>175</v>
      </c>
      <c r="H593" s="0" t="n">
        <v>222</v>
      </c>
      <c r="I593" s="0" t="n">
        <v>1</v>
      </c>
      <c r="J593" s="0" t="n">
        <v>2</v>
      </c>
      <c r="K593" s="0" t="n">
        <v>1</v>
      </c>
      <c r="L593" s="0" t="n">
        <v>0</v>
      </c>
      <c r="M593" s="0" t="n">
        <f aca="false">VLOOKUP(A593,'Team Data'!$A$1:$P$133,2,FALSE())</f>
        <v>10</v>
      </c>
      <c r="N593" s="0" t="n">
        <f aca="false">VLOOKUP(A593,'Team Data'!$A$1:$P$133,3,FALSE())</f>
        <v>4</v>
      </c>
      <c r="O593" s="0" t="n">
        <f aca="false">VLOOKUP(B593,'Team Data'!$A$1:$P$133,2,FALSE())</f>
        <v>7</v>
      </c>
      <c r="P593" s="0" t="n">
        <f aca="false">VLOOKUP(B593,'Team Data'!$A$1:$P$133,3,FALSE())</f>
        <v>6</v>
      </c>
      <c r="Q593" s="0" t="n">
        <f aca="false">VLOOKUP(A593,'Team Data'!$A$1:$P$133,4,FALSE())</f>
        <v>102</v>
      </c>
      <c r="R593" s="0" t="n">
        <f aca="false">VLOOKUP(A593,'Team Data'!$A$1:$P$133,5,FALSE())</f>
        <v>185</v>
      </c>
      <c r="S593" s="0" t="n">
        <f aca="false">VLOOKUP(B593,'Team Data'!$A$1:$P$133,4,FALSE())</f>
        <v>95</v>
      </c>
      <c r="T593" s="0" t="n">
        <f aca="false">VLOOKUP(B593,'Team Data'!$A$1:$P$133,5,FALSE())</f>
        <v>179</v>
      </c>
      <c r="U593" s="0" t="n">
        <f aca="false">IF(K593=1,(MIN(35,(C593-D593)))*(O593/(O593+P593))*(S593/(S593+T593)),(MAX(-35,(C593-D593)))*(IF(P593=0,0.1,(P593/(O593+P593))))*(T593/(S593+T593)))</f>
        <v>0.746771476698484</v>
      </c>
      <c r="V593" s="0" t="n">
        <f aca="false">IF(L593=1,(MIN(35,(D593-C593)))*(M593/(M593+N593))*(Q593/(Q593+R593)),(MAX(-35,(D593-C593)))*(IF(N593=0,0.1,(N593/(M593+N593))))*(R593/(R593+Q593)))</f>
        <v>-0.736684917869587</v>
      </c>
    </row>
    <row r="594" customFormat="false" ht="15" hidden="false" customHeight="false" outlineLevel="0" collapsed="false">
      <c r="A594" s="0" t="s">
        <v>84</v>
      </c>
      <c r="B594" s="0" t="s">
        <v>48</v>
      </c>
      <c r="C594" s="0" t="n">
        <v>27</v>
      </c>
      <c r="D594" s="0" t="n">
        <v>13</v>
      </c>
      <c r="E594" s="0" t="n">
        <v>182</v>
      </c>
      <c r="F594" s="0" t="n">
        <v>66</v>
      </c>
      <c r="G594" s="0" t="n">
        <v>150</v>
      </c>
      <c r="H594" s="0" t="n">
        <v>308</v>
      </c>
      <c r="I594" s="0" t="n">
        <v>1</v>
      </c>
      <c r="J594" s="0" t="n">
        <v>3</v>
      </c>
      <c r="K594" s="0" t="n">
        <v>1</v>
      </c>
      <c r="L594" s="0" t="n">
        <v>0</v>
      </c>
      <c r="M594" s="0" t="n">
        <f aca="false">VLOOKUP(A594,'Team Data'!$A$1:$P$133,2,FALSE())</f>
        <v>6</v>
      </c>
      <c r="N594" s="0" t="n">
        <f aca="false">VLOOKUP(A594,'Team Data'!$A$1:$P$133,3,FALSE())</f>
        <v>7</v>
      </c>
      <c r="O594" s="0" t="n">
        <f aca="false">VLOOKUP(B594,'Team Data'!$A$1:$P$133,2,FALSE())</f>
        <v>4</v>
      </c>
      <c r="P594" s="0" t="n">
        <f aca="false">VLOOKUP(B594,'Team Data'!$A$1:$P$133,3,FALSE())</f>
        <v>8</v>
      </c>
      <c r="Q594" s="0" t="n">
        <f aca="false">VLOOKUP(A594,'Team Data'!$A$1:$P$133,4,FALSE())</f>
        <v>91</v>
      </c>
      <c r="R594" s="0" t="n">
        <f aca="false">VLOOKUP(A594,'Team Data'!$A$1:$P$133,5,FALSE())</f>
        <v>76</v>
      </c>
      <c r="S594" s="0" t="n">
        <f aca="false">VLOOKUP(B594,'Team Data'!$A$1:$P$133,4,FALSE())</f>
        <v>95</v>
      </c>
      <c r="T594" s="0" t="n">
        <f aca="false">VLOOKUP(B594,'Team Data'!$A$1:$P$133,5,FALSE())</f>
        <v>171</v>
      </c>
      <c r="U594" s="0" t="n">
        <f aca="false">IF(K594=1,(MIN(35,(C594-D594)))*(O594/(O594+P594))*(S594/(S594+T594)),(MAX(-35,(C594-D594)))*(IF(P594=0,0.1,(P594/(O594+P594))))*(T594/(S594+T594)))</f>
        <v>1.66666666666667</v>
      </c>
      <c r="V594" s="0" t="n">
        <f aca="false">IF(L594=1,(MIN(35,(D594-C594)))*(M594/(M594+N594))*(Q594/(Q594+R594)),(MAX(-35,(D594-C594)))*(IF(N594=0,0.1,(N594/(M594+N594))))*(R594/(R594+Q594)))</f>
        <v>-3.43067710732381</v>
      </c>
    </row>
    <row r="595" customFormat="false" ht="15" hidden="false" customHeight="false" outlineLevel="0" collapsed="false">
      <c r="A595" s="0" t="s">
        <v>18</v>
      </c>
      <c r="B595" s="0" t="s">
        <v>109</v>
      </c>
      <c r="C595" s="0" t="n">
        <v>45</v>
      </c>
      <c r="D595" s="0" t="n">
        <v>17</v>
      </c>
      <c r="E595" s="0" t="n">
        <v>231</v>
      </c>
      <c r="F595" s="0" t="n">
        <v>149</v>
      </c>
      <c r="G595" s="0" t="n">
        <v>211</v>
      </c>
      <c r="H595" s="0" t="n">
        <v>159</v>
      </c>
      <c r="I595" s="0" t="n">
        <v>1</v>
      </c>
      <c r="J595" s="0" t="n">
        <v>5</v>
      </c>
      <c r="K595" s="0" t="n">
        <v>1</v>
      </c>
      <c r="L595" s="0" t="n">
        <v>0</v>
      </c>
      <c r="M595" s="0" t="n">
        <f aca="false">VLOOKUP(A595,'Team Data'!$A$1:$P$133,2,FALSE())</f>
        <v>6</v>
      </c>
      <c r="N595" s="0" t="n">
        <f aca="false">VLOOKUP(A595,'Team Data'!$A$1:$P$133,3,FALSE())</f>
        <v>7</v>
      </c>
      <c r="O595" s="0" t="n">
        <f aca="false">VLOOKUP(B595,'Team Data'!$A$1:$P$133,2,FALSE())</f>
        <v>8</v>
      </c>
      <c r="P595" s="0" t="n">
        <f aca="false">VLOOKUP(B595,'Team Data'!$A$1:$P$133,3,FALSE())</f>
        <v>5</v>
      </c>
      <c r="Q595" s="0" t="n">
        <f aca="false">VLOOKUP(A595,'Team Data'!$A$1:$P$133,4,FALSE())</f>
        <v>97</v>
      </c>
      <c r="R595" s="0" t="n">
        <f aca="false">VLOOKUP(A595,'Team Data'!$A$1:$P$133,5,FALSE())</f>
        <v>179</v>
      </c>
      <c r="S595" s="0" t="n">
        <f aca="false">VLOOKUP(B595,'Team Data'!$A$1:$P$133,4,FALSE())</f>
        <v>97</v>
      </c>
      <c r="T595" s="0" t="n">
        <f aca="false">VLOOKUP(B595,'Team Data'!$A$1:$P$133,5,FALSE())</f>
        <v>180</v>
      </c>
      <c r="U595" s="0" t="n">
        <f aca="false">IF(K595=1,(MIN(35,(C595-D595)))*(O595/(O595+P595))*(S595/(S595+T595)),(MAX(-35,(C595-D595)))*(IF(P595=0,0.1,(P595/(O595+P595))))*(T595/(S595+T595)))</f>
        <v>6.0338794779228</v>
      </c>
      <c r="V595" s="0" t="n">
        <f aca="false">IF(L595=1,(MIN(35,(D595-C595)))*(M595/(M595+N595))*(Q595/(Q595+R595)),(MAX(-35,(D595-C595)))*(IF(N595=0,0.1,(N595/(M595+N595))))*(R595/(R595+Q595)))</f>
        <v>-9.77814938684504</v>
      </c>
    </row>
    <row r="596" customFormat="false" ht="15" hidden="false" customHeight="false" outlineLevel="0" collapsed="false">
      <c r="A596" s="0" t="s">
        <v>85</v>
      </c>
      <c r="B596" s="0" t="s">
        <v>51</v>
      </c>
      <c r="C596" s="0" t="n">
        <v>0</v>
      </c>
      <c r="D596" s="0" t="n">
        <v>48</v>
      </c>
      <c r="E596" s="0" t="n">
        <v>54</v>
      </c>
      <c r="F596" s="0" t="n">
        <v>199</v>
      </c>
      <c r="G596" s="0" t="n">
        <v>163</v>
      </c>
      <c r="H596" s="0" t="n">
        <v>296</v>
      </c>
      <c r="I596" s="0" t="n">
        <v>3</v>
      </c>
      <c r="J596" s="0" t="n">
        <v>0</v>
      </c>
      <c r="K596" s="0" t="n">
        <v>0</v>
      </c>
      <c r="L596" s="0" t="n">
        <v>1</v>
      </c>
      <c r="M596" s="0" t="n">
        <f aca="false">VLOOKUP(A596,'Team Data'!$A$1:$P$133,2,FALSE())</f>
        <v>7</v>
      </c>
      <c r="N596" s="0" t="n">
        <f aca="false">VLOOKUP(A596,'Team Data'!$A$1:$P$133,3,FALSE())</f>
        <v>6</v>
      </c>
      <c r="O596" s="0" t="n">
        <f aca="false">VLOOKUP(B596,'Team Data'!$A$1:$P$133,2,FALSE())</f>
        <v>10</v>
      </c>
      <c r="P596" s="0" t="n">
        <f aca="false">VLOOKUP(B596,'Team Data'!$A$1:$P$133,3,FALSE())</f>
        <v>4</v>
      </c>
      <c r="Q596" s="0" t="n">
        <f aca="false">VLOOKUP(A596,'Team Data'!$A$1:$P$133,4,FALSE())</f>
        <v>88</v>
      </c>
      <c r="R596" s="0" t="n">
        <f aca="false">VLOOKUP(A596,'Team Data'!$A$1:$P$133,5,FALSE())</f>
        <v>187</v>
      </c>
      <c r="S596" s="0" t="n">
        <f aca="false">VLOOKUP(B596,'Team Data'!$A$1:$P$133,4,FALSE())</f>
        <v>113</v>
      </c>
      <c r="T596" s="0" t="n">
        <f aca="false">VLOOKUP(B596,'Team Data'!$A$1:$P$133,5,FALSE())</f>
        <v>179</v>
      </c>
      <c r="U596" s="0" t="n">
        <f aca="false">IF(K596=1,(MIN(35,(C596-D596)))*(O596/(O596+P596))*(S596/(S596+T596)),(MAX(-35,(C596-D596)))*(IF(P596=0,0.1,(P596/(O596+P596))))*(T596/(S596+T596)))</f>
        <v>-6.13013698630137</v>
      </c>
      <c r="V596" s="0" t="n">
        <f aca="false">IF(L596=1,(MIN(35,(D596-C596)))*(M596/(M596+N596))*(Q596/(Q596+R596)),(MAX(-35,(D596-C596)))*(IF(N596=0,0.1,(N596/(M596+N596))))*(R596/(R596+Q596)))</f>
        <v>6.03076923076923</v>
      </c>
    </row>
    <row r="597" customFormat="false" ht="15" hidden="false" customHeight="false" outlineLevel="0" collapsed="false">
      <c r="A597" s="0" t="s">
        <v>103</v>
      </c>
      <c r="B597" s="0" t="s">
        <v>132</v>
      </c>
      <c r="C597" s="0" t="n">
        <v>41</v>
      </c>
      <c r="D597" s="0" t="n">
        <v>31</v>
      </c>
      <c r="E597" s="0" t="n">
        <v>153</v>
      </c>
      <c r="F597" s="0" t="n">
        <v>155</v>
      </c>
      <c r="G597" s="0" t="n">
        <v>341</v>
      </c>
      <c r="H597" s="0" t="n">
        <v>275</v>
      </c>
      <c r="I597" s="0" t="n">
        <v>2</v>
      </c>
      <c r="J597" s="0" t="n">
        <v>2</v>
      </c>
      <c r="K597" s="0" t="n">
        <v>1</v>
      </c>
      <c r="L597" s="0" t="n">
        <v>0</v>
      </c>
      <c r="M597" s="0" t="n">
        <f aca="false">VLOOKUP(A597,'Team Data'!$A$1:$P$133,2,FALSE())</f>
        <v>13</v>
      </c>
      <c r="N597" s="0" t="n">
        <f aca="false">VLOOKUP(A597,'Team Data'!$A$1:$P$133,3,FALSE())</f>
        <v>2</v>
      </c>
      <c r="O597" s="0" t="n">
        <f aca="false">VLOOKUP(B597,'Team Data'!$A$1:$P$133,2,FALSE())</f>
        <v>5</v>
      </c>
      <c r="P597" s="0" t="n">
        <f aca="false">VLOOKUP(B597,'Team Data'!$A$1:$P$133,3,FALSE())</f>
        <v>7</v>
      </c>
      <c r="Q597" s="0" t="n">
        <f aca="false">VLOOKUP(A597,'Team Data'!$A$1:$P$133,4,FALSE())</f>
        <v>114</v>
      </c>
      <c r="R597" s="0" t="n">
        <f aca="false">VLOOKUP(A597,'Team Data'!$A$1:$P$133,5,FALSE())</f>
        <v>190</v>
      </c>
      <c r="S597" s="0" t="n">
        <f aca="false">VLOOKUP(B597,'Team Data'!$A$1:$P$133,4,FALSE())</f>
        <v>88</v>
      </c>
      <c r="T597" s="0" t="n">
        <f aca="false">VLOOKUP(B597,'Team Data'!$A$1:$P$133,5,FALSE())</f>
        <v>175</v>
      </c>
      <c r="U597" s="0" t="n">
        <f aca="false">IF(K597=1,(MIN(35,(C597-D597)))*(O597/(O597+P597))*(S597/(S597+T597)),(MAX(-35,(C597-D597)))*(IF(P597=0,0.1,(P597/(O597+P597))))*(T597/(S597+T597)))</f>
        <v>1.39416983523447</v>
      </c>
      <c r="V597" s="0" t="n">
        <f aca="false">IF(L597=1,(MIN(35,(D597-C597)))*(M597/(M597+N597))*(Q597/(Q597+R597)),(MAX(-35,(D597-C597)))*(IF(N597=0,0.1,(N597/(M597+N597))))*(R597/(R597+Q597)))</f>
        <v>-0.833333333333333</v>
      </c>
    </row>
    <row r="598" customFormat="false" ht="15" hidden="false" customHeight="false" outlineLevel="0" collapsed="false">
      <c r="A598" s="0" t="s">
        <v>81</v>
      </c>
      <c r="B598" s="0" t="s">
        <v>102</v>
      </c>
      <c r="C598" s="0" t="n">
        <v>41</v>
      </c>
      <c r="D598" s="0" t="n">
        <v>24</v>
      </c>
      <c r="E598" s="0" t="n">
        <v>246</v>
      </c>
      <c r="F598" s="0" t="n">
        <v>61</v>
      </c>
      <c r="G598" s="0" t="n">
        <v>116</v>
      </c>
      <c r="H598" s="0" t="n">
        <v>225</v>
      </c>
      <c r="I598" s="0" t="n">
        <v>1</v>
      </c>
      <c r="J598" s="0" t="n">
        <v>2</v>
      </c>
      <c r="K598" s="0" t="n">
        <v>1</v>
      </c>
      <c r="L598" s="0" t="n">
        <v>0</v>
      </c>
      <c r="M598" s="0" t="n">
        <f aca="false">VLOOKUP(A598,'Team Data'!$A$1:$P$133,2,FALSE())</f>
        <v>9</v>
      </c>
      <c r="N598" s="0" t="n">
        <f aca="false">VLOOKUP(A598,'Team Data'!$A$1:$P$133,3,FALSE())</f>
        <v>4</v>
      </c>
      <c r="O598" s="0" t="n">
        <f aca="false">VLOOKUP(B598,'Team Data'!$A$1:$P$133,2,FALSE())</f>
        <v>7</v>
      </c>
      <c r="P598" s="0" t="n">
        <f aca="false">VLOOKUP(B598,'Team Data'!$A$1:$P$133,3,FALSE())</f>
        <v>6</v>
      </c>
      <c r="Q598" s="0" t="n">
        <f aca="false">VLOOKUP(A598,'Team Data'!$A$1:$P$133,4,FALSE())</f>
        <v>93</v>
      </c>
      <c r="R598" s="0" t="n">
        <f aca="false">VLOOKUP(A598,'Team Data'!$A$1:$P$133,5,FALSE())</f>
        <v>74</v>
      </c>
      <c r="S598" s="0" t="n">
        <f aca="false">VLOOKUP(B598,'Team Data'!$A$1:$P$133,4,FALSE())</f>
        <v>100</v>
      </c>
      <c r="T598" s="0" t="n">
        <f aca="false">VLOOKUP(B598,'Team Data'!$A$1:$P$133,5,FALSE())</f>
        <v>174</v>
      </c>
      <c r="U598" s="0" t="n">
        <f aca="false">IF(K598=1,(MIN(35,(C598-D598)))*(O598/(O598+P598))*(S598/(S598+T598)),(MAX(-35,(C598-D598)))*(IF(P598=0,0.1,(P598/(O598+P598))))*(T598/(S598+T598)))</f>
        <v>3.34081976417743</v>
      </c>
      <c r="V598" s="0" t="n">
        <f aca="false">IF(L598=1,(MIN(35,(D598-C598)))*(M598/(M598+N598))*(Q598/(Q598+R598)),(MAX(-35,(D598-C598)))*(IF(N598=0,0.1,(N598/(M598+N598))))*(R598/(R598+Q598)))</f>
        <v>-2.31782588668816</v>
      </c>
    </row>
    <row r="599" customFormat="false" ht="15" hidden="false" customHeight="false" outlineLevel="0" collapsed="false">
      <c r="A599" s="0" t="s">
        <v>20</v>
      </c>
      <c r="B599" s="0" t="s">
        <v>117</v>
      </c>
      <c r="C599" s="0" t="n">
        <v>3</v>
      </c>
      <c r="D599" s="0" t="n">
        <v>13</v>
      </c>
      <c r="E599" s="0" t="n">
        <v>76</v>
      </c>
      <c r="F599" s="0" t="n">
        <v>107</v>
      </c>
      <c r="G599" s="0" t="n">
        <v>259</v>
      </c>
      <c r="H599" s="0" t="n">
        <v>173</v>
      </c>
      <c r="I599" s="0" t="n">
        <v>5</v>
      </c>
      <c r="J599" s="0" t="n">
        <v>0</v>
      </c>
      <c r="K599" s="0" t="n">
        <v>0</v>
      </c>
      <c r="L599" s="0" t="n">
        <v>1</v>
      </c>
      <c r="M599" s="0" t="n">
        <f aca="false">VLOOKUP(A599,'Team Data'!$A$1:$P$133,2,FALSE())</f>
        <v>3</v>
      </c>
      <c r="N599" s="0" t="n">
        <f aca="false">VLOOKUP(A599,'Team Data'!$A$1:$P$133,3,FALSE())</f>
        <v>9</v>
      </c>
      <c r="O599" s="0" t="n">
        <f aca="false">VLOOKUP(B599,'Team Data'!$A$1:$P$133,2,FALSE())</f>
        <v>6</v>
      </c>
      <c r="P599" s="0" t="n">
        <f aca="false">VLOOKUP(B599,'Team Data'!$A$1:$P$133,3,FALSE())</f>
        <v>7</v>
      </c>
      <c r="Q599" s="0" t="n">
        <f aca="false">VLOOKUP(A599,'Team Data'!$A$1:$P$133,4,FALSE())</f>
        <v>91</v>
      </c>
      <c r="R599" s="0" t="n">
        <f aca="false">VLOOKUP(A599,'Team Data'!$A$1:$P$133,5,FALSE())</f>
        <v>170</v>
      </c>
      <c r="S599" s="0" t="n">
        <f aca="false">VLOOKUP(B599,'Team Data'!$A$1:$P$133,4,FALSE())</f>
        <v>88</v>
      </c>
      <c r="T599" s="0" t="n">
        <f aca="false">VLOOKUP(B599,'Team Data'!$A$1:$P$133,5,FALSE())</f>
        <v>185</v>
      </c>
      <c r="U599" s="0" t="n">
        <f aca="false">IF(K599=1,(MIN(35,(C599-D599)))*(O599/(O599+P599))*(S599/(S599+T599)),(MAX(-35,(C599-D599)))*(IF(P599=0,0.1,(P599/(O599+P599))))*(T599/(S599+T599)))</f>
        <v>-3.64891518737673</v>
      </c>
      <c r="V599" s="0" t="n">
        <f aca="false">IF(L599=1,(MIN(35,(D599-C599)))*(M599/(M599+N599))*(Q599/(Q599+R599)),(MAX(-35,(D599-C599)))*(IF(N599=0,0.1,(N599/(M599+N599))))*(R599/(R599+Q599)))</f>
        <v>0.871647509578544</v>
      </c>
    </row>
    <row r="600" customFormat="false" ht="15" hidden="false" customHeight="false" outlineLevel="0" collapsed="false">
      <c r="A600" s="0" t="s">
        <v>80</v>
      </c>
      <c r="B600" s="0" t="s">
        <v>47</v>
      </c>
      <c r="C600" s="0" t="n">
        <v>13</v>
      </c>
      <c r="D600" s="0" t="n">
        <v>33</v>
      </c>
      <c r="E600" s="0" t="n">
        <v>18</v>
      </c>
      <c r="F600" s="0" t="n">
        <v>178</v>
      </c>
      <c r="G600" s="0" t="n">
        <v>159</v>
      </c>
      <c r="H600" s="0" t="n">
        <v>220</v>
      </c>
      <c r="I600" s="0" t="n">
        <v>1</v>
      </c>
      <c r="J600" s="0" t="n">
        <v>0</v>
      </c>
      <c r="K600" s="0" t="n">
        <v>0</v>
      </c>
      <c r="L600" s="0" t="n">
        <v>1</v>
      </c>
      <c r="M600" s="0" t="n">
        <f aca="false">VLOOKUP(A600,'Team Data'!$A$1:$P$133,2,FALSE())</f>
        <v>1</v>
      </c>
      <c r="N600" s="0" t="n">
        <f aca="false">VLOOKUP(A600,'Team Data'!$A$1:$P$133,3,FALSE())</f>
        <v>11</v>
      </c>
      <c r="O600" s="0" t="n">
        <f aca="false">VLOOKUP(B600,'Team Data'!$A$1:$P$133,2,FALSE())</f>
        <v>8</v>
      </c>
      <c r="P600" s="0" t="n">
        <f aca="false">VLOOKUP(B600,'Team Data'!$A$1:$P$133,3,FALSE())</f>
        <v>5</v>
      </c>
      <c r="Q600" s="0" t="n">
        <f aca="false">VLOOKUP(A600,'Team Data'!$A$1:$P$133,4,FALSE())</f>
        <v>97</v>
      </c>
      <c r="R600" s="0" t="n">
        <f aca="false">VLOOKUP(A600,'Team Data'!$A$1:$P$133,5,FALSE())</f>
        <v>166</v>
      </c>
      <c r="S600" s="0" t="n">
        <f aca="false">VLOOKUP(B600,'Team Data'!$A$1:$P$133,4,FALSE())</f>
        <v>86</v>
      </c>
      <c r="T600" s="0" t="n">
        <f aca="false">VLOOKUP(B600,'Team Data'!$A$1:$P$133,5,FALSE())</f>
        <v>187</v>
      </c>
      <c r="U600" s="0" t="n">
        <f aca="false">IF(K600=1,(MIN(35,(C600-D600)))*(O600/(O600+P600))*(S600/(S600+T600)),(MAX(-35,(C600-D600)))*(IF(P600=0,0.1,(P600/(O600+P600))))*(T600/(S600+T600)))</f>
        <v>-5.2690898844745</v>
      </c>
      <c r="V600" s="0" t="n">
        <f aca="false">IF(L600=1,(MIN(35,(D600-C600)))*(M600/(M600+N600))*(Q600/(Q600+R600)),(MAX(-35,(D600-C600)))*(IF(N600=0,0.1,(N600/(M600+N600))))*(R600/(R600+Q600)))</f>
        <v>0.614702154626109</v>
      </c>
    </row>
    <row r="601" customFormat="false" ht="15" hidden="false" customHeight="false" outlineLevel="0" collapsed="false">
      <c r="A601" s="0" t="s">
        <v>94</v>
      </c>
      <c r="B601" s="0" t="s">
        <v>68</v>
      </c>
      <c r="C601" s="0" t="n">
        <v>0</v>
      </c>
      <c r="D601" s="0" t="n">
        <v>31</v>
      </c>
      <c r="E601" s="0" t="n">
        <v>48</v>
      </c>
      <c r="F601" s="0" t="n">
        <v>253</v>
      </c>
      <c r="G601" s="0" t="n">
        <v>86</v>
      </c>
      <c r="H601" s="0" t="n">
        <v>122</v>
      </c>
      <c r="I601" s="0" t="n">
        <v>3</v>
      </c>
      <c r="J601" s="0" t="n">
        <v>0</v>
      </c>
      <c r="K601" s="0" t="n">
        <v>0</v>
      </c>
      <c r="L601" s="0" t="n">
        <v>1</v>
      </c>
      <c r="M601" s="0" t="n">
        <f aca="false">VLOOKUP(A601,'Team Data'!$A$1:$P$133,2,FALSE())</f>
        <v>4</v>
      </c>
      <c r="N601" s="0" t="n">
        <f aca="false">VLOOKUP(A601,'Team Data'!$A$1:$P$133,3,FALSE())</f>
        <v>8</v>
      </c>
      <c r="O601" s="0" t="n">
        <f aca="false">VLOOKUP(B601,'Team Data'!$A$1:$P$133,2,FALSE())</f>
        <v>9</v>
      </c>
      <c r="P601" s="0" t="n">
        <f aca="false">VLOOKUP(B601,'Team Data'!$A$1:$P$133,3,FALSE())</f>
        <v>4</v>
      </c>
      <c r="Q601" s="0" t="n">
        <f aca="false">VLOOKUP(A601,'Team Data'!$A$1:$P$133,4,FALSE())</f>
        <v>87</v>
      </c>
      <c r="R601" s="0" t="n">
        <f aca="false">VLOOKUP(A601,'Team Data'!$A$1:$P$133,5,FALSE())</f>
        <v>172</v>
      </c>
      <c r="S601" s="0" t="n">
        <f aca="false">VLOOKUP(B601,'Team Data'!$A$1:$P$133,4,FALSE())</f>
        <v>79</v>
      </c>
      <c r="T601" s="0" t="n">
        <f aca="false">VLOOKUP(B601,'Team Data'!$A$1:$P$133,5,FALSE())</f>
        <v>193</v>
      </c>
      <c r="U601" s="0" t="n">
        <f aca="false">IF(K601=1,(MIN(35,(C601-D601)))*(O601/(O601+P601))*(S601/(S601+T601)),(MAX(-35,(C601-D601)))*(IF(P601=0,0.1,(P601/(O601+P601))))*(T601/(S601+T601)))</f>
        <v>-6.76809954751131</v>
      </c>
      <c r="V601" s="0" t="n">
        <f aca="false">IF(L601=1,(MIN(35,(D601-C601)))*(M601/(M601+N601))*(Q601/(Q601+R601)),(MAX(-35,(D601-C601)))*(IF(N601=0,0.1,(N601/(M601+N601))))*(R601/(R601+Q601)))</f>
        <v>3.47104247104247</v>
      </c>
    </row>
    <row r="602" customFormat="false" ht="15" hidden="false" customHeight="false" outlineLevel="0" collapsed="false">
      <c r="A602" s="0" t="s">
        <v>45</v>
      </c>
      <c r="B602" s="0" t="s">
        <v>73</v>
      </c>
      <c r="C602" s="0" t="n">
        <v>26</v>
      </c>
      <c r="D602" s="0" t="n">
        <v>9</v>
      </c>
      <c r="E602" s="0" t="n">
        <v>188</v>
      </c>
      <c r="F602" s="0" t="n">
        <v>60</v>
      </c>
      <c r="G602" s="0" t="n">
        <v>179</v>
      </c>
      <c r="H602" s="0" t="n">
        <v>188</v>
      </c>
      <c r="I602" s="0" t="n">
        <v>1</v>
      </c>
      <c r="J602" s="0" t="n">
        <v>4</v>
      </c>
      <c r="K602" s="0" t="n">
        <v>1</v>
      </c>
      <c r="L602" s="0" t="n">
        <v>0</v>
      </c>
      <c r="M602" s="0" t="n">
        <f aca="false">VLOOKUP(A602,'Team Data'!$A$1:$P$133,2,FALSE())</f>
        <v>8</v>
      </c>
      <c r="N602" s="0" t="n">
        <f aca="false">VLOOKUP(A602,'Team Data'!$A$1:$P$133,3,FALSE())</f>
        <v>5</v>
      </c>
      <c r="O602" s="0" t="n">
        <f aca="false">VLOOKUP(B602,'Team Data'!$A$1:$P$133,2,FALSE())</f>
        <v>4</v>
      </c>
      <c r="P602" s="0" t="n">
        <f aca="false">VLOOKUP(B602,'Team Data'!$A$1:$P$133,3,FALSE())</f>
        <v>8</v>
      </c>
      <c r="Q602" s="0" t="n">
        <f aca="false">VLOOKUP(A602,'Team Data'!$A$1:$P$133,4,FALSE())</f>
        <v>86</v>
      </c>
      <c r="R602" s="0" t="n">
        <f aca="false">VLOOKUP(A602,'Team Data'!$A$1:$P$133,5,FALSE())</f>
        <v>185</v>
      </c>
      <c r="S602" s="0" t="n">
        <f aca="false">VLOOKUP(B602,'Team Data'!$A$1:$P$133,4,FALSE())</f>
        <v>82</v>
      </c>
      <c r="T602" s="0" t="n">
        <f aca="false">VLOOKUP(B602,'Team Data'!$A$1:$P$133,5,FALSE())</f>
        <v>180</v>
      </c>
      <c r="U602" s="0" t="n">
        <f aca="false">IF(K602=1,(MIN(35,(C602-D602)))*(O602/(O602+P602))*(S602/(S602+T602)),(MAX(-35,(C602-D602)))*(IF(P602=0,0.1,(P602/(O602+P602))))*(T602/(S602+T602)))</f>
        <v>1.7735368956743</v>
      </c>
      <c r="V602" s="0" t="n">
        <f aca="false">IF(L602=1,(MIN(35,(D602-C602)))*(M602/(M602+N602))*(Q602/(Q602+R602)),(MAX(-35,(D602-C602)))*(IF(N602=0,0.1,(N602/(M602+N602))))*(R602/(R602+Q602)))</f>
        <v>-4.46352540448481</v>
      </c>
    </row>
    <row r="603" customFormat="false" ht="15" hidden="false" customHeight="false" outlineLevel="0" collapsed="false">
      <c r="A603" s="0" t="s">
        <v>66</v>
      </c>
      <c r="B603" s="0" t="s">
        <v>65</v>
      </c>
      <c r="C603" s="0" t="n">
        <v>7</v>
      </c>
      <c r="D603" s="0" t="n">
        <v>29</v>
      </c>
      <c r="E603" s="0" t="n">
        <v>37</v>
      </c>
      <c r="F603" s="0" t="n">
        <v>276</v>
      </c>
      <c r="G603" s="0" t="n">
        <v>215</v>
      </c>
      <c r="H603" s="0" t="n">
        <v>167</v>
      </c>
      <c r="I603" s="0" t="n">
        <v>1</v>
      </c>
      <c r="J603" s="0" t="n">
        <v>1</v>
      </c>
      <c r="K603" s="0" t="n">
        <v>0</v>
      </c>
      <c r="L603" s="0" t="n">
        <v>1</v>
      </c>
      <c r="M603" s="0" t="n">
        <f aca="false">VLOOKUP(A603,'Team Data'!$A$1:$P$133,2,FALSE())</f>
        <v>5</v>
      </c>
      <c r="N603" s="0" t="n">
        <f aca="false">VLOOKUP(A603,'Team Data'!$A$1:$P$133,3,FALSE())</f>
        <v>7</v>
      </c>
      <c r="O603" s="0" t="n">
        <f aca="false">VLOOKUP(B603,'Team Data'!$A$1:$P$133,2,FALSE())</f>
        <v>13</v>
      </c>
      <c r="P603" s="0" t="n">
        <f aca="false">VLOOKUP(B603,'Team Data'!$A$1:$P$133,3,FALSE())</f>
        <v>1</v>
      </c>
      <c r="Q603" s="0" t="n">
        <f aca="false">VLOOKUP(A603,'Team Data'!$A$1:$P$133,4,FALSE())</f>
        <v>93</v>
      </c>
      <c r="R603" s="0" t="n">
        <f aca="false">VLOOKUP(A603,'Team Data'!$A$1:$P$133,5,FALSE())</f>
        <v>60</v>
      </c>
      <c r="S603" s="0" t="n">
        <f aca="false">VLOOKUP(B603,'Team Data'!$A$1:$P$133,4,FALSE())</f>
        <v>96</v>
      </c>
      <c r="T603" s="0" t="n">
        <f aca="false">VLOOKUP(B603,'Team Data'!$A$1:$P$133,5,FALSE())</f>
        <v>84</v>
      </c>
      <c r="U603" s="0" t="n">
        <f aca="false">IF(K603=1,(MIN(35,(C603-D603)))*(O603/(O603+P603))*(S603/(S603+T603)),(MAX(-35,(C603-D603)))*(IF(P603=0,0.1,(P603/(O603+P603))))*(T603/(S603+T603)))</f>
        <v>-0.733333333333333</v>
      </c>
      <c r="V603" s="0" t="n">
        <f aca="false">IF(L603=1,(MIN(35,(D603-C603)))*(M603/(M603+N603))*(Q603/(Q603+R603)),(MAX(-35,(D603-C603)))*(IF(N603=0,0.1,(N603/(M603+N603))))*(R603/(R603+Q603)))</f>
        <v>5.5718954248366</v>
      </c>
    </row>
    <row r="604" customFormat="false" ht="15" hidden="false" customHeight="false" outlineLevel="0" collapsed="false">
      <c r="A604" s="0" t="s">
        <v>83</v>
      </c>
      <c r="B604" s="0" t="s">
        <v>90</v>
      </c>
      <c r="C604" s="0" t="n">
        <v>44</v>
      </c>
      <c r="D604" s="0" t="n">
        <v>31</v>
      </c>
      <c r="E604" s="0" t="n">
        <v>98</v>
      </c>
      <c r="F604" s="0" t="n">
        <v>111</v>
      </c>
      <c r="G604" s="0" t="n">
        <v>354</v>
      </c>
      <c r="H604" s="0" t="n">
        <v>371</v>
      </c>
      <c r="I604" s="0" t="n">
        <v>0</v>
      </c>
      <c r="J604" s="0" t="n">
        <v>4</v>
      </c>
      <c r="K604" s="0" t="n">
        <v>1</v>
      </c>
      <c r="L604" s="0" t="n">
        <v>0</v>
      </c>
      <c r="M604" s="0" t="n">
        <f aca="false">VLOOKUP(A604,'Team Data'!$A$1:$P$133,2,FALSE())</f>
        <v>11</v>
      </c>
      <c r="N604" s="0" t="n">
        <f aca="false">VLOOKUP(A604,'Team Data'!$A$1:$P$133,3,FALSE())</f>
        <v>2</v>
      </c>
      <c r="O604" s="0" t="n">
        <f aca="false">VLOOKUP(B604,'Team Data'!$A$1:$P$133,2,FALSE())</f>
        <v>11</v>
      </c>
      <c r="P604" s="0" t="n">
        <f aca="false">VLOOKUP(B604,'Team Data'!$A$1:$P$133,3,FALSE())</f>
        <v>2</v>
      </c>
      <c r="Q604" s="0" t="n">
        <f aca="false">VLOOKUP(A604,'Team Data'!$A$1:$P$133,4,FALSE())</f>
        <v>97</v>
      </c>
      <c r="R604" s="0" t="n">
        <f aca="false">VLOOKUP(A604,'Team Data'!$A$1:$P$133,5,FALSE())</f>
        <v>71</v>
      </c>
      <c r="S604" s="0" t="n">
        <f aca="false">VLOOKUP(B604,'Team Data'!$A$1:$P$133,4,FALSE())</f>
        <v>92</v>
      </c>
      <c r="T604" s="0" t="n">
        <f aca="false">VLOOKUP(B604,'Team Data'!$A$1:$P$133,5,FALSE())</f>
        <v>75</v>
      </c>
      <c r="U604" s="0" t="n">
        <f aca="false">IF(K604=1,(MIN(35,(C604-D604)))*(O604/(O604+P604))*(S604/(S604+T604)),(MAX(-35,(C604-D604)))*(IF(P604=0,0.1,(P604/(O604+P604))))*(T604/(S604+T604)))</f>
        <v>6.05988023952096</v>
      </c>
      <c r="V604" s="0" t="n">
        <f aca="false">IF(L604=1,(MIN(35,(D604-C604)))*(M604/(M604+N604))*(Q604/(Q604+R604)),(MAX(-35,(D604-C604)))*(IF(N604=0,0.1,(N604/(M604+N604))))*(R604/(R604+Q604)))</f>
        <v>-0.845238095238095</v>
      </c>
    </row>
    <row r="605" customFormat="false" ht="15" hidden="false" customHeight="false" outlineLevel="0" collapsed="false">
      <c r="A605" s="0" t="s">
        <v>76</v>
      </c>
      <c r="B605" s="0" t="s">
        <v>118</v>
      </c>
      <c r="C605" s="0" t="n">
        <v>23</v>
      </c>
      <c r="D605" s="0" t="n">
        <v>13</v>
      </c>
      <c r="E605" s="0" t="n">
        <v>111</v>
      </c>
      <c r="F605" s="0" t="n">
        <v>162</v>
      </c>
      <c r="G605" s="0" t="n">
        <v>223</v>
      </c>
      <c r="H605" s="0" t="n">
        <v>97</v>
      </c>
      <c r="I605" s="0" t="n">
        <v>0</v>
      </c>
      <c r="J605" s="0" t="n">
        <v>1</v>
      </c>
      <c r="K605" s="0" t="n">
        <v>1</v>
      </c>
      <c r="L605" s="0" t="n">
        <v>0</v>
      </c>
      <c r="M605" s="0" t="n">
        <f aca="false">VLOOKUP(A605,'Team Data'!$A$1:$P$133,2,FALSE())</f>
        <v>7</v>
      </c>
      <c r="N605" s="0" t="n">
        <f aca="false">VLOOKUP(A605,'Team Data'!$A$1:$P$133,3,FALSE())</f>
        <v>6</v>
      </c>
      <c r="O605" s="0" t="n">
        <f aca="false">VLOOKUP(B605,'Team Data'!$A$1:$P$133,2,FALSE())</f>
        <v>1</v>
      </c>
      <c r="P605" s="0" t="n">
        <f aca="false">VLOOKUP(B605,'Team Data'!$A$1:$P$133,3,FALSE())</f>
        <v>11</v>
      </c>
      <c r="Q605" s="0" t="n">
        <f aca="false">VLOOKUP(A605,'Team Data'!$A$1:$P$133,4,FALSE())</f>
        <v>69</v>
      </c>
      <c r="R605" s="0" t="n">
        <f aca="false">VLOOKUP(A605,'Team Data'!$A$1:$P$133,5,FALSE())</f>
        <v>309</v>
      </c>
      <c r="S605" s="0" t="n">
        <f aca="false">VLOOKUP(B605,'Team Data'!$A$1:$P$133,4,FALSE())</f>
        <v>83</v>
      </c>
      <c r="T605" s="0" t="n">
        <f aca="false">VLOOKUP(B605,'Team Data'!$A$1:$P$133,5,FALSE())</f>
        <v>178</v>
      </c>
      <c r="U605" s="0" t="n">
        <f aca="false">IF(K605=1,(MIN(35,(C605-D605)))*(O605/(O605+P605))*(S605/(S605+T605)),(MAX(-35,(C605-D605)))*(IF(P605=0,0.1,(P605/(O605+P605))))*(T605/(S605+T605)))</f>
        <v>0.265006385696041</v>
      </c>
      <c r="V605" s="0" t="n">
        <f aca="false">IF(L605=1,(MIN(35,(D605-C605)))*(M605/(M605+N605))*(Q605/(Q605+R605)),(MAX(-35,(D605-C605)))*(IF(N605=0,0.1,(N605/(M605+N605))))*(R605/(R605+Q605)))</f>
        <v>-3.77289377289377</v>
      </c>
    </row>
    <row r="606" customFormat="false" ht="15" hidden="false" customHeight="false" outlineLevel="0" collapsed="false">
      <c r="A606" s="0" t="s">
        <v>128</v>
      </c>
      <c r="B606" s="0" t="s">
        <v>71</v>
      </c>
      <c r="C606" s="0" t="n">
        <v>21</v>
      </c>
      <c r="D606" s="0" t="n">
        <v>22</v>
      </c>
      <c r="E606" s="0" t="n">
        <v>50</v>
      </c>
      <c r="F606" s="0" t="n">
        <v>60</v>
      </c>
      <c r="G606" s="0" t="n">
        <v>243</v>
      </c>
      <c r="H606" s="0" t="n">
        <v>296</v>
      </c>
      <c r="I606" s="0" t="n">
        <v>0</v>
      </c>
      <c r="J606" s="0" t="n">
        <v>0</v>
      </c>
      <c r="K606" s="0" t="n">
        <v>0</v>
      </c>
      <c r="L606" s="0" t="n">
        <v>1</v>
      </c>
      <c r="M606" s="0" t="n">
        <f aca="false">VLOOKUP(A606,'Team Data'!$A$1:$P$133,2,FALSE())</f>
        <v>3</v>
      </c>
      <c r="N606" s="0" t="n">
        <f aca="false">VLOOKUP(A606,'Team Data'!$A$1:$P$133,3,FALSE())</f>
        <v>8</v>
      </c>
      <c r="O606" s="0" t="n">
        <f aca="false">VLOOKUP(B606,'Team Data'!$A$1:$P$133,2,FALSE())</f>
        <v>8</v>
      </c>
      <c r="P606" s="0" t="n">
        <f aca="false">VLOOKUP(B606,'Team Data'!$A$1:$P$133,3,FALSE())</f>
        <v>5</v>
      </c>
      <c r="Q606" s="0" t="n">
        <f aca="false">VLOOKUP(A606,'Team Data'!$A$1:$P$133,4,FALSE())</f>
        <v>72</v>
      </c>
      <c r="R606" s="0" t="n">
        <f aca="false">VLOOKUP(A606,'Team Data'!$A$1:$P$133,5,FALSE())</f>
        <v>174</v>
      </c>
      <c r="S606" s="0" t="n">
        <f aca="false">VLOOKUP(B606,'Team Data'!$A$1:$P$133,4,FALSE())</f>
        <v>97</v>
      </c>
      <c r="T606" s="0" t="n">
        <f aca="false">VLOOKUP(B606,'Team Data'!$A$1:$P$133,5,FALSE())</f>
        <v>178</v>
      </c>
      <c r="U606" s="0" t="n">
        <f aca="false">IF(K606=1,(MIN(35,(C606-D606)))*(O606/(O606+P606))*(S606/(S606+T606)),(MAX(-35,(C606-D606)))*(IF(P606=0,0.1,(P606/(O606+P606))))*(T606/(S606+T606)))</f>
        <v>-0.248951048951049</v>
      </c>
      <c r="V606" s="0" t="n">
        <f aca="false">IF(L606=1,(MIN(35,(D606-C606)))*(M606/(M606+N606))*(Q606/(Q606+R606)),(MAX(-35,(D606-C606)))*(IF(N606=0,0.1,(N606/(M606+N606))))*(R606/(R606+Q606)))</f>
        <v>0.0798226164079822</v>
      </c>
    </row>
    <row r="607" customFormat="false" ht="15" hidden="false" customHeight="false" outlineLevel="0" collapsed="false">
      <c r="A607" s="0" t="s">
        <v>42</v>
      </c>
      <c r="B607" s="0" t="s">
        <v>37</v>
      </c>
      <c r="C607" s="0" t="n">
        <v>16</v>
      </c>
      <c r="D607" s="0" t="n">
        <v>41</v>
      </c>
      <c r="E607" s="0" t="n">
        <v>66</v>
      </c>
      <c r="F607" s="0" t="n">
        <v>246</v>
      </c>
      <c r="G607" s="0" t="n">
        <v>198</v>
      </c>
      <c r="H607" s="0" t="n">
        <v>396</v>
      </c>
      <c r="I607" s="0" t="n">
        <v>0</v>
      </c>
      <c r="J607" s="0" t="n">
        <v>2</v>
      </c>
      <c r="K607" s="0" t="n">
        <v>0</v>
      </c>
      <c r="L607" s="0" t="n">
        <v>1</v>
      </c>
      <c r="M607" s="0" t="n">
        <f aca="false">VLOOKUP(A607,'Team Data'!$A$1:$P$133,2,FALSE())</f>
        <v>5</v>
      </c>
      <c r="N607" s="0" t="n">
        <f aca="false">VLOOKUP(A607,'Team Data'!$A$1:$P$133,3,FALSE())</f>
        <v>7</v>
      </c>
      <c r="O607" s="0" t="n">
        <f aca="false">VLOOKUP(B607,'Team Data'!$A$1:$P$133,2,FALSE())</f>
        <v>10</v>
      </c>
      <c r="P607" s="0" t="n">
        <f aca="false">VLOOKUP(B607,'Team Data'!$A$1:$P$133,3,FALSE())</f>
        <v>3</v>
      </c>
      <c r="Q607" s="0" t="n">
        <f aca="false">VLOOKUP(A607,'Team Data'!$A$1:$P$133,4,FALSE())</f>
        <v>99</v>
      </c>
      <c r="R607" s="0" t="n">
        <f aca="false">VLOOKUP(A607,'Team Data'!$A$1:$P$133,5,FALSE())</f>
        <v>163</v>
      </c>
      <c r="S607" s="0" t="n">
        <f aca="false">VLOOKUP(B607,'Team Data'!$A$1:$P$133,4,FALSE())</f>
        <v>91</v>
      </c>
      <c r="T607" s="0" t="n">
        <f aca="false">VLOOKUP(B607,'Team Data'!$A$1:$P$133,5,FALSE())</f>
        <v>184</v>
      </c>
      <c r="U607" s="0" t="n">
        <f aca="false">IF(K607=1,(MIN(35,(C607-D607)))*(O607/(O607+P607))*(S607/(S607+T607)),(MAX(-35,(C607-D607)))*(IF(P607=0,0.1,(P607/(O607+P607))))*(T607/(S607+T607)))</f>
        <v>-3.86013986013986</v>
      </c>
      <c r="V607" s="0" t="n">
        <f aca="false">IF(L607=1,(MIN(35,(D607-C607)))*(M607/(M607+N607))*(Q607/(Q607+R607)),(MAX(-35,(D607-C607)))*(IF(N607=0,0.1,(N607/(M607+N607))))*(R607/(R607+Q607)))</f>
        <v>3.93606870229008</v>
      </c>
    </row>
    <row r="608" customFormat="false" ht="15" hidden="false" customHeight="false" outlineLevel="0" collapsed="false">
      <c r="A608" s="0" t="s">
        <v>129</v>
      </c>
      <c r="B608" s="0" t="s">
        <v>59</v>
      </c>
      <c r="C608" s="0" t="n">
        <v>21</v>
      </c>
      <c r="D608" s="0" t="n">
        <v>48</v>
      </c>
      <c r="E608" s="0" t="n">
        <v>92</v>
      </c>
      <c r="F608" s="0" t="n">
        <v>211</v>
      </c>
      <c r="G608" s="0" t="n">
        <v>310</v>
      </c>
      <c r="H608" s="0" t="n">
        <v>199</v>
      </c>
      <c r="I608" s="0" t="n">
        <v>8</v>
      </c>
      <c r="J608" s="0" t="n">
        <v>1</v>
      </c>
      <c r="K608" s="0" t="n">
        <v>0</v>
      </c>
      <c r="L608" s="0" t="n">
        <v>1</v>
      </c>
      <c r="M608" s="0" t="n">
        <f aca="false">VLOOKUP(A608,'Team Data'!$A$1:$P$133,2,FALSE())</f>
        <v>8</v>
      </c>
      <c r="N608" s="0" t="n">
        <f aca="false">VLOOKUP(A608,'Team Data'!$A$1:$P$133,3,FALSE())</f>
        <v>5</v>
      </c>
      <c r="O608" s="0" t="n">
        <f aca="false">VLOOKUP(B608,'Team Data'!$A$1:$P$133,2,FALSE())</f>
        <v>8</v>
      </c>
      <c r="P608" s="0" t="n">
        <f aca="false">VLOOKUP(B608,'Team Data'!$A$1:$P$133,3,FALSE())</f>
        <v>5</v>
      </c>
      <c r="Q608" s="0" t="n">
        <f aca="false">VLOOKUP(A608,'Team Data'!$A$1:$P$133,4,FALSE())</f>
        <v>98</v>
      </c>
      <c r="R608" s="0" t="n">
        <f aca="false">VLOOKUP(A608,'Team Data'!$A$1:$P$133,5,FALSE())</f>
        <v>177</v>
      </c>
      <c r="S608" s="0" t="n">
        <f aca="false">VLOOKUP(B608,'Team Data'!$A$1:$P$133,4,FALSE())</f>
        <v>93</v>
      </c>
      <c r="T608" s="0" t="n">
        <f aca="false">VLOOKUP(B608,'Team Data'!$A$1:$P$133,5,FALSE())</f>
        <v>71</v>
      </c>
      <c r="U608" s="0" t="n">
        <f aca="false">IF(K608=1,(MIN(35,(C608-D608)))*(O608/(O608+P608))*(S608/(S608+T608)),(MAX(-35,(C608-D608)))*(IF(P608=0,0.1,(P608/(O608+P608))))*(T608/(S608+T608)))</f>
        <v>-4.49577861163227</v>
      </c>
      <c r="V608" s="0" t="n">
        <f aca="false">IF(L608=1,(MIN(35,(D608-C608)))*(M608/(M608+N608))*(Q608/(Q608+R608)),(MAX(-35,(D608-C608)))*(IF(N608=0,0.1,(N608/(M608+N608))))*(R608/(R608+Q608)))</f>
        <v>5.92111888111888</v>
      </c>
    </row>
    <row r="609" customFormat="false" ht="15" hidden="false" customHeight="false" outlineLevel="0" collapsed="false">
      <c r="A609" s="0" t="s">
        <v>91</v>
      </c>
      <c r="B609" s="0" t="s">
        <v>77</v>
      </c>
      <c r="C609" s="0" t="n">
        <v>24</v>
      </c>
      <c r="D609" s="0" t="n">
        <v>42</v>
      </c>
      <c r="E609" s="0" t="n">
        <v>131</v>
      </c>
      <c r="F609" s="0" t="n">
        <v>86</v>
      </c>
      <c r="G609" s="0" t="n">
        <v>236</v>
      </c>
      <c r="H609" s="0" t="n">
        <v>388</v>
      </c>
      <c r="I609" s="0" t="n">
        <v>1</v>
      </c>
      <c r="J609" s="0" t="n">
        <v>0</v>
      </c>
      <c r="K609" s="0" t="n">
        <v>0</v>
      </c>
      <c r="L609" s="0" t="n">
        <v>1</v>
      </c>
      <c r="M609" s="0" t="n">
        <f aca="false">VLOOKUP(A609,'Team Data'!$A$1:$P$133,2,FALSE())</f>
        <v>9</v>
      </c>
      <c r="N609" s="0" t="n">
        <f aca="false">VLOOKUP(A609,'Team Data'!$A$1:$P$133,3,FALSE())</f>
        <v>4</v>
      </c>
      <c r="O609" s="0" t="n">
        <f aca="false">VLOOKUP(B609,'Team Data'!$A$1:$P$133,2,FALSE())</f>
        <v>9</v>
      </c>
      <c r="P609" s="0" t="n">
        <f aca="false">VLOOKUP(B609,'Team Data'!$A$1:$P$133,3,FALSE())</f>
        <v>5</v>
      </c>
      <c r="Q609" s="0" t="n">
        <f aca="false">VLOOKUP(A609,'Team Data'!$A$1:$P$133,4,FALSE())</f>
        <v>87</v>
      </c>
      <c r="R609" s="0" t="n">
        <f aca="false">VLOOKUP(A609,'Team Data'!$A$1:$P$133,5,FALSE())</f>
        <v>181</v>
      </c>
      <c r="S609" s="0" t="n">
        <f aca="false">VLOOKUP(B609,'Team Data'!$A$1:$P$133,4,FALSE())</f>
        <v>98</v>
      </c>
      <c r="T609" s="0" t="n">
        <f aca="false">VLOOKUP(B609,'Team Data'!$A$1:$P$133,5,FALSE())</f>
        <v>183</v>
      </c>
      <c r="U609" s="0" t="n">
        <f aca="false">IF(K609=1,(MIN(35,(C609-D609)))*(O609/(O609+P609))*(S609/(S609+T609)),(MAX(-35,(C609-D609)))*(IF(P609=0,0.1,(P609/(O609+P609))))*(T609/(S609+T609)))</f>
        <v>-4.18657854600915</v>
      </c>
      <c r="V609" s="0" t="n">
        <f aca="false">IF(L609=1,(MIN(35,(D609-C609)))*(M609/(M609+N609))*(Q609/(Q609+R609)),(MAX(-35,(D609-C609)))*(IF(N609=0,0.1,(N609/(M609+N609))))*(R609/(R609+Q609)))</f>
        <v>4.04535017221584</v>
      </c>
    </row>
    <row r="610" customFormat="false" ht="15" hidden="false" customHeight="false" outlineLevel="0" collapsed="false">
      <c r="A610" s="0" t="s">
        <v>63</v>
      </c>
      <c r="B610" s="0" t="s">
        <v>127</v>
      </c>
      <c r="C610" s="0" t="n">
        <v>14</v>
      </c>
      <c r="D610" s="0" t="n">
        <v>12</v>
      </c>
      <c r="E610" s="0" t="n">
        <v>147</v>
      </c>
      <c r="F610" s="0" t="n">
        <v>119</v>
      </c>
      <c r="G610" s="0" t="n">
        <v>125</v>
      </c>
      <c r="H610" s="0" t="n">
        <v>208</v>
      </c>
      <c r="I610" s="0" t="n">
        <v>0</v>
      </c>
      <c r="J610" s="0" t="n">
        <v>0</v>
      </c>
      <c r="K610" s="0" t="n">
        <v>1</v>
      </c>
      <c r="L610" s="0" t="n">
        <v>0</v>
      </c>
      <c r="M610" s="0" t="n">
        <f aca="false">VLOOKUP(A610,'Team Data'!$A$1:$P$133,2,FALSE())</f>
        <v>5</v>
      </c>
      <c r="N610" s="0" t="n">
        <f aca="false">VLOOKUP(A610,'Team Data'!$A$1:$P$133,3,FALSE())</f>
        <v>7</v>
      </c>
      <c r="O610" s="0" t="n">
        <f aca="false">VLOOKUP(B610,'Team Data'!$A$1:$P$133,2,FALSE())</f>
        <v>3</v>
      </c>
      <c r="P610" s="0" t="n">
        <f aca="false">VLOOKUP(B610,'Team Data'!$A$1:$P$133,3,FALSE())</f>
        <v>7</v>
      </c>
      <c r="Q610" s="0" t="n">
        <f aca="false">VLOOKUP(A610,'Team Data'!$A$1:$P$133,4,FALSE())</f>
        <v>87</v>
      </c>
      <c r="R610" s="0" t="n">
        <f aca="false">VLOOKUP(A610,'Team Data'!$A$1:$P$133,5,FALSE())</f>
        <v>171</v>
      </c>
      <c r="S610" s="0" t="n">
        <f aca="false">VLOOKUP(B610,'Team Data'!$A$1:$P$133,4,FALSE())</f>
        <v>71</v>
      </c>
      <c r="T610" s="0" t="n">
        <f aca="false">VLOOKUP(B610,'Team Data'!$A$1:$P$133,5,FALSE())</f>
        <v>164</v>
      </c>
      <c r="U610" s="0" t="n">
        <f aca="false">IF(K610=1,(MIN(35,(C610-D610)))*(O610/(O610+P610))*(S610/(S610+T610)),(MAX(-35,(C610-D610)))*(IF(P610=0,0.1,(P610/(O610+P610))))*(T610/(S610+T610)))</f>
        <v>0.181276595744681</v>
      </c>
      <c r="V610" s="0" t="n">
        <f aca="false">IF(L610=1,(MIN(35,(D610-C610)))*(M610/(M610+N610))*(Q610/(Q610+R610)),(MAX(-35,(D610-C610)))*(IF(N610=0,0.1,(N610/(M610+N610))))*(R610/(R610+Q610)))</f>
        <v>-0.773255813953488</v>
      </c>
    </row>
    <row r="611" customFormat="false" ht="15" hidden="false" customHeight="false" outlineLevel="0" collapsed="false">
      <c r="A611" s="0" t="s">
        <v>30</v>
      </c>
      <c r="B611" s="0" t="s">
        <v>19</v>
      </c>
      <c r="C611" s="0" t="n">
        <v>10</v>
      </c>
      <c r="D611" s="0" t="n">
        <v>49</v>
      </c>
      <c r="E611" s="0" t="n">
        <v>3</v>
      </c>
      <c r="F611" s="0" t="n">
        <v>209</v>
      </c>
      <c r="G611" s="0" t="n">
        <v>167</v>
      </c>
      <c r="H611" s="0" t="n">
        <v>305</v>
      </c>
      <c r="I611" s="0" t="n">
        <v>1</v>
      </c>
      <c r="J611" s="0" t="n">
        <v>1</v>
      </c>
      <c r="K611" s="0" t="n">
        <v>0</v>
      </c>
      <c r="L611" s="0" t="n">
        <v>1</v>
      </c>
      <c r="M611" s="0" t="n">
        <f aca="false">VLOOKUP(A611,'Team Data'!$A$1:$P$133,2,FALSE())</f>
        <v>3</v>
      </c>
      <c r="N611" s="0" t="n">
        <f aca="false">VLOOKUP(A611,'Team Data'!$A$1:$P$133,3,FALSE())</f>
        <v>9</v>
      </c>
      <c r="O611" s="0" t="n">
        <f aca="false">VLOOKUP(B611,'Team Data'!$A$1:$P$133,2,FALSE())</f>
        <v>10</v>
      </c>
      <c r="P611" s="0" t="n">
        <f aca="false">VLOOKUP(B611,'Team Data'!$A$1:$P$133,3,FALSE())</f>
        <v>4</v>
      </c>
      <c r="Q611" s="0" t="n">
        <f aca="false">VLOOKUP(A611,'Team Data'!$A$1:$P$133,4,FALSE())</f>
        <v>83</v>
      </c>
      <c r="R611" s="0" t="n">
        <f aca="false">VLOOKUP(A611,'Team Data'!$A$1:$P$133,5,FALSE())</f>
        <v>179</v>
      </c>
      <c r="S611" s="0" t="n">
        <f aca="false">VLOOKUP(B611,'Team Data'!$A$1:$P$133,4,FALSE())</f>
        <v>95</v>
      </c>
      <c r="T611" s="0" t="n">
        <f aca="false">VLOOKUP(B611,'Team Data'!$A$1:$P$133,5,FALSE())</f>
        <v>193</v>
      </c>
      <c r="U611" s="0" t="n">
        <f aca="false">IF(K611=1,(MIN(35,(C611-D611)))*(O611/(O611+P611))*(S611/(S611+T611)),(MAX(-35,(C611-D611)))*(IF(P611=0,0.1,(P611/(O611+P611))))*(T611/(S611+T611)))</f>
        <v>-6.70138888888889</v>
      </c>
      <c r="V611" s="0" t="n">
        <f aca="false">IF(L611=1,(MIN(35,(D611-C611)))*(M611/(M611+N611))*(Q611/(Q611+R611)),(MAX(-35,(D611-C611)))*(IF(N611=0,0.1,(N611/(M611+N611))))*(R611/(R611+Q611)))</f>
        <v>2.7719465648855</v>
      </c>
    </row>
    <row r="612" customFormat="false" ht="15" hidden="false" customHeight="false" outlineLevel="0" collapsed="false">
      <c r="A612" s="0" t="s">
        <v>136</v>
      </c>
      <c r="B612" s="0" t="s">
        <v>43</v>
      </c>
      <c r="C612" s="0" t="n">
        <v>27</v>
      </c>
      <c r="D612" s="0" t="n">
        <v>20</v>
      </c>
      <c r="E612" s="0" t="n">
        <v>365</v>
      </c>
      <c r="F612" s="0" t="n">
        <v>145</v>
      </c>
      <c r="G612" s="0" t="n">
        <v>76</v>
      </c>
      <c r="H612" s="0" t="n">
        <v>205</v>
      </c>
      <c r="I612" s="0" t="n">
        <v>2</v>
      </c>
      <c r="J612" s="0" t="n">
        <v>0</v>
      </c>
      <c r="K612" s="0" t="n">
        <v>1</v>
      </c>
      <c r="L612" s="0" t="n">
        <v>0</v>
      </c>
      <c r="M612" s="0" t="n">
        <f aca="false">VLOOKUP(A612,'Team Data'!$A$1:$P$133,2,FALSE())</f>
        <v>7</v>
      </c>
      <c r="N612" s="0" t="n">
        <f aca="false">VLOOKUP(A612,'Team Data'!$A$1:$P$133,3,FALSE())</f>
        <v>6</v>
      </c>
      <c r="O612" s="0" t="n">
        <f aca="false">VLOOKUP(B612,'Team Data'!$A$1:$P$133,2,FALSE())</f>
        <v>3</v>
      </c>
      <c r="P612" s="0" t="n">
        <f aca="false">VLOOKUP(B612,'Team Data'!$A$1:$P$133,3,FALSE())</f>
        <v>10</v>
      </c>
      <c r="Q612" s="0" t="n">
        <f aca="false">VLOOKUP(A612,'Team Data'!$A$1:$P$133,4,FALSE())</f>
        <v>90</v>
      </c>
      <c r="R612" s="0" t="n">
        <f aca="false">VLOOKUP(A612,'Team Data'!$A$1:$P$133,5,FALSE())</f>
        <v>185</v>
      </c>
      <c r="S612" s="0" t="n">
        <f aca="false">VLOOKUP(B612,'Team Data'!$A$1:$P$133,4,FALSE())</f>
        <v>89</v>
      </c>
      <c r="T612" s="0" t="n">
        <f aca="false">VLOOKUP(B612,'Team Data'!$A$1:$P$133,5,FALSE())</f>
        <v>185</v>
      </c>
      <c r="U612" s="0" t="n">
        <f aca="false">IF(K612=1,(MIN(35,(C612-D612)))*(O612/(O612+P612))*(S612/(S612+T612)),(MAX(-35,(C612-D612)))*(IF(P612=0,0.1,(P612/(O612+P612))))*(T612/(S612+T612)))</f>
        <v>0.524705221785514</v>
      </c>
      <c r="V612" s="0" t="n">
        <f aca="false">IF(L612=1,(MIN(35,(D612-C612)))*(M612/(M612+N612))*(Q612/(Q612+R612)),(MAX(-35,(D612-C612)))*(IF(N612=0,0.1,(N612/(M612+N612))))*(R612/(R612+Q612)))</f>
        <v>-2.17342657342657</v>
      </c>
    </row>
    <row r="613" customFormat="false" ht="15" hidden="false" customHeight="false" outlineLevel="0" collapsed="false">
      <c r="A613" s="0" t="s">
        <v>96</v>
      </c>
      <c r="B613" s="0" t="s">
        <v>38</v>
      </c>
      <c r="C613" s="0" t="n">
        <v>28</v>
      </c>
      <c r="D613" s="0" t="n">
        <v>32</v>
      </c>
      <c r="E613" s="0" t="n">
        <v>158</v>
      </c>
      <c r="F613" s="0" t="n">
        <v>-3</v>
      </c>
      <c r="G613" s="0" t="n">
        <v>291</v>
      </c>
      <c r="H613" s="0" t="n">
        <v>394</v>
      </c>
      <c r="I613" s="0" t="n">
        <v>5</v>
      </c>
      <c r="J613" s="0" t="n">
        <v>2</v>
      </c>
      <c r="K613" s="0" t="n">
        <v>0</v>
      </c>
      <c r="L613" s="0" t="n">
        <v>1</v>
      </c>
      <c r="M613" s="0" t="n">
        <f aca="false">VLOOKUP(A613,'Team Data'!$A$1:$P$133,2,FALSE())</f>
        <v>7</v>
      </c>
      <c r="N613" s="0" t="n">
        <f aca="false">VLOOKUP(A613,'Team Data'!$A$1:$P$133,3,FALSE())</f>
        <v>6</v>
      </c>
      <c r="O613" s="0" t="n">
        <f aca="false">VLOOKUP(B613,'Team Data'!$A$1:$P$133,2,FALSE())</f>
        <v>10</v>
      </c>
      <c r="P613" s="0" t="n">
        <f aca="false">VLOOKUP(B613,'Team Data'!$A$1:$P$133,3,FALSE())</f>
        <v>4</v>
      </c>
      <c r="Q613" s="0" t="n">
        <f aca="false">VLOOKUP(A613,'Team Data'!$A$1:$P$133,4,FALSE())</f>
        <v>89</v>
      </c>
      <c r="R613" s="0" t="n">
        <f aca="false">VLOOKUP(A613,'Team Data'!$A$1:$P$133,5,FALSE())</f>
        <v>186</v>
      </c>
      <c r="S613" s="0" t="n">
        <f aca="false">VLOOKUP(B613,'Team Data'!$A$1:$P$133,4,FALSE())</f>
        <v>95</v>
      </c>
      <c r="T613" s="0" t="n">
        <f aca="false">VLOOKUP(B613,'Team Data'!$A$1:$P$133,5,FALSE())</f>
        <v>193</v>
      </c>
      <c r="U613" s="0" t="n">
        <f aca="false">IF(K613=1,(MIN(35,(C613-D613)))*(O613/(O613+P613))*(S613/(S613+T613)),(MAX(-35,(C613-D613)))*(IF(P613=0,0.1,(P613/(O613+P613))))*(T613/(S613+T613)))</f>
        <v>-0.765873015873016</v>
      </c>
      <c r="V613" s="0" t="n">
        <f aca="false">IF(L613=1,(MIN(35,(D613-C613)))*(M613/(M613+N613))*(Q613/(Q613+R613)),(MAX(-35,(D613-C613)))*(IF(N613=0,0.1,(N613/(M613+N613))))*(R613/(R613+Q613)))</f>
        <v>0.697062937062937</v>
      </c>
    </row>
    <row r="614" customFormat="false" ht="15" hidden="false" customHeight="false" outlineLevel="0" collapsed="false">
      <c r="A614" s="0" t="s">
        <v>74</v>
      </c>
      <c r="B614" s="0" t="s">
        <v>97</v>
      </c>
      <c r="C614" s="0" t="n">
        <v>28</v>
      </c>
      <c r="D614" s="0" t="n">
        <v>35</v>
      </c>
      <c r="E614" s="0" t="n">
        <v>64</v>
      </c>
      <c r="F614" s="0" t="n">
        <v>25</v>
      </c>
      <c r="G614" s="0" t="n">
        <v>223</v>
      </c>
      <c r="H614" s="0" t="n">
        <v>340</v>
      </c>
      <c r="I614" s="0" t="n">
        <v>1</v>
      </c>
      <c r="J614" s="0" t="n">
        <v>1</v>
      </c>
      <c r="K614" s="0" t="n">
        <v>0</v>
      </c>
      <c r="L614" s="0" t="n">
        <v>1</v>
      </c>
      <c r="M614" s="0" t="n">
        <f aca="false">VLOOKUP(A614,'Team Data'!$A$1:$P$133,2,FALSE())</f>
        <v>2</v>
      </c>
      <c r="N614" s="0" t="n">
        <f aca="false">VLOOKUP(A614,'Team Data'!$A$1:$P$133,3,FALSE())</f>
        <v>10</v>
      </c>
      <c r="O614" s="0" t="n">
        <f aca="false">VLOOKUP(B614,'Team Data'!$A$1:$P$133,2,FALSE())</f>
        <v>7</v>
      </c>
      <c r="P614" s="0" t="n">
        <f aca="false">VLOOKUP(B614,'Team Data'!$A$1:$P$133,3,FALSE())</f>
        <v>5</v>
      </c>
      <c r="Q614" s="0" t="n">
        <f aca="false">VLOOKUP(A614,'Team Data'!$A$1:$P$133,4,FALSE())</f>
        <v>82</v>
      </c>
      <c r="R614" s="0" t="n">
        <f aca="false">VLOOKUP(A614,'Team Data'!$A$1:$P$133,5,FALSE())</f>
        <v>179</v>
      </c>
      <c r="S614" s="0" t="n">
        <f aca="false">VLOOKUP(B614,'Team Data'!$A$1:$P$133,4,FALSE())</f>
        <v>70</v>
      </c>
      <c r="T614" s="0" t="n">
        <f aca="false">VLOOKUP(B614,'Team Data'!$A$1:$P$133,5,FALSE())</f>
        <v>189</v>
      </c>
      <c r="U614" s="0" t="n">
        <f aca="false">IF(K614=1,(MIN(35,(C614-D614)))*(O614/(O614+P614))*(S614/(S614+T614)),(MAX(-35,(C614-D614)))*(IF(P614=0,0.1,(P614/(O614+P614))))*(T614/(S614+T614)))</f>
        <v>-2.12837837837838</v>
      </c>
      <c r="V614" s="0" t="n">
        <f aca="false">IF(L614=1,(MIN(35,(D614-C614)))*(M614/(M614+N614))*(Q614/(Q614+R614)),(MAX(-35,(D614-C614)))*(IF(N614=0,0.1,(N614/(M614+N614))))*(R614/(R614+Q614)))</f>
        <v>0.366538952745849</v>
      </c>
    </row>
    <row r="615" customFormat="false" ht="15" hidden="false" customHeight="false" outlineLevel="0" collapsed="false">
      <c r="A615" s="0" t="s">
        <v>121</v>
      </c>
      <c r="B615" s="0" t="s">
        <v>44</v>
      </c>
      <c r="C615" s="0" t="n">
        <v>27</v>
      </c>
      <c r="D615" s="0" t="n">
        <v>42</v>
      </c>
      <c r="E615" s="0" t="n">
        <v>154</v>
      </c>
      <c r="F615" s="0" t="n">
        <v>103</v>
      </c>
      <c r="G615" s="0" t="n">
        <v>275</v>
      </c>
      <c r="H615" s="0" t="n">
        <v>387</v>
      </c>
      <c r="I615" s="0" t="n">
        <v>0</v>
      </c>
      <c r="J615" s="0" t="n">
        <v>1</v>
      </c>
      <c r="K615" s="0" t="n">
        <v>0</v>
      </c>
      <c r="L615" s="0" t="n">
        <v>1</v>
      </c>
      <c r="M615" s="0" t="n">
        <f aca="false">VLOOKUP(A615,'Team Data'!$A$1:$P$133,2,FALSE())</f>
        <v>1</v>
      </c>
      <c r="N615" s="0" t="n">
        <f aca="false">VLOOKUP(A615,'Team Data'!$A$1:$P$133,3,FALSE())</f>
        <v>11</v>
      </c>
      <c r="O615" s="0" t="n">
        <f aca="false">VLOOKUP(B615,'Team Data'!$A$1:$P$133,2,FALSE())</f>
        <v>8</v>
      </c>
      <c r="P615" s="0" t="n">
        <f aca="false">VLOOKUP(B615,'Team Data'!$A$1:$P$133,3,FALSE())</f>
        <v>5</v>
      </c>
      <c r="Q615" s="0" t="n">
        <f aca="false">VLOOKUP(A615,'Team Data'!$A$1:$P$133,4,FALSE())</f>
        <v>91</v>
      </c>
      <c r="R615" s="0" t="n">
        <f aca="false">VLOOKUP(A615,'Team Data'!$A$1:$P$133,5,FALSE())</f>
        <v>172</v>
      </c>
      <c r="S615" s="0" t="n">
        <f aca="false">VLOOKUP(B615,'Team Data'!$A$1:$P$133,4,FALSE())</f>
        <v>83</v>
      </c>
      <c r="T615" s="0" t="n">
        <f aca="false">VLOOKUP(B615,'Team Data'!$A$1:$P$133,5,FALSE())</f>
        <v>84</v>
      </c>
      <c r="U615" s="0" t="n">
        <f aca="false">IF(K615=1,(MIN(35,(C615-D615)))*(O615/(O615+P615))*(S615/(S615+T615)),(MAX(-35,(C615-D615)))*(IF(P615=0,0.1,(P615/(O615+P615))))*(T615/(S615+T615)))</f>
        <v>-2.90188853063105</v>
      </c>
      <c r="V615" s="0" t="n">
        <f aca="false">IF(L615=1,(MIN(35,(D615-C615)))*(M615/(M615+N615))*(Q615/(Q615+R615)),(MAX(-35,(D615-C615)))*(IF(N615=0,0.1,(N615/(M615+N615))))*(R615/(R615+Q615)))</f>
        <v>0.432509505703422</v>
      </c>
    </row>
    <row r="616" customFormat="false" ht="15" hidden="false" customHeight="false" outlineLevel="0" collapsed="false">
      <c r="A616" s="0" t="s">
        <v>26</v>
      </c>
      <c r="B616" s="0" t="s">
        <v>115</v>
      </c>
      <c r="C616" s="0" t="n">
        <v>21</v>
      </c>
      <c r="D616" s="0" t="n">
        <v>25</v>
      </c>
      <c r="E616" s="0" t="n">
        <v>35</v>
      </c>
      <c r="F616" s="0" t="n">
        <v>258</v>
      </c>
      <c r="G616" s="0" t="n">
        <v>298</v>
      </c>
      <c r="H616" s="0" t="n">
        <v>247</v>
      </c>
      <c r="I616" s="0" t="n">
        <v>0</v>
      </c>
      <c r="J616" s="0" t="n">
        <v>2</v>
      </c>
      <c r="K616" s="0" t="n">
        <v>0</v>
      </c>
      <c r="L616" s="0" t="n">
        <v>1</v>
      </c>
      <c r="M616" s="0" t="n">
        <f aca="false">VLOOKUP(A616,'Team Data'!$A$1:$P$133,2,FALSE())</f>
        <v>9</v>
      </c>
      <c r="N616" s="0" t="n">
        <f aca="false">VLOOKUP(A616,'Team Data'!$A$1:$P$133,3,FALSE())</f>
        <v>4</v>
      </c>
      <c r="O616" s="0" t="n">
        <f aca="false">VLOOKUP(B616,'Team Data'!$A$1:$P$133,2,FALSE())</f>
        <v>9</v>
      </c>
      <c r="P616" s="0" t="n">
        <f aca="false">VLOOKUP(B616,'Team Data'!$A$1:$P$133,3,FALSE())</f>
        <v>5</v>
      </c>
      <c r="Q616" s="0" t="n">
        <f aca="false">VLOOKUP(A616,'Team Data'!$A$1:$P$133,4,FALSE())</f>
        <v>82</v>
      </c>
      <c r="R616" s="0" t="n">
        <f aca="false">VLOOKUP(A616,'Team Data'!$A$1:$P$133,5,FALSE())</f>
        <v>191</v>
      </c>
      <c r="S616" s="0" t="n">
        <f aca="false">VLOOKUP(B616,'Team Data'!$A$1:$P$133,4,FALSE())</f>
        <v>98</v>
      </c>
      <c r="T616" s="0" t="n">
        <f aca="false">VLOOKUP(B616,'Team Data'!$A$1:$P$133,5,FALSE())</f>
        <v>188</v>
      </c>
      <c r="U616" s="0" t="n">
        <f aca="false">IF(K616=1,(MIN(35,(C616-D616)))*(O616/(O616+P616))*(S616/(S616+T616)),(MAX(-35,(C616-D616)))*(IF(P616=0,0.1,(P616/(O616+P616))))*(T616/(S616+T616)))</f>
        <v>-0.939060939060939</v>
      </c>
      <c r="V616" s="0" t="n">
        <f aca="false">IF(L616=1,(MIN(35,(D616-C616)))*(M616/(M616+N616))*(Q616/(Q616+R616)),(MAX(-35,(D616-C616)))*(IF(N616=0,0.1,(N616/(M616+N616))))*(R616/(R616+Q616)))</f>
        <v>0.83178360101437</v>
      </c>
    </row>
    <row r="617" customFormat="false" ht="15" hidden="false" customHeight="false" outlineLevel="0" collapsed="false">
      <c r="A617" s="0" t="s">
        <v>32</v>
      </c>
      <c r="B617" s="0" t="s">
        <v>16</v>
      </c>
      <c r="C617" s="0" t="n">
        <v>27</v>
      </c>
      <c r="D617" s="0" t="n">
        <v>24</v>
      </c>
      <c r="E617" s="0" t="n">
        <v>227</v>
      </c>
      <c r="F617" s="0" t="n">
        <v>244</v>
      </c>
      <c r="G617" s="0" t="n">
        <v>197</v>
      </c>
      <c r="H617" s="0" t="n">
        <v>144</v>
      </c>
      <c r="I617" s="0" t="n">
        <v>0</v>
      </c>
      <c r="J617" s="0" t="n">
        <v>0</v>
      </c>
      <c r="K617" s="0" t="n">
        <v>1</v>
      </c>
      <c r="L617" s="0" t="n">
        <v>0</v>
      </c>
      <c r="M617" s="0" t="n">
        <f aca="false">VLOOKUP(A617,'Team Data'!$A$1:$P$133,2,FALSE())</f>
        <v>8</v>
      </c>
      <c r="N617" s="0" t="n">
        <f aca="false">VLOOKUP(A617,'Team Data'!$A$1:$P$133,3,FALSE())</f>
        <v>5</v>
      </c>
      <c r="O617" s="0" t="n">
        <f aca="false">VLOOKUP(B617,'Team Data'!$A$1:$P$133,2,FALSE())</f>
        <v>8</v>
      </c>
      <c r="P617" s="0" t="n">
        <f aca="false">VLOOKUP(B617,'Team Data'!$A$1:$P$133,3,FALSE())</f>
        <v>5</v>
      </c>
      <c r="Q617" s="0" t="n">
        <f aca="false">VLOOKUP(A617,'Team Data'!$A$1:$P$133,4,FALSE())</f>
        <v>89</v>
      </c>
      <c r="R617" s="0" t="n">
        <f aca="false">VLOOKUP(A617,'Team Data'!$A$1:$P$133,5,FALSE())</f>
        <v>185</v>
      </c>
      <c r="S617" s="0" t="n">
        <f aca="false">VLOOKUP(B617,'Team Data'!$A$1:$P$133,4,FALSE())</f>
        <v>90</v>
      </c>
      <c r="T617" s="0" t="n">
        <f aca="false">VLOOKUP(B617,'Team Data'!$A$1:$P$133,5,FALSE())</f>
        <v>185</v>
      </c>
      <c r="U617" s="0" t="n">
        <f aca="false">IF(K617=1,(MIN(35,(C617-D617)))*(O617/(O617+P617))*(S617/(S617+T617)),(MAX(-35,(C617-D617)))*(IF(P617=0,0.1,(P617/(O617+P617))))*(T617/(S617+T617)))</f>
        <v>0.604195804195804</v>
      </c>
      <c r="V617" s="0" t="n">
        <f aca="false">IF(L617=1,(MIN(35,(D617-C617)))*(M617/(M617+N617))*(Q617/(Q617+R617)),(MAX(-35,(D617-C617)))*(IF(N617=0,0.1,(N617/(M617+N617))))*(R617/(R617+Q617)))</f>
        <v>-0.779056709713644</v>
      </c>
    </row>
    <row r="618" customFormat="false" ht="15" hidden="false" customHeight="false" outlineLevel="0" collapsed="false">
      <c r="A618" s="0" t="s">
        <v>104</v>
      </c>
      <c r="B618" s="0" t="s">
        <v>72</v>
      </c>
      <c r="C618" s="0" t="n">
        <v>20</v>
      </c>
      <c r="D618" s="0" t="n">
        <v>27</v>
      </c>
      <c r="E618" s="0" t="n">
        <v>20</v>
      </c>
      <c r="F618" s="0" t="n">
        <v>224</v>
      </c>
      <c r="G618" s="0" t="n">
        <v>268</v>
      </c>
      <c r="H618" s="0" t="n">
        <v>0</v>
      </c>
      <c r="I618" s="0" t="n">
        <v>3</v>
      </c>
      <c r="J618" s="0" t="n">
        <v>1</v>
      </c>
      <c r="K618" s="0" t="n">
        <v>0</v>
      </c>
      <c r="L618" s="0" t="n">
        <v>1</v>
      </c>
      <c r="M618" s="0" t="n">
        <f aca="false">VLOOKUP(A618,'Team Data'!$A$1:$P$133,2,FALSE())</f>
        <v>3</v>
      </c>
      <c r="N618" s="0" t="n">
        <f aca="false">VLOOKUP(A618,'Team Data'!$A$1:$P$133,3,FALSE())</f>
        <v>9</v>
      </c>
      <c r="O618" s="0" t="n">
        <f aca="false">VLOOKUP(B618,'Team Data'!$A$1:$P$133,2,FALSE())</f>
        <v>4</v>
      </c>
      <c r="P618" s="0" t="n">
        <f aca="false">VLOOKUP(B618,'Team Data'!$A$1:$P$133,3,FALSE())</f>
        <v>8</v>
      </c>
      <c r="Q618" s="0" t="n">
        <f aca="false">VLOOKUP(A618,'Team Data'!$A$1:$P$133,4,FALSE())</f>
        <v>73</v>
      </c>
      <c r="R618" s="0" t="n">
        <f aca="false">VLOOKUP(A618,'Team Data'!$A$1:$P$133,5,FALSE())</f>
        <v>186</v>
      </c>
      <c r="S618" s="0" t="n">
        <f aca="false">VLOOKUP(B618,'Team Data'!$A$1:$P$133,4,FALSE())</f>
        <v>89</v>
      </c>
      <c r="T618" s="0" t="n">
        <f aca="false">VLOOKUP(B618,'Team Data'!$A$1:$P$133,5,FALSE())</f>
        <v>172</v>
      </c>
      <c r="U618" s="0" t="n">
        <f aca="false">IF(K618=1,(MIN(35,(C618-D618)))*(O618/(O618+P618))*(S618/(S618+T618)),(MAX(-35,(C618-D618)))*(IF(P618=0,0.1,(P618/(O618+P618))))*(T618/(S618+T618)))</f>
        <v>-3.07535121328225</v>
      </c>
      <c r="V618" s="0" t="n">
        <f aca="false">IF(L618=1,(MIN(35,(D618-C618)))*(M618/(M618+N618))*(Q618/(Q618+R618)),(MAX(-35,(D618-C618)))*(IF(N618=0,0.1,(N618/(M618+N618))))*(R618/(R618+Q618)))</f>
        <v>0.493243243243243</v>
      </c>
    </row>
    <row r="619" customFormat="false" ht="15" hidden="false" customHeight="false" outlineLevel="0" collapsed="false">
      <c r="A619" s="0" t="s">
        <v>95</v>
      </c>
      <c r="B619" s="0" t="s">
        <v>113</v>
      </c>
      <c r="C619" s="0" t="n">
        <v>45</v>
      </c>
      <c r="D619" s="0" t="n">
        <v>34</v>
      </c>
      <c r="E619" s="0" t="n">
        <v>158</v>
      </c>
      <c r="F619" s="0" t="n">
        <v>182</v>
      </c>
      <c r="G619" s="0" t="n">
        <v>310</v>
      </c>
      <c r="H619" s="0" t="n">
        <v>216</v>
      </c>
      <c r="I619" s="0" t="n">
        <v>1</v>
      </c>
      <c r="J619" s="0" t="n">
        <v>2</v>
      </c>
      <c r="K619" s="0" t="n">
        <v>1</v>
      </c>
      <c r="L619" s="0" t="n">
        <v>0</v>
      </c>
      <c r="M619" s="0" t="n">
        <f aca="false">VLOOKUP(A619,'Team Data'!$A$1:$P$133,2,FALSE())</f>
        <v>7</v>
      </c>
      <c r="N619" s="0" t="n">
        <f aca="false">VLOOKUP(A619,'Team Data'!$A$1:$P$133,3,FALSE())</f>
        <v>6</v>
      </c>
      <c r="O619" s="0" t="n">
        <f aca="false">VLOOKUP(B619,'Team Data'!$A$1:$P$133,2,FALSE())</f>
        <v>5</v>
      </c>
      <c r="P619" s="0" t="n">
        <f aca="false">VLOOKUP(B619,'Team Data'!$A$1:$P$133,3,FALSE())</f>
        <v>7</v>
      </c>
      <c r="Q619" s="0" t="n">
        <f aca="false">VLOOKUP(A619,'Team Data'!$A$1:$P$133,4,FALSE())</f>
        <v>99</v>
      </c>
      <c r="R619" s="0" t="n">
        <f aca="false">VLOOKUP(A619,'Team Data'!$A$1:$P$133,5,FALSE())</f>
        <v>179</v>
      </c>
      <c r="S619" s="0" t="n">
        <f aca="false">VLOOKUP(B619,'Team Data'!$A$1:$P$133,4,FALSE())</f>
        <v>77</v>
      </c>
      <c r="T619" s="0" t="n">
        <f aca="false">VLOOKUP(B619,'Team Data'!$A$1:$P$133,5,FALSE())</f>
        <v>183</v>
      </c>
      <c r="U619" s="0" t="n">
        <f aca="false">IF(K619=1,(MIN(35,(C619-D619)))*(O619/(O619+P619))*(S619/(S619+T619)),(MAX(-35,(C619-D619)))*(IF(P619=0,0.1,(P619/(O619+P619))))*(T619/(S619+T619)))</f>
        <v>1.3573717948718</v>
      </c>
      <c r="V619" s="0" t="n">
        <f aca="false">IF(L619=1,(MIN(35,(D619-C619)))*(M619/(M619+N619))*(Q619/(Q619+R619)),(MAX(-35,(D619-C619)))*(IF(N619=0,0.1,(N619/(M619+N619))))*(R619/(R619+Q619)))</f>
        <v>-3.26895406751522</v>
      </c>
    </row>
    <row r="620" customFormat="false" ht="15" hidden="false" customHeight="false" outlineLevel="0" collapsed="false">
      <c r="A620" s="0" t="s">
        <v>110</v>
      </c>
      <c r="B620" s="0" t="s">
        <v>33</v>
      </c>
      <c r="C620" s="0" t="n">
        <v>27</v>
      </c>
      <c r="D620" s="0" t="n">
        <v>24</v>
      </c>
      <c r="E620" s="0" t="n">
        <v>136</v>
      </c>
      <c r="F620" s="0" t="n">
        <v>118</v>
      </c>
      <c r="G620" s="0" t="n">
        <v>238</v>
      </c>
      <c r="H620" s="0" t="n">
        <v>99</v>
      </c>
      <c r="I620" s="0" t="n">
        <v>2</v>
      </c>
      <c r="J620" s="0" t="n">
        <v>1</v>
      </c>
      <c r="K620" s="0" t="n">
        <v>1</v>
      </c>
      <c r="L620" s="0" t="n">
        <v>0</v>
      </c>
      <c r="M620" s="0" t="n">
        <f aca="false">VLOOKUP(A620,'Team Data'!$A$1:$P$133,2,FALSE())</f>
        <v>9</v>
      </c>
      <c r="N620" s="0" t="n">
        <f aca="false">VLOOKUP(A620,'Team Data'!$A$1:$P$133,3,FALSE())</f>
        <v>5</v>
      </c>
      <c r="O620" s="0" t="n">
        <f aca="false">VLOOKUP(B620,'Team Data'!$A$1:$P$133,2,FALSE())</f>
        <v>9</v>
      </c>
      <c r="P620" s="0" t="n">
        <f aca="false">VLOOKUP(B620,'Team Data'!$A$1:$P$133,3,FALSE())</f>
        <v>4</v>
      </c>
      <c r="Q620" s="0" t="n">
        <f aca="false">VLOOKUP(A620,'Team Data'!$A$1:$P$133,4,FALSE())</f>
        <v>89</v>
      </c>
      <c r="R620" s="0" t="n">
        <f aca="false">VLOOKUP(A620,'Team Data'!$A$1:$P$133,5,FALSE())</f>
        <v>195</v>
      </c>
      <c r="S620" s="0" t="n">
        <f aca="false">VLOOKUP(B620,'Team Data'!$A$1:$P$133,4,FALSE())</f>
        <v>65</v>
      </c>
      <c r="T620" s="0" t="n">
        <f aca="false">VLOOKUP(B620,'Team Data'!$A$1:$P$133,5,FALSE())</f>
        <v>203</v>
      </c>
      <c r="U620" s="0" t="n">
        <f aca="false">IF(K620=1,(MIN(35,(C620-D620)))*(O620/(O620+P620))*(S620/(S620+T620)),(MAX(-35,(C620-D620)))*(IF(P620=0,0.1,(P620/(O620+P620))))*(T620/(S620+T620)))</f>
        <v>0.503731343283582</v>
      </c>
      <c r="V620" s="0" t="n">
        <f aca="false">IF(L620=1,(MIN(35,(D620-C620)))*(M620/(M620+N620))*(Q620/(Q620+R620)),(MAX(-35,(D620-C620)))*(IF(N620=0,0.1,(N620/(M620+N620))))*(R620/(R620+Q620)))</f>
        <v>-0.735663983903421</v>
      </c>
    </row>
    <row r="621" customFormat="false" ht="15" hidden="false" customHeight="false" outlineLevel="0" collapsed="false">
      <c r="A621" s="0" t="s">
        <v>64</v>
      </c>
      <c r="B621" s="0" t="s">
        <v>7</v>
      </c>
      <c r="C621" s="0" t="n">
        <v>27</v>
      </c>
      <c r="D621" s="0" t="n">
        <v>9</v>
      </c>
      <c r="E621" s="0" t="n">
        <v>84</v>
      </c>
      <c r="F621" s="0" t="n">
        <v>80</v>
      </c>
      <c r="G621" s="0" t="n">
        <v>184</v>
      </c>
      <c r="H621" s="0" t="n">
        <v>316</v>
      </c>
      <c r="I621" s="0" t="n">
        <v>0</v>
      </c>
      <c r="J621" s="0" t="n">
        <v>3</v>
      </c>
      <c r="K621" s="0" t="n">
        <v>1</v>
      </c>
      <c r="L621" s="0" t="n">
        <v>0</v>
      </c>
      <c r="M621" s="0" t="n">
        <f aca="false">VLOOKUP(A621,'Team Data'!$A$1:$P$133,2,FALSE())</f>
        <v>6</v>
      </c>
      <c r="N621" s="0" t="n">
        <f aca="false">VLOOKUP(A621,'Team Data'!$A$1:$P$133,3,FALSE())</f>
        <v>7</v>
      </c>
      <c r="O621" s="0" t="n">
        <f aca="false">VLOOKUP(B621,'Team Data'!$A$1:$P$133,2,FALSE())</f>
        <v>2</v>
      </c>
      <c r="P621" s="0" t="n">
        <f aca="false">VLOOKUP(B621,'Team Data'!$A$1:$P$133,3,FALSE())</f>
        <v>10</v>
      </c>
      <c r="Q621" s="0" t="n">
        <f aca="false">VLOOKUP(A621,'Team Data'!$A$1:$P$133,4,FALSE())</f>
        <v>75</v>
      </c>
      <c r="R621" s="0" t="n">
        <f aca="false">VLOOKUP(A621,'Team Data'!$A$1:$P$133,5,FALSE())</f>
        <v>196</v>
      </c>
      <c r="S621" s="0" t="n">
        <f aca="false">VLOOKUP(B621,'Team Data'!$A$1:$P$133,4,FALSE())</f>
        <v>82</v>
      </c>
      <c r="T621" s="0" t="n">
        <f aca="false">VLOOKUP(B621,'Team Data'!$A$1:$P$133,5,FALSE())</f>
        <v>178</v>
      </c>
      <c r="U621" s="0" t="n">
        <f aca="false">IF(K621=1,(MIN(35,(C621-D621)))*(O621/(O621+P621))*(S621/(S621+T621)),(MAX(-35,(C621-D621)))*(IF(P621=0,0.1,(P621/(O621+P621))))*(T621/(S621+T621)))</f>
        <v>0.946153846153846</v>
      </c>
      <c r="V621" s="0" t="n">
        <f aca="false">IF(L621=1,(MIN(35,(D621-C621)))*(M621/(M621+N621))*(Q621/(Q621+R621)),(MAX(-35,(D621-C621)))*(IF(N621=0,0.1,(N621/(M621+N621))))*(R621/(R621+Q621)))</f>
        <v>-7.00993471473176</v>
      </c>
    </row>
    <row r="622" customFormat="false" ht="15" hidden="false" customHeight="false" outlineLevel="0" collapsed="false">
      <c r="A622" s="0" t="s">
        <v>56</v>
      </c>
      <c r="B622" s="0" t="s">
        <v>100</v>
      </c>
      <c r="C622" s="0" t="n">
        <v>24</v>
      </c>
      <c r="D622" s="0" t="n">
        <v>39</v>
      </c>
      <c r="E622" s="0" t="n">
        <v>103</v>
      </c>
      <c r="F622" s="0" t="n">
        <v>150</v>
      </c>
      <c r="G622" s="0" t="n">
        <v>336</v>
      </c>
      <c r="H622" s="0" t="n">
        <v>189</v>
      </c>
      <c r="I622" s="0" t="n">
        <v>4</v>
      </c>
      <c r="J622" s="0" t="n">
        <v>2</v>
      </c>
      <c r="K622" s="0" t="n">
        <v>0</v>
      </c>
      <c r="L622" s="0" t="n">
        <v>1</v>
      </c>
      <c r="M622" s="0" t="n">
        <f aca="false">VLOOKUP(A622,'Team Data'!$A$1:$P$133,2,FALSE())</f>
        <v>6</v>
      </c>
      <c r="N622" s="0" t="n">
        <f aca="false">VLOOKUP(A622,'Team Data'!$A$1:$P$133,3,FALSE())</f>
        <v>7</v>
      </c>
      <c r="O622" s="0" t="n">
        <f aca="false">VLOOKUP(B622,'Team Data'!$A$1:$P$133,2,FALSE())</f>
        <v>7</v>
      </c>
      <c r="P622" s="0" t="n">
        <f aca="false">VLOOKUP(B622,'Team Data'!$A$1:$P$133,3,FALSE())</f>
        <v>6</v>
      </c>
      <c r="Q622" s="0" t="n">
        <f aca="false">VLOOKUP(A622,'Team Data'!$A$1:$P$133,4,FALSE())</f>
        <v>95</v>
      </c>
      <c r="R622" s="0" t="n">
        <f aca="false">VLOOKUP(A622,'Team Data'!$A$1:$P$133,5,FALSE())</f>
        <v>179</v>
      </c>
      <c r="S622" s="0" t="n">
        <f aca="false">VLOOKUP(B622,'Team Data'!$A$1:$P$133,4,FALSE())</f>
        <v>90</v>
      </c>
      <c r="T622" s="0" t="n">
        <f aca="false">VLOOKUP(B622,'Team Data'!$A$1:$P$133,5,FALSE())</f>
        <v>183</v>
      </c>
      <c r="U622" s="0" t="n">
        <f aca="false">IF(K622=1,(MIN(35,(C622-D622)))*(O622/(O622+P622))*(S622/(S622+T622)),(MAX(-35,(C622-D622)))*(IF(P622=0,0.1,(P622/(O622+P622))))*(T622/(S622+T622)))</f>
        <v>-4.6407438715131</v>
      </c>
      <c r="V622" s="0" t="n">
        <f aca="false">IF(L622=1,(MIN(35,(D622-C622)))*(M622/(M622+N622))*(Q622/(Q622+R622)),(MAX(-35,(D622-C622)))*(IF(N622=0,0.1,(N622/(M622+N622))))*(R622/(R622+Q622)))</f>
        <v>2.40033688938798</v>
      </c>
    </row>
    <row r="623" customFormat="false" ht="15" hidden="false" customHeight="false" outlineLevel="0" collapsed="false">
      <c r="A623" s="0" t="s">
        <v>198</v>
      </c>
      <c r="B623" s="0" t="s">
        <v>9</v>
      </c>
      <c r="C623" s="0" t="n">
        <v>3</v>
      </c>
      <c r="D623" s="0" t="n">
        <v>42</v>
      </c>
      <c r="E623" s="0" t="n">
        <v>78</v>
      </c>
      <c r="F623" s="0" t="n">
        <v>287</v>
      </c>
      <c r="G623" s="0" t="n">
        <v>70</v>
      </c>
      <c r="H623" s="0" t="n">
        <v>225</v>
      </c>
      <c r="I623" s="0" t="n">
        <v>1</v>
      </c>
      <c r="J623" s="0" t="n">
        <v>1</v>
      </c>
      <c r="K623" s="0" t="n">
        <v>0</v>
      </c>
      <c r="L623" s="0" t="n">
        <v>1</v>
      </c>
      <c r="M623" s="0" t="n">
        <f aca="false">VLOOKUP(A623,'Team Data'!$A$1:$P$133,2,FALSE())</f>
        <v>8</v>
      </c>
      <c r="N623" s="0" t="n">
        <f aca="false">VLOOKUP(A623,'Team Data'!$A$1:$P$133,3,FALSE())</f>
        <v>112</v>
      </c>
      <c r="O623" s="0" t="n">
        <f aca="false">VLOOKUP(B623,'Team Data'!$A$1:$P$133,2,FALSE())</f>
        <v>6</v>
      </c>
      <c r="P623" s="0" t="n">
        <f aca="false">VLOOKUP(B623,'Team Data'!$A$1:$P$133,3,FALSE())</f>
        <v>6</v>
      </c>
      <c r="Q623" s="0" t="n">
        <f aca="false">VLOOKUP(A623,'Team Data'!$A$1:$P$133,4,FALSE())</f>
        <v>805</v>
      </c>
      <c r="R623" s="0" t="n">
        <f aca="false">VLOOKUP(A623,'Team Data'!$A$1:$P$133,5,FALSE())</f>
        <v>725</v>
      </c>
      <c r="S623" s="0" t="n">
        <f aca="false">VLOOKUP(B623,'Team Data'!$A$1:$P$133,4,FALSE())</f>
        <v>85</v>
      </c>
      <c r="T623" s="0" t="n">
        <f aca="false">VLOOKUP(B623,'Team Data'!$A$1:$P$133,5,FALSE())</f>
        <v>281</v>
      </c>
      <c r="U623" s="0" t="n">
        <f aca="false">IF(K623=1,(MIN(35,(C623-D623)))*(O623/(O623+P623))*(S623/(S623+T623)),(MAX(-35,(C623-D623)))*(IF(P623=0,0.1,(P623/(O623+P623))))*(T623/(S623+T623)))</f>
        <v>-13.4357923497268</v>
      </c>
      <c r="V623" s="0" t="n">
        <f aca="false">IF(L623=1,(MIN(35,(D623-C623)))*(M623/(M623+N623))*(Q623/(Q623+R623)),(MAX(-35,(D623-C623)))*(IF(N623=0,0.1,(N623/(M623+N623))))*(R623/(R623+Q623)))</f>
        <v>1.2276688453159</v>
      </c>
    </row>
    <row r="624" customFormat="false" ht="15" hidden="false" customHeight="false" outlineLevel="0" collapsed="false">
      <c r="A624" s="0" t="s">
        <v>86</v>
      </c>
      <c r="B624" s="0" t="s">
        <v>41</v>
      </c>
      <c r="C624" s="0" t="n">
        <v>17</v>
      </c>
      <c r="D624" s="0" t="n">
        <v>31</v>
      </c>
      <c r="E624" s="0" t="n">
        <v>16</v>
      </c>
      <c r="F624" s="0" t="n">
        <v>223</v>
      </c>
      <c r="G624" s="0" t="n">
        <v>257</v>
      </c>
      <c r="H624" s="0" t="n">
        <v>195</v>
      </c>
      <c r="I624" s="0" t="n">
        <v>2</v>
      </c>
      <c r="J624" s="0" t="n">
        <v>1</v>
      </c>
      <c r="K624" s="0" t="n">
        <v>0</v>
      </c>
      <c r="L624" s="0" t="n">
        <v>1</v>
      </c>
      <c r="M624" s="0" t="n">
        <f aca="false">VLOOKUP(A624,'Team Data'!$A$1:$P$133,2,FALSE())</f>
        <v>3</v>
      </c>
      <c r="N624" s="0" t="n">
        <f aca="false">VLOOKUP(A624,'Team Data'!$A$1:$P$133,3,FALSE())</f>
        <v>9</v>
      </c>
      <c r="O624" s="0" t="n">
        <f aca="false">VLOOKUP(B624,'Team Data'!$A$1:$P$133,2,FALSE())</f>
        <v>4</v>
      </c>
      <c r="P624" s="0" t="n">
        <f aca="false">VLOOKUP(B624,'Team Data'!$A$1:$P$133,3,FALSE())</f>
        <v>8</v>
      </c>
      <c r="Q624" s="0" t="n">
        <f aca="false">VLOOKUP(A624,'Team Data'!$A$1:$P$133,4,FALSE())</f>
        <v>77</v>
      </c>
      <c r="R624" s="0" t="n">
        <f aca="false">VLOOKUP(A624,'Team Data'!$A$1:$P$133,5,FALSE())</f>
        <v>69</v>
      </c>
      <c r="S624" s="0" t="n">
        <f aca="false">VLOOKUP(B624,'Team Data'!$A$1:$P$133,4,FALSE())</f>
        <v>78</v>
      </c>
      <c r="T624" s="0" t="n">
        <f aca="false">VLOOKUP(B624,'Team Data'!$A$1:$P$133,5,FALSE())</f>
        <v>72</v>
      </c>
      <c r="U624" s="0" t="n">
        <f aca="false">IF(K624=1,(MIN(35,(C624-D624)))*(O624/(O624+P624))*(S624/(S624+T624)),(MAX(-35,(C624-D624)))*(IF(P624=0,0.1,(P624/(O624+P624))))*(T624/(S624+T624)))</f>
        <v>-4.48</v>
      </c>
      <c r="V624" s="0" t="n">
        <f aca="false">IF(L624=1,(MIN(35,(D624-C624)))*(M624/(M624+N624))*(Q624/(Q624+R624)),(MAX(-35,(D624-C624)))*(IF(N624=0,0.1,(N624/(M624+N624))))*(R624/(R624+Q624)))</f>
        <v>1.8458904109589</v>
      </c>
    </row>
    <row r="625" customFormat="false" ht="15" hidden="false" customHeight="false" outlineLevel="0" collapsed="false">
      <c r="A625" s="0" t="s">
        <v>28</v>
      </c>
      <c r="B625" s="0" t="s">
        <v>60</v>
      </c>
      <c r="C625" s="0" t="n">
        <v>24</v>
      </c>
      <c r="D625" s="0" t="n">
        <v>13</v>
      </c>
      <c r="E625" s="0" t="n">
        <v>150</v>
      </c>
      <c r="F625" s="0" t="n">
        <v>87</v>
      </c>
      <c r="G625" s="0" t="n">
        <v>121</v>
      </c>
      <c r="H625" s="0" t="n">
        <v>320</v>
      </c>
      <c r="I625" s="0" t="n">
        <v>0</v>
      </c>
      <c r="J625" s="0" t="n">
        <v>2</v>
      </c>
      <c r="K625" s="0" t="n">
        <v>1</v>
      </c>
      <c r="L625" s="0" t="n">
        <v>0</v>
      </c>
      <c r="M625" s="0" t="n">
        <f aca="false">VLOOKUP(A625,'Team Data'!$A$1:$P$133,2,FALSE())</f>
        <v>9</v>
      </c>
      <c r="N625" s="0" t="n">
        <f aca="false">VLOOKUP(A625,'Team Data'!$A$1:$P$133,3,FALSE())</f>
        <v>4</v>
      </c>
      <c r="O625" s="0" t="n">
        <f aca="false">VLOOKUP(B625,'Team Data'!$A$1:$P$133,2,FALSE())</f>
        <v>9</v>
      </c>
      <c r="P625" s="0" t="n">
        <f aca="false">VLOOKUP(B625,'Team Data'!$A$1:$P$133,3,FALSE())</f>
        <v>4</v>
      </c>
      <c r="Q625" s="0" t="n">
        <f aca="false">VLOOKUP(A625,'Team Data'!$A$1:$P$133,4,FALSE())</f>
        <v>88</v>
      </c>
      <c r="R625" s="0" t="n">
        <f aca="false">VLOOKUP(A625,'Team Data'!$A$1:$P$133,5,FALSE())</f>
        <v>182</v>
      </c>
      <c r="S625" s="0" t="n">
        <f aca="false">VLOOKUP(B625,'Team Data'!$A$1:$P$133,4,FALSE())</f>
        <v>91</v>
      </c>
      <c r="T625" s="0" t="n">
        <f aca="false">VLOOKUP(B625,'Team Data'!$A$1:$P$133,5,FALSE())</f>
        <v>288</v>
      </c>
      <c r="U625" s="0" t="n">
        <f aca="false">IF(K625=1,(MIN(35,(C625-D625)))*(O625/(O625+P625))*(S625/(S625+T625)),(MAX(-35,(C625-D625)))*(IF(P625=0,0.1,(P625/(O625+P625))))*(T625/(S625+T625)))</f>
        <v>1.82849604221636</v>
      </c>
      <c r="V625" s="0" t="n">
        <f aca="false">IF(L625=1,(MIN(35,(D625-C625)))*(M625/(M625+N625))*(Q625/(Q625+R625)),(MAX(-35,(D625-C625)))*(IF(N625=0,0.1,(N625/(M625+N625))))*(R625/(R625+Q625)))</f>
        <v>-2.28148148148148</v>
      </c>
    </row>
    <row r="626" customFormat="false" ht="15" hidden="false" customHeight="false" outlineLevel="0" collapsed="false">
      <c r="A626" s="0" t="s">
        <v>98</v>
      </c>
      <c r="B626" s="0" t="s">
        <v>13</v>
      </c>
      <c r="C626" s="0" t="n">
        <v>31</v>
      </c>
      <c r="D626" s="0" t="n">
        <v>3</v>
      </c>
      <c r="E626" s="0" t="n">
        <v>183</v>
      </c>
      <c r="F626" s="0" t="n">
        <v>-19</v>
      </c>
      <c r="G626" s="0" t="n">
        <v>179</v>
      </c>
      <c r="H626" s="0" t="n">
        <v>177</v>
      </c>
      <c r="I626" s="0" t="n">
        <v>0</v>
      </c>
      <c r="J626" s="0" t="n">
        <v>1</v>
      </c>
      <c r="K626" s="0" t="n">
        <v>1</v>
      </c>
      <c r="L626" s="0" t="n">
        <v>0</v>
      </c>
      <c r="M626" s="0" t="n">
        <f aca="false">VLOOKUP(A626,'Team Data'!$A$1:$P$133,2,FALSE())</f>
        <v>10</v>
      </c>
      <c r="N626" s="0" t="n">
        <f aca="false">VLOOKUP(A626,'Team Data'!$A$1:$P$133,3,FALSE())</f>
        <v>3</v>
      </c>
      <c r="O626" s="0" t="n">
        <f aca="false">VLOOKUP(B626,'Team Data'!$A$1:$P$133,2,FALSE())</f>
        <v>3</v>
      </c>
      <c r="P626" s="0" t="n">
        <f aca="false">VLOOKUP(B626,'Team Data'!$A$1:$P$133,3,FALSE())</f>
        <v>9</v>
      </c>
      <c r="Q626" s="0" t="n">
        <f aca="false">VLOOKUP(A626,'Team Data'!$A$1:$P$133,4,FALSE())</f>
        <v>78</v>
      </c>
      <c r="R626" s="0" t="n">
        <f aca="false">VLOOKUP(A626,'Team Data'!$A$1:$P$133,5,FALSE())</f>
        <v>194</v>
      </c>
      <c r="S626" s="0" t="n">
        <f aca="false">VLOOKUP(B626,'Team Data'!$A$1:$P$133,4,FALSE())</f>
        <v>81</v>
      </c>
      <c r="T626" s="0" t="n">
        <f aca="false">VLOOKUP(B626,'Team Data'!$A$1:$P$133,5,FALSE())</f>
        <v>177</v>
      </c>
      <c r="U626" s="0" t="n">
        <f aca="false">IF(K626=1,(MIN(35,(C626-D626)))*(O626/(O626+P626))*(S626/(S626+T626)),(MAX(-35,(C626-D626)))*(IF(P626=0,0.1,(P626/(O626+P626))))*(T626/(S626+T626)))</f>
        <v>2.19767441860465</v>
      </c>
      <c r="V626" s="0" t="n">
        <f aca="false">IF(L626=1,(MIN(35,(D626-C626)))*(M626/(M626+N626))*(Q626/(Q626+R626)),(MAX(-35,(D626-C626)))*(IF(N626=0,0.1,(N626/(M626+N626))))*(R626/(R626+Q626)))</f>
        <v>-4.60859728506787</v>
      </c>
    </row>
    <row r="627" customFormat="false" ht="15" hidden="false" customHeight="false" outlineLevel="0" collapsed="false">
      <c r="A627" s="0" t="s">
        <v>25</v>
      </c>
      <c r="B627" s="0" t="s">
        <v>93</v>
      </c>
      <c r="C627" s="0" t="n">
        <v>56</v>
      </c>
      <c r="D627" s="0" t="n">
        <v>23</v>
      </c>
      <c r="E627" s="0" t="n">
        <v>239</v>
      </c>
      <c r="F627" s="0" t="n">
        <v>152</v>
      </c>
      <c r="G627" s="0" t="n">
        <v>275</v>
      </c>
      <c r="H627" s="0" t="n">
        <v>218</v>
      </c>
      <c r="I627" s="0" t="n">
        <v>0</v>
      </c>
      <c r="J627" s="0" t="n">
        <v>1</v>
      </c>
      <c r="K627" s="0" t="n">
        <v>1</v>
      </c>
      <c r="L627" s="0" t="n">
        <v>0</v>
      </c>
      <c r="M627" s="0" t="n">
        <f aca="false">VLOOKUP(A627,'Team Data'!$A$1:$P$133,2,FALSE())</f>
        <v>3</v>
      </c>
      <c r="N627" s="0" t="n">
        <f aca="false">VLOOKUP(A627,'Team Data'!$A$1:$P$133,3,FALSE())</f>
        <v>9</v>
      </c>
      <c r="O627" s="0" t="n">
        <f aca="false">VLOOKUP(B627,'Team Data'!$A$1:$P$133,2,FALSE())</f>
        <v>5</v>
      </c>
      <c r="P627" s="0" t="n">
        <f aca="false">VLOOKUP(B627,'Team Data'!$A$1:$P$133,3,FALSE())</f>
        <v>8</v>
      </c>
      <c r="Q627" s="0" t="n">
        <f aca="false">VLOOKUP(A627,'Team Data'!$A$1:$P$133,4,FALSE())</f>
        <v>74</v>
      </c>
      <c r="R627" s="0" t="n">
        <f aca="false">VLOOKUP(A627,'Team Data'!$A$1:$P$133,5,FALSE())</f>
        <v>185</v>
      </c>
      <c r="S627" s="0" t="n">
        <f aca="false">VLOOKUP(B627,'Team Data'!$A$1:$P$133,4,FALSE())</f>
        <v>90</v>
      </c>
      <c r="T627" s="0" t="n">
        <f aca="false">VLOOKUP(B627,'Team Data'!$A$1:$P$133,5,FALSE())</f>
        <v>186</v>
      </c>
      <c r="U627" s="0" t="n">
        <f aca="false">IF(K627=1,(MIN(35,(C627-D627)))*(O627/(O627+P627))*(S627/(S627+T627)),(MAX(-35,(C627-D627)))*(IF(P627=0,0.1,(P627/(O627+P627))))*(T627/(S627+T627)))</f>
        <v>4.13879598662207</v>
      </c>
      <c r="V627" s="0" t="n">
        <f aca="false">IF(L627=1,(MIN(35,(D627-C627)))*(M627/(M627+N627))*(Q627/(Q627+R627)),(MAX(-35,(D627-C627)))*(IF(N627=0,0.1,(N627/(M627+N627))))*(R627/(R627+Q627)))</f>
        <v>-17.6785714285714</v>
      </c>
    </row>
    <row r="628" customFormat="false" ht="15" hidden="false" customHeight="false" outlineLevel="0" collapsed="false">
      <c r="A628" s="0" t="s">
        <v>57</v>
      </c>
      <c r="B628" s="0" t="s">
        <v>34</v>
      </c>
      <c r="C628" s="0" t="n">
        <v>34</v>
      </c>
      <c r="D628" s="0" t="n">
        <v>42</v>
      </c>
      <c r="E628" s="0" t="n">
        <v>184</v>
      </c>
      <c r="F628" s="0" t="n">
        <v>57</v>
      </c>
      <c r="G628" s="0" t="n">
        <v>256</v>
      </c>
      <c r="H628" s="0" t="n">
        <v>321</v>
      </c>
      <c r="I628" s="0" t="n">
        <v>0</v>
      </c>
      <c r="J628" s="0" t="n">
        <v>0</v>
      </c>
      <c r="K628" s="0" t="n">
        <v>0</v>
      </c>
      <c r="L628" s="0" t="n">
        <v>1</v>
      </c>
      <c r="M628" s="0" t="n">
        <f aca="false">VLOOKUP(A628,'Team Data'!$A$1:$P$133,2,FALSE())</f>
        <v>3</v>
      </c>
      <c r="N628" s="0" t="n">
        <f aca="false">VLOOKUP(A628,'Team Data'!$A$1:$P$133,3,FALSE())</f>
        <v>9</v>
      </c>
      <c r="O628" s="0" t="n">
        <f aca="false">VLOOKUP(B628,'Team Data'!$A$1:$P$133,2,FALSE())</f>
        <v>4</v>
      </c>
      <c r="P628" s="0" t="n">
        <f aca="false">VLOOKUP(B628,'Team Data'!$A$1:$P$133,3,FALSE())</f>
        <v>8</v>
      </c>
      <c r="Q628" s="0" t="n">
        <f aca="false">VLOOKUP(A628,'Team Data'!$A$1:$P$133,4,FALSE())</f>
        <v>85</v>
      </c>
      <c r="R628" s="0" t="n">
        <f aca="false">VLOOKUP(A628,'Team Data'!$A$1:$P$133,5,FALSE())</f>
        <v>178</v>
      </c>
      <c r="S628" s="0" t="n">
        <f aca="false">VLOOKUP(B628,'Team Data'!$A$1:$P$133,4,FALSE())</f>
        <v>76</v>
      </c>
      <c r="T628" s="0" t="n">
        <f aca="false">VLOOKUP(B628,'Team Data'!$A$1:$P$133,5,FALSE())</f>
        <v>185</v>
      </c>
      <c r="U628" s="0" t="n">
        <f aca="false">IF(K628=1,(MIN(35,(C628-D628)))*(O628/(O628+P628))*(S628/(S628+T628)),(MAX(-35,(C628-D628)))*(IF(P628=0,0.1,(P628/(O628+P628))))*(T628/(S628+T628)))</f>
        <v>-3.78033205619413</v>
      </c>
      <c r="V628" s="0" t="n">
        <f aca="false">IF(L628=1,(MIN(35,(D628-C628)))*(M628/(M628+N628))*(Q628/(Q628+R628)),(MAX(-35,(D628-C628)))*(IF(N628=0,0.1,(N628/(M628+N628))))*(R628/(R628+Q628)))</f>
        <v>0.64638783269962</v>
      </c>
    </row>
    <row r="629" customFormat="false" ht="15" hidden="false" customHeight="false" outlineLevel="0" collapsed="false">
      <c r="A629" s="0" t="s">
        <v>114</v>
      </c>
      <c r="B629" s="0" t="s">
        <v>36</v>
      </c>
      <c r="C629" s="0" t="n">
        <v>17</v>
      </c>
      <c r="D629" s="0" t="n">
        <v>24</v>
      </c>
      <c r="E629" s="0" t="n">
        <v>280</v>
      </c>
      <c r="F629" s="0" t="n">
        <v>172</v>
      </c>
      <c r="G629" s="0" t="n">
        <v>192</v>
      </c>
      <c r="H629" s="0" t="n">
        <v>187</v>
      </c>
      <c r="I629" s="0" t="n">
        <v>0</v>
      </c>
      <c r="J629" s="0" t="n">
        <v>0</v>
      </c>
      <c r="K629" s="0" t="n">
        <v>0</v>
      </c>
      <c r="L629" s="0" t="n">
        <v>1</v>
      </c>
      <c r="M629" s="0" t="n">
        <f aca="false">VLOOKUP(A629,'Team Data'!$A$1:$P$133,2,FALSE())</f>
        <v>7</v>
      </c>
      <c r="N629" s="0" t="n">
        <f aca="false">VLOOKUP(A629,'Team Data'!$A$1:$P$133,3,FALSE())</f>
        <v>6</v>
      </c>
      <c r="O629" s="0" t="n">
        <f aca="false">VLOOKUP(B629,'Team Data'!$A$1:$P$133,2,FALSE())</f>
        <v>5</v>
      </c>
      <c r="P629" s="0" t="n">
        <f aca="false">VLOOKUP(B629,'Team Data'!$A$1:$P$133,3,FALSE())</f>
        <v>7</v>
      </c>
      <c r="Q629" s="0" t="n">
        <f aca="false">VLOOKUP(A629,'Team Data'!$A$1:$P$133,4,FALSE())</f>
        <v>89</v>
      </c>
      <c r="R629" s="0" t="n">
        <f aca="false">VLOOKUP(A629,'Team Data'!$A$1:$P$133,5,FALSE())</f>
        <v>188</v>
      </c>
      <c r="S629" s="0" t="n">
        <f aca="false">VLOOKUP(B629,'Team Data'!$A$1:$P$133,4,FALSE())</f>
        <v>83</v>
      </c>
      <c r="T629" s="0" t="n">
        <f aca="false">VLOOKUP(B629,'Team Data'!$A$1:$P$133,5,FALSE())</f>
        <v>182</v>
      </c>
      <c r="U629" s="0" t="n">
        <f aca="false">IF(K629=1,(MIN(35,(C629-D629)))*(O629/(O629+P629))*(S629/(S629+T629)),(MAX(-35,(C629-D629)))*(IF(P629=0,0.1,(P629/(O629+P629))))*(T629/(S629+T629)))</f>
        <v>-2.80440251572327</v>
      </c>
      <c r="V629" s="0" t="n">
        <f aca="false">IF(L629=1,(MIN(35,(D629-C629)))*(M629/(M629+N629))*(Q629/(Q629+R629)),(MAX(-35,(D629-C629)))*(IF(N629=0,0.1,(N629/(M629+N629))))*(R629/(R629+Q629)))</f>
        <v>1.21105248542072</v>
      </c>
    </row>
    <row r="630" customFormat="false" ht="15" hidden="false" customHeight="false" outlineLevel="0" collapsed="false">
      <c r="A630" s="0" t="s">
        <v>67</v>
      </c>
      <c r="B630" s="0" t="s">
        <v>122</v>
      </c>
      <c r="C630" s="0" t="n">
        <v>24</v>
      </c>
      <c r="D630" s="0" t="n">
        <v>13</v>
      </c>
      <c r="E630" s="0" t="n">
        <v>113</v>
      </c>
      <c r="F630" s="0" t="n">
        <v>101</v>
      </c>
      <c r="G630" s="0" t="n">
        <v>265</v>
      </c>
      <c r="H630" s="0" t="n">
        <v>191</v>
      </c>
      <c r="I630" s="0" t="n">
        <v>1</v>
      </c>
      <c r="J630" s="0" t="n">
        <v>1</v>
      </c>
      <c r="K630" s="0" t="n">
        <v>1</v>
      </c>
      <c r="L630" s="0" t="n">
        <v>0</v>
      </c>
      <c r="M630" s="0" t="n">
        <f aca="false">VLOOKUP(A630,'Team Data'!$A$1:$P$133,2,FALSE())</f>
        <v>8</v>
      </c>
      <c r="N630" s="0" t="n">
        <f aca="false">VLOOKUP(A630,'Team Data'!$A$1:$P$133,3,FALSE())</f>
        <v>5</v>
      </c>
      <c r="O630" s="0" t="n">
        <f aca="false">VLOOKUP(B630,'Team Data'!$A$1:$P$133,2,FALSE())</f>
        <v>5</v>
      </c>
      <c r="P630" s="0" t="n">
        <f aca="false">VLOOKUP(B630,'Team Data'!$A$1:$P$133,3,FALSE())</f>
        <v>7</v>
      </c>
      <c r="Q630" s="0" t="n">
        <f aca="false">VLOOKUP(A630,'Team Data'!$A$1:$P$133,4,FALSE())</f>
        <v>78</v>
      </c>
      <c r="R630" s="0" t="n">
        <f aca="false">VLOOKUP(A630,'Team Data'!$A$1:$P$133,5,FALSE())</f>
        <v>191</v>
      </c>
      <c r="S630" s="0" t="n">
        <f aca="false">VLOOKUP(B630,'Team Data'!$A$1:$P$133,4,FALSE())</f>
        <v>71</v>
      </c>
      <c r="T630" s="0" t="n">
        <f aca="false">VLOOKUP(B630,'Team Data'!$A$1:$P$133,5,FALSE())</f>
        <v>83</v>
      </c>
      <c r="U630" s="0" t="n">
        <f aca="false">IF(K630=1,(MIN(35,(C630-D630)))*(O630/(O630+P630))*(S630/(S630+T630)),(MAX(-35,(C630-D630)))*(IF(P630=0,0.1,(P630/(O630+P630))))*(T630/(S630+T630)))</f>
        <v>2.11309523809524</v>
      </c>
      <c r="V630" s="0" t="n">
        <f aca="false">IF(L630=1,(MIN(35,(D630-C630)))*(M630/(M630+N630))*(Q630/(Q630+R630)),(MAX(-35,(D630-C630)))*(IF(N630=0,0.1,(N630/(M630+N630))))*(R630/(R630+Q630)))</f>
        <v>-3.00400343151273</v>
      </c>
    </row>
    <row r="631" customFormat="false" ht="15" hidden="false" customHeight="false" outlineLevel="0" collapsed="false">
      <c r="A631" s="0" t="s">
        <v>78</v>
      </c>
      <c r="B631" s="0" t="s">
        <v>133</v>
      </c>
      <c r="C631" s="0" t="n">
        <v>40</v>
      </c>
      <c r="D631" s="0" t="n">
        <v>13</v>
      </c>
      <c r="E631" s="0" t="n">
        <v>196</v>
      </c>
      <c r="F631" s="0" t="n">
        <v>146</v>
      </c>
      <c r="G631" s="0" t="n">
        <v>345</v>
      </c>
      <c r="H631" s="0" t="n">
        <v>320</v>
      </c>
      <c r="I631" s="0" t="n">
        <v>0</v>
      </c>
      <c r="J631" s="0" t="n">
        <v>2</v>
      </c>
      <c r="K631" s="0" t="n">
        <v>1</v>
      </c>
      <c r="L631" s="0" t="n">
        <v>0</v>
      </c>
      <c r="M631" s="0" t="n">
        <f aca="false">VLOOKUP(A631,'Team Data'!$A$1:$P$133,2,FALSE())</f>
        <v>7</v>
      </c>
      <c r="N631" s="0" t="n">
        <f aca="false">VLOOKUP(A631,'Team Data'!$A$1:$P$133,3,FALSE())</f>
        <v>7</v>
      </c>
      <c r="O631" s="0" t="n">
        <f aca="false">VLOOKUP(B631,'Team Data'!$A$1:$P$133,2,FALSE())</f>
        <v>9</v>
      </c>
      <c r="P631" s="0" t="n">
        <f aca="false">VLOOKUP(B631,'Team Data'!$A$1:$P$133,3,FALSE())</f>
        <v>5</v>
      </c>
      <c r="Q631" s="0" t="n">
        <f aca="false">VLOOKUP(A631,'Team Data'!$A$1:$P$133,4,FALSE())</f>
        <v>97</v>
      </c>
      <c r="R631" s="0" t="n">
        <f aca="false">VLOOKUP(A631,'Team Data'!$A$1:$P$133,5,FALSE())</f>
        <v>191</v>
      </c>
      <c r="S631" s="0" t="n">
        <f aca="false">VLOOKUP(B631,'Team Data'!$A$1:$P$133,4,FALSE())</f>
        <v>92</v>
      </c>
      <c r="T631" s="0" t="n">
        <f aca="false">VLOOKUP(B631,'Team Data'!$A$1:$P$133,5,FALSE())</f>
        <v>195</v>
      </c>
      <c r="U631" s="0" t="n">
        <f aca="false">IF(K631=1,(MIN(35,(C631-D631)))*(O631/(O631+P631))*(S631/(S631+T631)),(MAX(-35,(C631-D631)))*(IF(P631=0,0.1,(P631/(O631+P631))))*(T631/(S631+T631)))</f>
        <v>5.56396217023395</v>
      </c>
      <c r="V631" s="0" t="n">
        <f aca="false">IF(L631=1,(MIN(35,(D631-C631)))*(M631/(M631+N631))*(Q631/(Q631+R631)),(MAX(-35,(D631-C631)))*(IF(N631=0,0.1,(N631/(M631+N631))))*(R631/(R631+Q631)))</f>
        <v>-8.953125</v>
      </c>
    </row>
    <row r="632" customFormat="false" ht="15" hidden="false" customHeight="false" outlineLevel="0" collapsed="false">
      <c r="A632" s="0" t="s">
        <v>55</v>
      </c>
      <c r="B632" s="0" t="s">
        <v>12</v>
      </c>
      <c r="C632" s="0" t="n">
        <v>21</v>
      </c>
      <c r="D632" s="0" t="n">
        <v>19</v>
      </c>
      <c r="E632" s="0" t="n">
        <v>91</v>
      </c>
      <c r="F632" s="0" t="n">
        <v>144</v>
      </c>
      <c r="G632" s="0" t="n">
        <v>224</v>
      </c>
      <c r="H632" s="0" t="n">
        <v>284</v>
      </c>
      <c r="I632" s="0" t="n">
        <v>1</v>
      </c>
      <c r="J632" s="0" t="n">
        <v>2</v>
      </c>
      <c r="K632" s="0" t="n">
        <v>1</v>
      </c>
      <c r="L632" s="0" t="n">
        <v>0</v>
      </c>
      <c r="M632" s="0" t="n">
        <f aca="false">VLOOKUP(A632,'Team Data'!$A$1:$P$133,2,FALSE())</f>
        <v>8</v>
      </c>
      <c r="N632" s="0" t="n">
        <f aca="false">VLOOKUP(A632,'Team Data'!$A$1:$P$133,3,FALSE())</f>
        <v>5</v>
      </c>
      <c r="O632" s="0" t="n">
        <f aca="false">VLOOKUP(B632,'Team Data'!$A$1:$P$133,2,FALSE())</f>
        <v>7</v>
      </c>
      <c r="P632" s="0" t="n">
        <f aca="false">VLOOKUP(B632,'Team Data'!$A$1:$P$133,3,FALSE())</f>
        <v>6</v>
      </c>
      <c r="Q632" s="0" t="n">
        <f aca="false">VLOOKUP(A632,'Team Data'!$A$1:$P$133,4,FALSE())</f>
        <v>76</v>
      </c>
      <c r="R632" s="0" t="n">
        <f aca="false">VLOOKUP(A632,'Team Data'!$A$1:$P$133,5,FALSE())</f>
        <v>196</v>
      </c>
      <c r="S632" s="0" t="n">
        <f aca="false">VLOOKUP(B632,'Team Data'!$A$1:$P$133,4,FALSE())</f>
        <v>101</v>
      </c>
      <c r="T632" s="0" t="n">
        <f aca="false">VLOOKUP(B632,'Team Data'!$A$1:$P$133,5,FALSE())</f>
        <v>174</v>
      </c>
      <c r="U632" s="0" t="n">
        <f aca="false">IF(K632=1,(MIN(35,(C632-D632)))*(O632/(O632+P632))*(S632/(S632+T632)),(MAX(-35,(C632-D632)))*(IF(P632=0,0.1,(P632/(O632+P632))))*(T632/(S632+T632)))</f>
        <v>0.395524475524476</v>
      </c>
      <c r="V632" s="0" t="n">
        <f aca="false">IF(L632=1,(MIN(35,(D632-C632)))*(M632/(M632+N632))*(Q632/(Q632+R632)),(MAX(-35,(D632-C632)))*(IF(N632=0,0.1,(N632/(M632+N632))))*(R632/(R632+Q632)))</f>
        <v>-0.554298642533937</v>
      </c>
    </row>
    <row r="633" customFormat="false" ht="15" hidden="false" customHeight="false" outlineLevel="0" collapsed="false">
      <c r="A633" s="0" t="s">
        <v>105</v>
      </c>
      <c r="B633" s="0" t="s">
        <v>39</v>
      </c>
      <c r="C633" s="0" t="n">
        <v>13</v>
      </c>
      <c r="D633" s="0" t="n">
        <v>27</v>
      </c>
      <c r="E633" s="0" t="n">
        <v>94</v>
      </c>
      <c r="F633" s="0" t="n">
        <v>130</v>
      </c>
      <c r="G633" s="0" t="n">
        <v>195</v>
      </c>
      <c r="H633" s="0" t="n">
        <v>257</v>
      </c>
      <c r="I633" s="0" t="n">
        <v>2</v>
      </c>
      <c r="J633" s="0" t="n">
        <v>2</v>
      </c>
      <c r="K633" s="0" t="n">
        <v>0</v>
      </c>
      <c r="L633" s="0" t="n">
        <v>1</v>
      </c>
      <c r="M633" s="0" t="n">
        <f aca="false">VLOOKUP(A633,'Team Data'!$A$1:$P$133,2,FALSE())</f>
        <v>11</v>
      </c>
      <c r="N633" s="0" t="n">
        <f aca="false">VLOOKUP(A633,'Team Data'!$A$1:$P$133,3,FALSE())</f>
        <v>2</v>
      </c>
      <c r="O633" s="0" t="n">
        <f aca="false">VLOOKUP(B633,'Team Data'!$A$1:$P$133,2,FALSE())</f>
        <v>15</v>
      </c>
      <c r="P633" s="0" t="n">
        <f aca="false">VLOOKUP(B633,'Team Data'!$A$1:$P$133,3,FALSE())</f>
        <v>0</v>
      </c>
      <c r="Q633" s="0" t="n">
        <f aca="false">VLOOKUP(A633,'Team Data'!$A$1:$P$133,4,FALSE())</f>
        <v>103</v>
      </c>
      <c r="R633" s="0" t="n">
        <f aca="false">VLOOKUP(A633,'Team Data'!$A$1:$P$133,5,FALSE())</f>
        <v>174</v>
      </c>
      <c r="S633" s="0" t="n">
        <f aca="false">VLOOKUP(B633,'Team Data'!$A$1:$P$133,4,FALSE())</f>
        <v>119</v>
      </c>
      <c r="T633" s="0" t="n">
        <f aca="false">VLOOKUP(B633,'Team Data'!$A$1:$P$133,5,FALSE())</f>
        <v>182</v>
      </c>
      <c r="U633" s="0" t="n">
        <f aca="false">IF(K633=1,(MIN(35,(C633-D633)))*(O633/(O633+P633))*(S633/(S633+T633)),(MAX(-35,(C633-D633)))*(IF(P633=0,0.1,(P633/(O633+P633))))*(T633/(S633+T633)))</f>
        <v>-0.846511627906977</v>
      </c>
      <c r="V633" s="0" t="n">
        <f aca="false">IF(L633=1,(MIN(35,(D633-C633)))*(M633/(M633+N633))*(Q633/(Q633+R633)),(MAX(-35,(D633-C633)))*(IF(N633=0,0.1,(N633/(M633+N633))))*(R633/(R633+Q633)))</f>
        <v>4.40488753124132</v>
      </c>
    </row>
    <row r="634" customFormat="false" ht="15" hidden="false" customHeight="false" outlineLevel="0" collapsed="false">
      <c r="A634" s="0" t="s">
        <v>8</v>
      </c>
      <c r="B634" s="0" t="s">
        <v>54</v>
      </c>
      <c r="C634" s="0" t="n">
        <v>31</v>
      </c>
      <c r="D634" s="0" t="n">
        <v>32</v>
      </c>
      <c r="E634" s="0" t="n">
        <v>137</v>
      </c>
      <c r="F634" s="0" t="n">
        <v>185</v>
      </c>
      <c r="G634" s="0" t="n">
        <v>328</v>
      </c>
      <c r="H634" s="0" t="n">
        <v>182</v>
      </c>
      <c r="I634" s="0" t="n">
        <v>1</v>
      </c>
      <c r="J634" s="0" t="n">
        <v>0</v>
      </c>
      <c r="K634" s="0" t="n">
        <v>0</v>
      </c>
      <c r="L634" s="0" t="n">
        <v>1</v>
      </c>
      <c r="M634" s="0" t="n">
        <f aca="false">VLOOKUP(A634,'Team Data'!$A$1:$P$133,2,FALSE())</f>
        <v>11</v>
      </c>
      <c r="N634" s="0" t="n">
        <f aca="false">VLOOKUP(A634,'Team Data'!$A$1:$P$133,3,FALSE())</f>
        <v>2</v>
      </c>
      <c r="O634" s="0" t="n">
        <f aca="false">VLOOKUP(B634,'Team Data'!$A$1:$P$133,2,FALSE())</f>
        <v>10</v>
      </c>
      <c r="P634" s="0" t="n">
        <f aca="false">VLOOKUP(B634,'Team Data'!$A$1:$P$133,3,FALSE())</f>
        <v>4</v>
      </c>
      <c r="Q634" s="0" t="n">
        <f aca="false">VLOOKUP(A634,'Team Data'!$A$1:$P$133,4,FALSE())</f>
        <v>96</v>
      </c>
      <c r="R634" s="0" t="n">
        <f aca="false">VLOOKUP(A634,'Team Data'!$A$1:$P$133,5,FALSE())</f>
        <v>178</v>
      </c>
      <c r="S634" s="0" t="n">
        <f aca="false">VLOOKUP(B634,'Team Data'!$A$1:$P$133,4,FALSE())</f>
        <v>112</v>
      </c>
      <c r="T634" s="0" t="n">
        <f aca="false">VLOOKUP(B634,'Team Data'!$A$1:$P$133,5,FALSE())</f>
        <v>177</v>
      </c>
      <c r="U634" s="0" t="n">
        <f aca="false">IF(K634=1,(MIN(35,(C634-D634)))*(O634/(O634+P634))*(S634/(S634+T634)),(MAX(-35,(C634-D634)))*(IF(P634=0,0.1,(P634/(O634+P634))))*(T634/(S634+T634)))</f>
        <v>-0.17498764211567</v>
      </c>
      <c r="V634" s="0" t="n">
        <f aca="false">IF(L634=1,(MIN(35,(D634-C634)))*(M634/(M634+N634))*(Q634/(Q634+R634)),(MAX(-35,(D634-C634)))*(IF(N634=0,0.1,(N634/(M634+N634))))*(R634/(R634+Q634)))</f>
        <v>0.296462661426165</v>
      </c>
    </row>
    <row r="635" customFormat="false" ht="15" hidden="false" customHeight="false" outlineLevel="0" collapsed="false">
      <c r="A635" s="0" t="s">
        <v>15</v>
      </c>
      <c r="B635" s="0" t="s">
        <v>69</v>
      </c>
      <c r="C635" s="0" t="n">
        <v>33</v>
      </c>
      <c r="D635" s="0" t="n">
        <v>39</v>
      </c>
      <c r="E635" s="0" t="n">
        <v>256</v>
      </c>
      <c r="F635" s="0" t="n">
        <v>13</v>
      </c>
      <c r="G635" s="0" t="n">
        <v>75</v>
      </c>
      <c r="H635" s="0" t="n">
        <v>357</v>
      </c>
      <c r="I635" s="0" t="n">
        <v>1</v>
      </c>
      <c r="J635" s="0" t="n">
        <v>3</v>
      </c>
      <c r="K635" s="0" t="n">
        <v>0</v>
      </c>
      <c r="L635" s="0" t="n">
        <v>1</v>
      </c>
      <c r="M635" s="0" t="n">
        <f aca="false">VLOOKUP(A635,'Team Data'!$A$1:$P$133,2,FALSE())</f>
        <v>5</v>
      </c>
      <c r="N635" s="0" t="n">
        <f aca="false">VLOOKUP(A635,'Team Data'!$A$1:$P$133,3,FALSE())</f>
        <v>7</v>
      </c>
      <c r="O635" s="0" t="n">
        <f aca="false">VLOOKUP(B635,'Team Data'!$A$1:$P$133,2,FALSE())</f>
        <v>9</v>
      </c>
      <c r="P635" s="0" t="n">
        <f aca="false">VLOOKUP(B635,'Team Data'!$A$1:$P$133,3,FALSE())</f>
        <v>4</v>
      </c>
      <c r="Q635" s="0" t="n">
        <f aca="false">VLOOKUP(A635,'Team Data'!$A$1:$P$133,4,FALSE())</f>
        <v>106</v>
      </c>
      <c r="R635" s="0" t="n">
        <f aca="false">VLOOKUP(A635,'Team Data'!$A$1:$P$133,5,FALSE())</f>
        <v>159</v>
      </c>
      <c r="S635" s="0" t="n">
        <f aca="false">VLOOKUP(B635,'Team Data'!$A$1:$P$133,4,FALSE())</f>
        <v>102</v>
      </c>
      <c r="T635" s="0" t="n">
        <f aca="false">VLOOKUP(B635,'Team Data'!$A$1:$P$133,5,FALSE())</f>
        <v>174</v>
      </c>
      <c r="U635" s="0" t="n">
        <f aca="false">IF(K635=1,(MIN(35,(C635-D635)))*(O635/(O635+P635))*(S635/(S635+T635)),(MAX(-35,(C635-D635)))*(IF(P635=0,0.1,(P635/(O635+P635))))*(T635/(S635+T635)))</f>
        <v>-1.16387959866221</v>
      </c>
      <c r="V635" s="0" t="n">
        <f aca="false">IF(L635=1,(MIN(35,(D635-C635)))*(M635/(M635+N635))*(Q635/(Q635+R635)),(MAX(-35,(D635-C635)))*(IF(N635=0,0.1,(N635/(M635+N635))))*(R635/(R635+Q635)))</f>
        <v>1</v>
      </c>
    </row>
    <row r="636" customFormat="false" ht="15" hidden="false" customHeight="false" outlineLevel="0" collapsed="false">
      <c r="A636" s="0" t="s">
        <v>53</v>
      </c>
      <c r="B636" s="0" t="s">
        <v>70</v>
      </c>
      <c r="C636" s="0" t="n">
        <v>21</v>
      </c>
      <c r="D636" s="0" t="n">
        <v>17</v>
      </c>
      <c r="E636" s="0" t="n">
        <v>82</v>
      </c>
      <c r="F636" s="0" t="n">
        <v>89</v>
      </c>
      <c r="G636" s="0" t="n">
        <v>170</v>
      </c>
      <c r="H636" s="0" t="n">
        <v>143</v>
      </c>
      <c r="I636" s="0" t="n">
        <v>0</v>
      </c>
      <c r="J636" s="0" t="n">
        <v>2</v>
      </c>
      <c r="K636" s="0" t="n">
        <v>1</v>
      </c>
      <c r="L636" s="0" t="n">
        <v>0</v>
      </c>
      <c r="M636" s="0" t="n">
        <f aca="false">VLOOKUP(A636,'Team Data'!$A$1:$P$133,2,FALSE())</f>
        <v>7</v>
      </c>
      <c r="N636" s="0" t="n">
        <f aca="false">VLOOKUP(A636,'Team Data'!$A$1:$P$133,3,FALSE())</f>
        <v>6</v>
      </c>
      <c r="O636" s="0" t="n">
        <f aca="false">VLOOKUP(B636,'Team Data'!$A$1:$P$133,2,FALSE())</f>
        <v>6</v>
      </c>
      <c r="P636" s="0" t="n">
        <f aca="false">VLOOKUP(B636,'Team Data'!$A$1:$P$133,3,FALSE())</f>
        <v>7</v>
      </c>
      <c r="Q636" s="0" t="n">
        <f aca="false">VLOOKUP(A636,'Team Data'!$A$1:$P$133,4,FALSE())</f>
        <v>101</v>
      </c>
      <c r="R636" s="0" t="n">
        <f aca="false">VLOOKUP(A636,'Team Data'!$A$1:$P$133,5,FALSE())</f>
        <v>175</v>
      </c>
      <c r="S636" s="0" t="n">
        <f aca="false">VLOOKUP(B636,'Team Data'!$A$1:$P$133,4,FALSE())</f>
        <v>100</v>
      </c>
      <c r="T636" s="0" t="n">
        <f aca="false">VLOOKUP(B636,'Team Data'!$A$1:$P$133,5,FALSE())</f>
        <v>176</v>
      </c>
      <c r="U636" s="0" t="n">
        <f aca="false">IF(K636=1,(MIN(35,(C636-D636)))*(O636/(O636+P636))*(S636/(S636+T636)),(MAX(-35,(C636-D636)))*(IF(P636=0,0.1,(P636/(O636+P636))))*(T636/(S636+T636)))</f>
        <v>0.668896321070234</v>
      </c>
      <c r="V636" s="0" t="n">
        <f aca="false">IF(L636=1,(MIN(35,(D636-C636)))*(M636/(M636+N636))*(Q636/(Q636+R636)),(MAX(-35,(D636-C636)))*(IF(N636=0,0.1,(N636/(M636+N636))))*(R636/(R636+Q636)))</f>
        <v>-1.17056856187291</v>
      </c>
    </row>
    <row r="637" customFormat="false" ht="15" hidden="false" customHeight="false" outlineLevel="0" collapsed="false">
      <c r="A637" s="0" t="s">
        <v>35</v>
      </c>
      <c r="B637" s="0" t="s">
        <v>107</v>
      </c>
      <c r="C637" s="0" t="n">
        <v>41</v>
      </c>
      <c r="D637" s="0" t="n">
        <v>24</v>
      </c>
      <c r="E637" s="0" t="n">
        <v>291</v>
      </c>
      <c r="F637" s="0" t="n">
        <v>134</v>
      </c>
      <c r="G637" s="0" t="n">
        <v>201</v>
      </c>
      <c r="H637" s="0" t="n">
        <v>279</v>
      </c>
      <c r="I637" s="0" t="n">
        <v>0</v>
      </c>
      <c r="J637" s="0" t="n">
        <v>2</v>
      </c>
      <c r="K637" s="0" t="n">
        <v>1</v>
      </c>
      <c r="L637" s="0" t="n">
        <v>0</v>
      </c>
      <c r="M637" s="0" t="n">
        <f aca="false">VLOOKUP(A637,'Team Data'!$A$1:$P$133,2,FALSE())</f>
        <v>6</v>
      </c>
      <c r="N637" s="0" t="n">
        <f aca="false">VLOOKUP(A637,'Team Data'!$A$1:$P$133,3,FALSE())</f>
        <v>7</v>
      </c>
      <c r="O637" s="0" t="n">
        <f aca="false">VLOOKUP(B637,'Team Data'!$A$1:$P$133,2,FALSE())</f>
        <v>5</v>
      </c>
      <c r="P637" s="0" t="n">
        <f aca="false">VLOOKUP(B637,'Team Data'!$A$1:$P$133,3,FALSE())</f>
        <v>7</v>
      </c>
      <c r="Q637" s="0" t="n">
        <f aca="false">VLOOKUP(A637,'Team Data'!$A$1:$P$133,4,FALSE())</f>
        <v>106</v>
      </c>
      <c r="R637" s="0" t="n">
        <f aca="false">VLOOKUP(A637,'Team Data'!$A$1:$P$133,5,FALSE())</f>
        <v>171</v>
      </c>
      <c r="S637" s="0" t="n">
        <f aca="false">VLOOKUP(B637,'Team Data'!$A$1:$P$133,4,FALSE())</f>
        <v>84</v>
      </c>
      <c r="T637" s="0" t="n">
        <f aca="false">VLOOKUP(B637,'Team Data'!$A$1:$P$133,5,FALSE())</f>
        <v>176</v>
      </c>
      <c r="U637" s="0" t="n">
        <f aca="false">IF(K637=1,(MIN(35,(C637-D637)))*(O637/(O637+P637))*(S637/(S637+T637)),(MAX(-35,(C637-D637)))*(IF(P637=0,0.1,(P637/(O637+P637))))*(T637/(S637+T637)))</f>
        <v>2.28846153846154</v>
      </c>
      <c r="V637" s="0" t="n">
        <f aca="false">IF(L637=1,(MIN(35,(D637-C637)))*(M637/(M637+N637))*(Q637/(Q637+R637)),(MAX(-35,(D637-C637)))*(IF(N637=0,0.1,(N637/(M637+N637))))*(R637/(R637+Q637)))</f>
        <v>-5.65093029713968</v>
      </c>
    </row>
    <row r="638" customFormat="false" ht="15" hidden="false" customHeight="false" outlineLevel="0" collapsed="false">
      <c r="A638" s="0" t="s">
        <v>99</v>
      </c>
      <c r="B638" s="0" t="s">
        <v>126</v>
      </c>
      <c r="C638" s="0" t="n">
        <v>38</v>
      </c>
      <c r="D638" s="0" t="n">
        <v>27</v>
      </c>
      <c r="E638" s="0" t="n">
        <v>208</v>
      </c>
      <c r="F638" s="0" t="n">
        <v>226</v>
      </c>
      <c r="G638" s="0" t="n">
        <v>284</v>
      </c>
      <c r="H638" s="0" t="n">
        <v>228</v>
      </c>
      <c r="I638" s="0" t="n">
        <v>1</v>
      </c>
      <c r="J638" s="0" t="n">
        <v>4</v>
      </c>
      <c r="K638" s="0" t="n">
        <v>1</v>
      </c>
      <c r="L638" s="0" t="n">
        <v>0</v>
      </c>
      <c r="M638" s="0" t="n">
        <f aca="false">VLOOKUP(A638,'Team Data'!$A$1:$P$133,2,FALSE())</f>
        <v>8</v>
      </c>
      <c r="N638" s="0" t="n">
        <f aca="false">VLOOKUP(A638,'Team Data'!$A$1:$P$133,3,FALSE())</f>
        <v>5</v>
      </c>
      <c r="O638" s="0" t="n">
        <f aca="false">VLOOKUP(B638,'Team Data'!$A$1:$P$133,2,FALSE())</f>
        <v>5</v>
      </c>
      <c r="P638" s="0" t="n">
        <f aca="false">VLOOKUP(B638,'Team Data'!$A$1:$P$133,3,FALSE())</f>
        <v>7</v>
      </c>
      <c r="Q638" s="0" t="n">
        <f aca="false">VLOOKUP(A638,'Team Data'!$A$1:$P$133,4,FALSE())</f>
        <v>97</v>
      </c>
      <c r="R638" s="0" t="n">
        <f aca="false">VLOOKUP(A638,'Team Data'!$A$1:$P$133,5,FALSE())</f>
        <v>178</v>
      </c>
      <c r="S638" s="0" t="n">
        <f aca="false">VLOOKUP(B638,'Team Data'!$A$1:$P$133,4,FALSE())</f>
        <v>94</v>
      </c>
      <c r="T638" s="0" t="n">
        <f aca="false">VLOOKUP(B638,'Team Data'!$A$1:$P$133,5,FALSE())</f>
        <v>170</v>
      </c>
      <c r="U638" s="0" t="n">
        <f aca="false">IF(K638=1,(MIN(35,(C638-D638)))*(O638/(O638+P638))*(S638/(S638+T638)),(MAX(-35,(C638-D638)))*(IF(P638=0,0.1,(P638/(O638+P638))))*(T638/(S638+T638)))</f>
        <v>1.63194444444444</v>
      </c>
      <c r="V638" s="0" t="n">
        <f aca="false">IF(L638=1,(MIN(35,(D638-C638)))*(M638/(M638+N638))*(Q638/(Q638+R638)),(MAX(-35,(D638-C638)))*(IF(N638=0,0.1,(N638/(M638+N638))))*(R638/(R638+Q638)))</f>
        <v>-2.73846153846154</v>
      </c>
    </row>
    <row r="639" customFormat="false" ht="15" hidden="false" customHeight="false" outlineLevel="0" collapsed="false">
      <c r="A639" s="0" t="s">
        <v>10</v>
      </c>
      <c r="B639" s="0" t="s">
        <v>124</v>
      </c>
      <c r="C639" s="0" t="n">
        <v>20</v>
      </c>
      <c r="D639" s="0" t="n">
        <v>45</v>
      </c>
      <c r="E639" s="0" t="n">
        <v>156</v>
      </c>
      <c r="F639" s="0" t="n">
        <v>306</v>
      </c>
      <c r="G639" s="0" t="n">
        <v>231</v>
      </c>
      <c r="H639" s="0" t="n">
        <v>151</v>
      </c>
      <c r="I639" s="0" t="n">
        <v>4</v>
      </c>
      <c r="J639" s="0" t="n">
        <v>2</v>
      </c>
      <c r="K639" s="0" t="n">
        <v>0</v>
      </c>
      <c r="L639" s="0" t="n">
        <v>1</v>
      </c>
      <c r="M639" s="0" t="n">
        <f aca="false">VLOOKUP(A639,'Team Data'!$A$1:$P$133,2,FALSE())</f>
        <v>5</v>
      </c>
      <c r="N639" s="0" t="n">
        <f aca="false">VLOOKUP(A639,'Team Data'!$A$1:$P$133,3,FALSE())</f>
        <v>7</v>
      </c>
      <c r="O639" s="0" t="n">
        <f aca="false">VLOOKUP(B639,'Team Data'!$A$1:$P$133,2,FALSE())</f>
        <v>10</v>
      </c>
      <c r="P639" s="0" t="n">
        <f aca="false">VLOOKUP(B639,'Team Data'!$A$1:$P$133,3,FALSE())</f>
        <v>4</v>
      </c>
      <c r="Q639" s="0" t="n">
        <f aca="false">VLOOKUP(A639,'Team Data'!$A$1:$P$133,4,FALSE())</f>
        <v>90</v>
      </c>
      <c r="R639" s="0" t="n">
        <f aca="false">VLOOKUP(A639,'Team Data'!$A$1:$P$133,5,FALSE())</f>
        <v>172</v>
      </c>
      <c r="S639" s="0" t="n">
        <f aca="false">VLOOKUP(B639,'Team Data'!$A$1:$P$133,4,FALSE())</f>
        <v>102</v>
      </c>
      <c r="T639" s="0" t="n">
        <f aca="false">VLOOKUP(B639,'Team Data'!$A$1:$P$133,5,FALSE())</f>
        <v>185</v>
      </c>
      <c r="U639" s="0" t="n">
        <f aca="false">IF(K639=1,(MIN(35,(C639-D639)))*(O639/(O639+P639))*(S639/(S639+T639)),(MAX(-35,(C639-D639)))*(IF(P639=0,0.1,(P639/(O639+P639))))*(T639/(S639+T639)))</f>
        <v>-4.60428073668492</v>
      </c>
      <c r="V639" s="0" t="n">
        <f aca="false">IF(L639=1,(MIN(35,(D639-C639)))*(M639/(M639+N639))*(Q639/(Q639+R639)),(MAX(-35,(D639-C639)))*(IF(N639=0,0.1,(N639/(M639+N639))))*(R639/(R639+Q639)))</f>
        <v>3.57824427480916</v>
      </c>
    </row>
    <row r="640" customFormat="false" ht="15" hidden="false" customHeight="false" outlineLevel="0" collapsed="false">
      <c r="A640" s="0" t="s">
        <v>116</v>
      </c>
      <c r="B640" s="0" t="s">
        <v>11</v>
      </c>
      <c r="C640" s="0" t="n">
        <v>50</v>
      </c>
      <c r="D640" s="0" t="n">
        <v>36</v>
      </c>
      <c r="E640" s="0" t="n">
        <v>402</v>
      </c>
      <c r="F640" s="0" t="n">
        <v>119</v>
      </c>
      <c r="G640" s="0" t="n">
        <v>169</v>
      </c>
      <c r="H640" s="0" t="n">
        <v>349</v>
      </c>
      <c r="I640" s="0" t="n">
        <v>2</v>
      </c>
      <c r="J640" s="0" t="n">
        <v>1</v>
      </c>
      <c r="K640" s="0" t="n">
        <v>1</v>
      </c>
      <c r="L640" s="0" t="n">
        <v>0</v>
      </c>
      <c r="M640" s="0" t="n">
        <f aca="false">VLOOKUP(A640,'Team Data'!$A$1:$P$133,2,FALSE())</f>
        <v>9</v>
      </c>
      <c r="N640" s="0" t="n">
        <f aca="false">VLOOKUP(A640,'Team Data'!$A$1:$P$133,3,FALSE())</f>
        <v>4</v>
      </c>
      <c r="O640" s="0" t="n">
        <f aca="false">VLOOKUP(B640,'Team Data'!$A$1:$P$133,2,FALSE())</f>
        <v>3</v>
      </c>
      <c r="P640" s="0" t="n">
        <f aca="false">VLOOKUP(B640,'Team Data'!$A$1:$P$133,3,FALSE())</f>
        <v>9</v>
      </c>
      <c r="Q640" s="0" t="n">
        <f aca="false">VLOOKUP(A640,'Team Data'!$A$1:$P$133,4,FALSE())</f>
        <v>91</v>
      </c>
      <c r="R640" s="0" t="n">
        <f aca="false">VLOOKUP(A640,'Team Data'!$A$1:$P$133,5,FALSE())</f>
        <v>182</v>
      </c>
      <c r="S640" s="0" t="n">
        <f aca="false">VLOOKUP(B640,'Team Data'!$A$1:$P$133,4,FALSE())</f>
        <v>91</v>
      </c>
      <c r="T640" s="0" t="n">
        <f aca="false">VLOOKUP(B640,'Team Data'!$A$1:$P$133,5,FALSE())</f>
        <v>171</v>
      </c>
      <c r="U640" s="0" t="n">
        <f aca="false">IF(K640=1,(MIN(35,(C640-D640)))*(O640/(O640+P640))*(S640/(S640+T640)),(MAX(-35,(C640-D640)))*(IF(P640=0,0.1,(P640/(O640+P640))))*(T640/(S640+T640)))</f>
        <v>1.21564885496183</v>
      </c>
      <c r="V640" s="0" t="n">
        <f aca="false">IF(L640=1,(MIN(35,(D640-C640)))*(M640/(M640+N640))*(Q640/(Q640+R640)),(MAX(-35,(D640-C640)))*(IF(N640=0,0.1,(N640/(M640+N640))))*(R640/(R640+Q640)))</f>
        <v>-2.87179487179487</v>
      </c>
    </row>
    <row r="641" customFormat="false" ht="15" hidden="false" customHeight="false" outlineLevel="0" collapsed="false">
      <c r="A641" s="0" t="s">
        <v>23</v>
      </c>
      <c r="B641" s="0" t="s">
        <v>120</v>
      </c>
      <c r="C641" s="0" t="n">
        <v>35</v>
      </c>
      <c r="D641" s="0" t="n">
        <v>41</v>
      </c>
      <c r="E641" s="0" t="n">
        <v>63</v>
      </c>
      <c r="F641" s="0" t="n">
        <v>155</v>
      </c>
      <c r="G641" s="0" t="n">
        <v>406</v>
      </c>
      <c r="H641" s="0" t="n">
        <v>360</v>
      </c>
      <c r="I641" s="0" t="n">
        <v>1</v>
      </c>
      <c r="J641" s="0" t="n">
        <v>1</v>
      </c>
      <c r="K641" s="0" t="n">
        <v>0</v>
      </c>
      <c r="L641" s="0" t="n">
        <v>1</v>
      </c>
      <c r="M641" s="0" t="n">
        <f aca="false">VLOOKUP(A641,'Team Data'!$A$1:$P$133,2,FALSE())</f>
        <v>4</v>
      </c>
      <c r="N641" s="0" t="n">
        <f aca="false">VLOOKUP(A641,'Team Data'!$A$1:$P$133,3,FALSE())</f>
        <v>8</v>
      </c>
      <c r="O641" s="0" t="n">
        <f aca="false">VLOOKUP(B641,'Team Data'!$A$1:$P$133,2,FALSE())</f>
        <v>11</v>
      </c>
      <c r="P641" s="0" t="n">
        <f aca="false">VLOOKUP(B641,'Team Data'!$A$1:$P$133,3,FALSE())</f>
        <v>3</v>
      </c>
      <c r="Q641" s="0" t="n">
        <f aca="false">VLOOKUP(A641,'Team Data'!$A$1:$P$133,4,FALSE())</f>
        <v>89</v>
      </c>
      <c r="R641" s="0" t="n">
        <f aca="false">VLOOKUP(A641,'Team Data'!$A$1:$P$133,5,FALSE())</f>
        <v>171</v>
      </c>
      <c r="S641" s="0" t="n">
        <f aca="false">VLOOKUP(B641,'Team Data'!$A$1:$P$133,4,FALSE())</f>
        <v>98</v>
      </c>
      <c r="T641" s="0" t="n">
        <f aca="false">VLOOKUP(B641,'Team Data'!$A$1:$P$133,5,FALSE())</f>
        <v>83</v>
      </c>
      <c r="U641" s="0" t="n">
        <f aca="false">IF(K641=1,(MIN(35,(C641-D641)))*(O641/(O641+P641))*(S641/(S641+T641)),(MAX(-35,(C641-D641)))*(IF(P641=0,0.1,(P641/(O641+P641))))*(T641/(S641+T641)))</f>
        <v>-0.589581689029203</v>
      </c>
      <c r="V641" s="0" t="n">
        <f aca="false">IF(L641=1,(MIN(35,(D641-C641)))*(M641/(M641+N641))*(Q641/(Q641+R641)),(MAX(-35,(D641-C641)))*(IF(N641=0,0.1,(N641/(M641+N641))))*(R641/(R641+Q641)))</f>
        <v>0.684615384615385</v>
      </c>
    </row>
    <row r="642" customFormat="false" ht="15" hidden="false" customHeight="false" outlineLevel="0" collapsed="false">
      <c r="A642" s="0" t="s">
        <v>88</v>
      </c>
      <c r="B642" s="0" t="s">
        <v>29</v>
      </c>
      <c r="C642" s="0" t="n">
        <v>49</v>
      </c>
      <c r="D642" s="0" t="n">
        <v>10</v>
      </c>
      <c r="E642" s="0" t="n">
        <v>195</v>
      </c>
      <c r="F642" s="0" t="n">
        <v>120</v>
      </c>
      <c r="G642" s="0" t="n">
        <v>284</v>
      </c>
      <c r="H642" s="0" t="n">
        <v>247</v>
      </c>
      <c r="I642" s="0" t="n">
        <v>0</v>
      </c>
      <c r="J642" s="0" t="n">
        <v>3</v>
      </c>
      <c r="K642" s="0" t="n">
        <v>1</v>
      </c>
      <c r="L642" s="0" t="n">
        <v>0</v>
      </c>
      <c r="M642" s="0" t="n">
        <f aca="false">VLOOKUP(A642,'Team Data'!$A$1:$P$133,2,FALSE())</f>
        <v>10</v>
      </c>
      <c r="N642" s="0" t="n">
        <f aca="false">VLOOKUP(A642,'Team Data'!$A$1:$P$133,3,FALSE())</f>
        <v>3</v>
      </c>
      <c r="O642" s="0" t="n">
        <f aca="false">VLOOKUP(B642,'Team Data'!$A$1:$P$133,2,FALSE())</f>
        <v>1</v>
      </c>
      <c r="P642" s="0" t="n">
        <f aca="false">VLOOKUP(B642,'Team Data'!$A$1:$P$133,3,FALSE())</f>
        <v>11</v>
      </c>
      <c r="Q642" s="0" t="n">
        <f aca="false">VLOOKUP(A642,'Team Data'!$A$1:$P$133,4,FALSE())</f>
        <v>100</v>
      </c>
      <c r="R642" s="0" t="n">
        <f aca="false">VLOOKUP(A642,'Team Data'!$A$1:$P$133,5,FALSE())</f>
        <v>176</v>
      </c>
      <c r="S642" s="0" t="n">
        <f aca="false">VLOOKUP(B642,'Team Data'!$A$1:$P$133,4,FALSE())</f>
        <v>105</v>
      </c>
      <c r="T642" s="0" t="n">
        <f aca="false">VLOOKUP(B642,'Team Data'!$A$1:$P$133,5,FALSE())</f>
        <v>52</v>
      </c>
      <c r="U642" s="0" t="n">
        <f aca="false">IF(K642=1,(MIN(35,(C642-D642)))*(O642/(O642+P642))*(S642/(S642+T642)),(MAX(-35,(C642-D642)))*(IF(P642=0,0.1,(P642/(O642+P642))))*(T642/(S642+T642)))</f>
        <v>1.95063694267516</v>
      </c>
      <c r="V642" s="0" t="n">
        <f aca="false">IF(L642=1,(MIN(35,(D642-C642)))*(M642/(M642+N642))*(Q642/(Q642+R642)),(MAX(-35,(D642-C642)))*(IF(N642=0,0.1,(N642/(M642+N642))))*(R642/(R642+Q642)))</f>
        <v>-5.1505016722408</v>
      </c>
    </row>
    <row r="643" customFormat="false" ht="15" hidden="false" customHeight="false" outlineLevel="0" collapsed="false">
      <c r="A643" s="0" t="s">
        <v>89</v>
      </c>
      <c r="B643" s="0" t="s">
        <v>130</v>
      </c>
      <c r="C643" s="0" t="n">
        <v>21</v>
      </c>
      <c r="D643" s="0" t="n">
        <v>24</v>
      </c>
      <c r="E643" s="0" t="n">
        <v>175</v>
      </c>
      <c r="F643" s="0" t="n">
        <v>100</v>
      </c>
      <c r="G643" s="0" t="n">
        <v>87</v>
      </c>
      <c r="H643" s="0" t="n">
        <v>298</v>
      </c>
      <c r="I643" s="0" t="n">
        <v>1</v>
      </c>
      <c r="J643" s="0" t="n">
        <v>1</v>
      </c>
      <c r="K643" s="0" t="n">
        <v>0</v>
      </c>
      <c r="L643" s="0" t="n">
        <v>1</v>
      </c>
      <c r="M643" s="0" t="n">
        <f aca="false">VLOOKUP(A643,'Team Data'!$A$1:$P$133,2,FALSE())</f>
        <v>10</v>
      </c>
      <c r="N643" s="0" t="n">
        <f aca="false">VLOOKUP(A643,'Team Data'!$A$1:$P$133,3,FALSE())</f>
        <v>3</v>
      </c>
      <c r="O643" s="0" t="n">
        <f aca="false">VLOOKUP(B643,'Team Data'!$A$1:$P$133,2,FALSE())</f>
        <v>11</v>
      </c>
      <c r="P643" s="0" t="n">
        <f aca="false">VLOOKUP(B643,'Team Data'!$A$1:$P$133,3,FALSE())</f>
        <v>2</v>
      </c>
      <c r="Q643" s="0" t="n">
        <f aca="false">VLOOKUP(A643,'Team Data'!$A$1:$P$133,4,FALSE())</f>
        <v>94</v>
      </c>
      <c r="R643" s="0" t="n">
        <f aca="false">VLOOKUP(A643,'Team Data'!$A$1:$P$133,5,FALSE())</f>
        <v>182</v>
      </c>
      <c r="S643" s="0" t="n">
        <f aca="false">VLOOKUP(B643,'Team Data'!$A$1:$P$133,4,FALSE())</f>
        <v>78</v>
      </c>
      <c r="T643" s="0" t="n">
        <f aca="false">VLOOKUP(B643,'Team Data'!$A$1:$P$133,5,FALSE())</f>
        <v>191</v>
      </c>
      <c r="U643" s="0" t="n">
        <f aca="false">IF(K643=1,(MIN(35,(C643-D643)))*(O643/(O643+P643))*(S643/(S643+T643)),(MAX(-35,(C643-D643)))*(IF(P643=0,0.1,(P643/(O643+P643))))*(T643/(S643+T643)))</f>
        <v>-0.327709465255934</v>
      </c>
      <c r="V643" s="0" t="n">
        <f aca="false">IF(L643=1,(MIN(35,(D643-C643)))*(M643/(M643+N643))*(Q643/(Q643+R643)),(MAX(-35,(D643-C643)))*(IF(N643=0,0.1,(N643/(M643+N643))))*(R643/(R643+Q643)))</f>
        <v>0.785953177257525</v>
      </c>
    </row>
    <row r="644" customFormat="false" ht="15" hidden="false" customHeight="false" outlineLevel="0" collapsed="false">
      <c r="A644" s="0" t="s">
        <v>131</v>
      </c>
      <c r="B644" s="0" t="s">
        <v>101</v>
      </c>
      <c r="C644" s="0" t="n">
        <v>52</v>
      </c>
      <c r="D644" s="0" t="n">
        <v>14</v>
      </c>
      <c r="E644" s="0" t="n">
        <v>306</v>
      </c>
      <c r="F644" s="0" t="n">
        <v>71</v>
      </c>
      <c r="G644" s="0" t="n">
        <v>208</v>
      </c>
      <c r="H644" s="0" t="n">
        <v>266</v>
      </c>
      <c r="I644" s="0" t="n">
        <v>0</v>
      </c>
      <c r="J644" s="0" t="n">
        <v>4</v>
      </c>
      <c r="K644" s="0" t="n">
        <v>1</v>
      </c>
      <c r="L644" s="0" t="n">
        <v>0</v>
      </c>
      <c r="M644" s="0" t="n">
        <f aca="false">VLOOKUP(A644,'Team Data'!$A$1:$P$133,2,FALSE())</f>
        <v>7</v>
      </c>
      <c r="N644" s="0" t="n">
        <f aca="false">VLOOKUP(A644,'Team Data'!$A$1:$P$133,3,FALSE())</f>
        <v>6</v>
      </c>
      <c r="O644" s="0" t="n">
        <f aca="false">VLOOKUP(B644,'Team Data'!$A$1:$P$133,2,FALSE())</f>
        <v>3</v>
      </c>
      <c r="P644" s="0" t="n">
        <f aca="false">VLOOKUP(B644,'Team Data'!$A$1:$P$133,3,FALSE())</f>
        <v>9</v>
      </c>
      <c r="Q644" s="0" t="n">
        <f aca="false">VLOOKUP(A644,'Team Data'!$A$1:$P$133,4,FALSE())</f>
        <v>95</v>
      </c>
      <c r="R644" s="0" t="n">
        <f aca="false">VLOOKUP(A644,'Team Data'!$A$1:$P$133,5,FALSE())</f>
        <v>179</v>
      </c>
      <c r="S644" s="0" t="n">
        <f aca="false">VLOOKUP(B644,'Team Data'!$A$1:$P$133,4,FALSE())</f>
        <v>100</v>
      </c>
      <c r="T644" s="0" t="n">
        <f aca="false">VLOOKUP(B644,'Team Data'!$A$1:$P$133,5,FALSE())</f>
        <v>163</v>
      </c>
      <c r="U644" s="0" t="n">
        <f aca="false">IF(K644=1,(MIN(35,(C644-D644)))*(O644/(O644+P644))*(S644/(S644+T644)),(MAX(-35,(C644-D644)))*(IF(P644=0,0.1,(P644/(O644+P644))))*(T644/(S644+T644)))</f>
        <v>3.32699619771863</v>
      </c>
      <c r="V644" s="0" t="n">
        <f aca="false">IF(L644=1,(MIN(35,(D644-C644)))*(M644/(M644+N644))*(Q644/(Q644+R644)),(MAX(-35,(D644-C644)))*(IF(N644=0,0.1,(N644/(M644+N644))))*(R644/(R644+Q644)))</f>
        <v>-10.5530600786075</v>
      </c>
    </row>
    <row r="645" customFormat="false" ht="15" hidden="false" customHeight="false" outlineLevel="0" collapsed="false">
      <c r="A645" s="0" t="s">
        <v>18</v>
      </c>
      <c r="B645" s="0" t="s">
        <v>84</v>
      </c>
      <c r="C645" s="0" t="n">
        <v>38</v>
      </c>
      <c r="D645" s="0" t="n">
        <v>35</v>
      </c>
      <c r="E645" s="0" t="n">
        <v>281</v>
      </c>
      <c r="F645" s="0" t="n">
        <v>238</v>
      </c>
      <c r="G645" s="0" t="n">
        <v>132</v>
      </c>
      <c r="H645" s="0" t="n">
        <v>261</v>
      </c>
      <c r="I645" s="0" t="n">
        <v>1</v>
      </c>
      <c r="J645" s="0" t="n">
        <v>3</v>
      </c>
      <c r="K645" s="0" t="n">
        <v>1</v>
      </c>
      <c r="L645" s="0" t="n">
        <v>0</v>
      </c>
      <c r="M645" s="0" t="n">
        <f aca="false">VLOOKUP(A645,'Team Data'!$A$1:$P$133,2,FALSE())</f>
        <v>6</v>
      </c>
      <c r="N645" s="0" t="n">
        <f aca="false">VLOOKUP(A645,'Team Data'!$A$1:$P$133,3,FALSE())</f>
        <v>7</v>
      </c>
      <c r="O645" s="0" t="n">
        <f aca="false">VLOOKUP(B645,'Team Data'!$A$1:$P$133,2,FALSE())</f>
        <v>6</v>
      </c>
      <c r="P645" s="0" t="n">
        <f aca="false">VLOOKUP(B645,'Team Data'!$A$1:$P$133,3,FALSE())</f>
        <v>7</v>
      </c>
      <c r="Q645" s="0" t="n">
        <f aca="false">VLOOKUP(A645,'Team Data'!$A$1:$P$133,4,FALSE())</f>
        <v>97</v>
      </c>
      <c r="R645" s="0" t="n">
        <f aca="false">VLOOKUP(A645,'Team Data'!$A$1:$P$133,5,FALSE())</f>
        <v>179</v>
      </c>
      <c r="S645" s="0" t="n">
        <f aca="false">VLOOKUP(B645,'Team Data'!$A$1:$P$133,4,FALSE())</f>
        <v>91</v>
      </c>
      <c r="T645" s="0" t="n">
        <f aca="false">VLOOKUP(B645,'Team Data'!$A$1:$P$133,5,FALSE())</f>
        <v>76</v>
      </c>
      <c r="U645" s="0" t="n">
        <f aca="false">IF(K645=1,(MIN(35,(C645-D645)))*(O645/(O645+P645))*(S645/(S645+T645)),(MAX(-35,(C645-D645)))*(IF(P645=0,0.1,(P645/(O645+P645))))*(T645/(S645+T645)))</f>
        <v>0.754491017964072</v>
      </c>
      <c r="V645" s="0" t="n">
        <f aca="false">IF(L645=1,(MIN(35,(D645-C645)))*(M645/(M645+N645))*(Q645/(Q645+R645)),(MAX(-35,(D645-C645)))*(IF(N645=0,0.1,(N645/(M645+N645))))*(R645/(R645+Q645)))</f>
        <v>-1.04765886287625</v>
      </c>
    </row>
    <row r="646" customFormat="false" ht="15" hidden="false" customHeight="false" outlineLevel="0" collapsed="false">
      <c r="A646" s="0" t="s">
        <v>132</v>
      </c>
      <c r="B646" s="0" t="s">
        <v>48</v>
      </c>
      <c r="C646" s="0" t="n">
        <v>14</v>
      </c>
      <c r="D646" s="0" t="n">
        <v>31</v>
      </c>
      <c r="E646" s="0" t="n">
        <v>76</v>
      </c>
      <c r="F646" s="0" t="n">
        <v>172</v>
      </c>
      <c r="G646" s="0" t="n">
        <v>124</v>
      </c>
      <c r="H646" s="0" t="n">
        <v>219</v>
      </c>
      <c r="I646" s="0" t="n">
        <v>1</v>
      </c>
      <c r="J646" s="0" t="n">
        <v>0</v>
      </c>
      <c r="K646" s="0" t="n">
        <v>0</v>
      </c>
      <c r="L646" s="0" t="n">
        <v>1</v>
      </c>
      <c r="M646" s="0" t="n">
        <f aca="false">VLOOKUP(A646,'Team Data'!$A$1:$P$133,2,FALSE())</f>
        <v>5</v>
      </c>
      <c r="N646" s="0" t="n">
        <f aca="false">VLOOKUP(A646,'Team Data'!$A$1:$P$133,3,FALSE())</f>
        <v>7</v>
      </c>
      <c r="O646" s="0" t="n">
        <f aca="false">VLOOKUP(B646,'Team Data'!$A$1:$P$133,2,FALSE())</f>
        <v>4</v>
      </c>
      <c r="P646" s="0" t="n">
        <f aca="false">VLOOKUP(B646,'Team Data'!$A$1:$P$133,3,FALSE())</f>
        <v>8</v>
      </c>
      <c r="Q646" s="0" t="n">
        <f aca="false">VLOOKUP(A646,'Team Data'!$A$1:$P$133,4,FALSE())</f>
        <v>88</v>
      </c>
      <c r="R646" s="0" t="n">
        <f aca="false">VLOOKUP(A646,'Team Data'!$A$1:$P$133,5,FALSE())</f>
        <v>175</v>
      </c>
      <c r="S646" s="0" t="n">
        <f aca="false">VLOOKUP(B646,'Team Data'!$A$1:$P$133,4,FALSE())</f>
        <v>95</v>
      </c>
      <c r="T646" s="0" t="n">
        <f aca="false">VLOOKUP(B646,'Team Data'!$A$1:$P$133,5,FALSE())</f>
        <v>171</v>
      </c>
      <c r="U646" s="0" t="n">
        <f aca="false">IF(K646=1,(MIN(35,(C646-D646)))*(O646/(O646+P646))*(S646/(S646+T646)),(MAX(-35,(C646-D646)))*(IF(P646=0,0.1,(P646/(O646+P646))))*(T646/(S646+T646)))</f>
        <v>-7.28571428571429</v>
      </c>
      <c r="V646" s="0" t="n">
        <f aca="false">IF(L646=1,(MIN(35,(D646-C646)))*(M646/(M646+N646))*(Q646/(Q646+R646)),(MAX(-35,(D646-C646)))*(IF(N646=0,0.1,(N646/(M646+N646))))*(R646/(R646+Q646)))</f>
        <v>2.37008871989861</v>
      </c>
    </row>
    <row r="647" customFormat="false" ht="15" hidden="false" customHeight="false" outlineLevel="0" collapsed="false">
      <c r="A647" s="0" t="s">
        <v>85</v>
      </c>
      <c r="B647" s="0" t="s">
        <v>50</v>
      </c>
      <c r="C647" s="0" t="n">
        <v>16</v>
      </c>
      <c r="D647" s="0" t="n">
        <v>37</v>
      </c>
      <c r="E647" s="0" t="n">
        <v>111</v>
      </c>
      <c r="F647" s="0" t="n">
        <v>351</v>
      </c>
      <c r="G647" s="0" t="n">
        <v>304</v>
      </c>
      <c r="H647" s="0" t="n">
        <v>203</v>
      </c>
      <c r="I647" s="0" t="n">
        <v>4</v>
      </c>
      <c r="J647" s="0" t="n">
        <v>0</v>
      </c>
      <c r="K647" s="0" t="n">
        <v>0</v>
      </c>
      <c r="L647" s="0" t="n">
        <v>1</v>
      </c>
      <c r="M647" s="0" t="n">
        <f aca="false">VLOOKUP(A647,'Team Data'!$A$1:$P$133,2,FALSE())</f>
        <v>7</v>
      </c>
      <c r="N647" s="0" t="n">
        <f aca="false">VLOOKUP(A647,'Team Data'!$A$1:$P$133,3,FALSE())</f>
        <v>6</v>
      </c>
      <c r="O647" s="0" t="n">
        <f aca="false">VLOOKUP(B647,'Team Data'!$A$1:$P$133,2,FALSE())</f>
        <v>6</v>
      </c>
      <c r="P647" s="0" t="n">
        <f aca="false">VLOOKUP(B647,'Team Data'!$A$1:$P$133,3,FALSE())</f>
        <v>7</v>
      </c>
      <c r="Q647" s="0" t="n">
        <f aca="false">VLOOKUP(A647,'Team Data'!$A$1:$P$133,4,FALSE())</f>
        <v>88</v>
      </c>
      <c r="R647" s="0" t="n">
        <f aca="false">VLOOKUP(A647,'Team Data'!$A$1:$P$133,5,FALSE())</f>
        <v>187</v>
      </c>
      <c r="S647" s="0" t="n">
        <f aca="false">VLOOKUP(B647,'Team Data'!$A$1:$P$133,4,FALSE())</f>
        <v>99</v>
      </c>
      <c r="T647" s="0" t="n">
        <f aca="false">VLOOKUP(B647,'Team Data'!$A$1:$P$133,5,FALSE())</f>
        <v>178</v>
      </c>
      <c r="U647" s="0" t="n">
        <f aca="false">IF(K647=1,(MIN(35,(C647-D647)))*(O647/(O647+P647))*(S647/(S647+T647)),(MAX(-35,(C647-D647)))*(IF(P647=0,0.1,(P647/(O647+P647))))*(T647/(S647+T647)))</f>
        <v>-7.2663149125243</v>
      </c>
      <c r="V647" s="0" t="n">
        <f aca="false">IF(L647=1,(MIN(35,(D647-C647)))*(M647/(M647+N647))*(Q647/(Q647+R647)),(MAX(-35,(D647-C647)))*(IF(N647=0,0.1,(N647/(M647+N647))))*(R647/(R647+Q647)))</f>
        <v>3.61846153846154</v>
      </c>
    </row>
    <row r="648" customFormat="false" ht="15" hidden="false" customHeight="false" outlineLevel="0" collapsed="false">
      <c r="A648" s="0" t="s">
        <v>106</v>
      </c>
      <c r="B648" s="0" t="s">
        <v>51</v>
      </c>
      <c r="C648" s="0" t="n">
        <v>34</v>
      </c>
      <c r="D648" s="0" t="n">
        <v>27</v>
      </c>
      <c r="E648" s="0" t="n">
        <v>269</v>
      </c>
      <c r="F648" s="0" t="n">
        <v>139</v>
      </c>
      <c r="G648" s="0" t="n">
        <v>197</v>
      </c>
      <c r="H648" s="0" t="n">
        <v>329</v>
      </c>
      <c r="I648" s="0" t="n">
        <v>2</v>
      </c>
      <c r="J648" s="0" t="n">
        <v>2</v>
      </c>
      <c r="K648" s="0" t="n">
        <v>1</v>
      </c>
      <c r="L648" s="0" t="n">
        <v>0</v>
      </c>
      <c r="M648" s="0" t="n">
        <f aca="false">VLOOKUP(A648,'Team Data'!$A$1:$P$133,2,FALSE())</f>
        <v>8</v>
      </c>
      <c r="N648" s="0" t="n">
        <f aca="false">VLOOKUP(A648,'Team Data'!$A$1:$P$133,3,FALSE())</f>
        <v>5</v>
      </c>
      <c r="O648" s="0" t="n">
        <f aca="false">VLOOKUP(B648,'Team Data'!$A$1:$P$133,2,FALSE())</f>
        <v>10</v>
      </c>
      <c r="P648" s="0" t="n">
        <f aca="false">VLOOKUP(B648,'Team Data'!$A$1:$P$133,3,FALSE())</f>
        <v>4</v>
      </c>
      <c r="Q648" s="0" t="n">
        <f aca="false">VLOOKUP(A648,'Team Data'!$A$1:$P$133,4,FALSE())</f>
        <v>102</v>
      </c>
      <c r="R648" s="0" t="n">
        <f aca="false">VLOOKUP(A648,'Team Data'!$A$1:$P$133,5,FALSE())</f>
        <v>68</v>
      </c>
      <c r="S648" s="0" t="n">
        <f aca="false">VLOOKUP(B648,'Team Data'!$A$1:$P$133,4,FALSE())</f>
        <v>113</v>
      </c>
      <c r="T648" s="0" t="n">
        <f aca="false">VLOOKUP(B648,'Team Data'!$A$1:$P$133,5,FALSE())</f>
        <v>179</v>
      </c>
      <c r="U648" s="0" t="n">
        <f aca="false">IF(K648=1,(MIN(35,(C648-D648)))*(O648/(O648+P648))*(S648/(S648+T648)),(MAX(-35,(C648-D648)))*(IF(P648=0,0.1,(P648/(O648+P648))))*(T648/(S648+T648)))</f>
        <v>1.93493150684932</v>
      </c>
      <c r="V648" s="0" t="n">
        <f aca="false">IF(L648=1,(MIN(35,(D648-C648)))*(M648/(M648+N648))*(Q648/(Q648+R648)),(MAX(-35,(D648-C648)))*(IF(N648=0,0.1,(N648/(M648+N648))))*(R648/(R648+Q648)))</f>
        <v>-1.07692307692308</v>
      </c>
    </row>
    <row r="649" customFormat="false" ht="15" hidden="false" customHeight="false" outlineLevel="0" collapsed="false">
      <c r="A649" s="0" t="s">
        <v>109</v>
      </c>
      <c r="B649" s="0" t="s">
        <v>103</v>
      </c>
      <c r="C649" s="0" t="n">
        <v>24</v>
      </c>
      <c r="D649" s="0" t="n">
        <v>34</v>
      </c>
      <c r="E649" s="0" t="n">
        <v>195</v>
      </c>
      <c r="F649" s="0" t="n">
        <v>234</v>
      </c>
      <c r="G649" s="0" t="n">
        <v>157</v>
      </c>
      <c r="H649" s="0" t="n">
        <v>195</v>
      </c>
      <c r="I649" s="0" t="n">
        <v>1</v>
      </c>
      <c r="J649" s="0" t="n">
        <v>0</v>
      </c>
      <c r="K649" s="0" t="n">
        <v>0</v>
      </c>
      <c r="L649" s="0" t="n">
        <v>1</v>
      </c>
      <c r="M649" s="0" t="n">
        <f aca="false">VLOOKUP(A649,'Team Data'!$A$1:$P$133,2,FALSE())</f>
        <v>8</v>
      </c>
      <c r="N649" s="0" t="n">
        <f aca="false">VLOOKUP(A649,'Team Data'!$A$1:$P$133,3,FALSE())</f>
        <v>5</v>
      </c>
      <c r="O649" s="0" t="n">
        <f aca="false">VLOOKUP(B649,'Team Data'!$A$1:$P$133,2,FALSE())</f>
        <v>13</v>
      </c>
      <c r="P649" s="0" t="n">
        <f aca="false">VLOOKUP(B649,'Team Data'!$A$1:$P$133,3,FALSE())</f>
        <v>2</v>
      </c>
      <c r="Q649" s="0" t="n">
        <f aca="false">VLOOKUP(A649,'Team Data'!$A$1:$P$133,4,FALSE())</f>
        <v>97</v>
      </c>
      <c r="R649" s="0" t="n">
        <f aca="false">VLOOKUP(A649,'Team Data'!$A$1:$P$133,5,FALSE())</f>
        <v>180</v>
      </c>
      <c r="S649" s="0" t="n">
        <f aca="false">VLOOKUP(B649,'Team Data'!$A$1:$P$133,4,FALSE())</f>
        <v>114</v>
      </c>
      <c r="T649" s="0" t="n">
        <f aca="false">VLOOKUP(B649,'Team Data'!$A$1:$P$133,5,FALSE())</f>
        <v>190</v>
      </c>
      <c r="U649" s="0" t="n">
        <f aca="false">IF(K649=1,(MIN(35,(C649-D649)))*(O649/(O649+P649))*(S649/(S649+T649)),(MAX(-35,(C649-D649)))*(IF(P649=0,0.1,(P649/(O649+P649))))*(T649/(S649+T649)))</f>
        <v>-0.833333333333333</v>
      </c>
      <c r="V649" s="0" t="n">
        <f aca="false">IF(L649=1,(MIN(35,(D649-C649)))*(M649/(M649+N649))*(Q649/(Q649+R649)),(MAX(-35,(D649-C649)))*(IF(N649=0,0.1,(N649/(M649+N649))))*(R649/(R649+Q649)))</f>
        <v>2.154956956401</v>
      </c>
    </row>
    <row r="650" customFormat="false" ht="15" hidden="false" customHeight="false" outlineLevel="0" collapsed="false">
      <c r="A650" s="0" t="s">
        <v>27</v>
      </c>
      <c r="B650" s="0" t="s">
        <v>81</v>
      </c>
      <c r="C650" s="0" t="n">
        <v>14</v>
      </c>
      <c r="D650" s="0" t="n">
        <v>35</v>
      </c>
      <c r="E650" s="0" t="n">
        <v>90</v>
      </c>
      <c r="F650" s="0" t="n">
        <v>263</v>
      </c>
      <c r="G650" s="0" t="n">
        <v>191</v>
      </c>
      <c r="H650" s="0" t="n">
        <v>85</v>
      </c>
      <c r="I650" s="0" t="n">
        <v>2</v>
      </c>
      <c r="J650" s="0" t="n">
        <v>0</v>
      </c>
      <c r="K650" s="0" t="n">
        <v>0</v>
      </c>
      <c r="L650" s="0" t="n">
        <v>1</v>
      </c>
      <c r="M650" s="0" t="n">
        <f aca="false">VLOOKUP(A650,'Team Data'!$A$1:$P$133,2,FALSE())</f>
        <v>11</v>
      </c>
      <c r="N650" s="0" t="n">
        <f aca="false">VLOOKUP(A650,'Team Data'!$A$1:$P$133,3,FALSE())</f>
        <v>3</v>
      </c>
      <c r="O650" s="0" t="n">
        <f aca="false">VLOOKUP(B650,'Team Data'!$A$1:$P$133,2,FALSE())</f>
        <v>9</v>
      </c>
      <c r="P650" s="0" t="n">
        <f aca="false">VLOOKUP(B650,'Team Data'!$A$1:$P$133,3,FALSE())</f>
        <v>4</v>
      </c>
      <c r="Q650" s="0" t="n">
        <f aca="false">VLOOKUP(A650,'Team Data'!$A$1:$P$133,4,FALSE())</f>
        <v>102</v>
      </c>
      <c r="R650" s="0" t="n">
        <f aca="false">VLOOKUP(A650,'Team Data'!$A$1:$P$133,5,FALSE())</f>
        <v>184</v>
      </c>
      <c r="S650" s="0" t="n">
        <f aca="false">VLOOKUP(B650,'Team Data'!$A$1:$P$133,4,FALSE())</f>
        <v>93</v>
      </c>
      <c r="T650" s="0" t="n">
        <f aca="false">VLOOKUP(B650,'Team Data'!$A$1:$P$133,5,FALSE())</f>
        <v>74</v>
      </c>
      <c r="U650" s="0" t="n">
        <f aca="false">IF(K650=1,(MIN(35,(C650-D650)))*(O650/(O650+P650))*(S650/(S650+T650)),(MAX(-35,(C650-D650)))*(IF(P650=0,0.1,(P650/(O650+P650))))*(T650/(S650+T650)))</f>
        <v>-2.86319668355597</v>
      </c>
      <c r="V650" s="0" t="n">
        <f aca="false">IF(L650=1,(MIN(35,(D650-C650)))*(M650/(M650+N650))*(Q650/(Q650+R650)),(MAX(-35,(D650-C650)))*(IF(N650=0,0.1,(N650/(M650+N650))))*(R650/(R650+Q650)))</f>
        <v>5.88461538461539</v>
      </c>
    </row>
    <row r="651" customFormat="false" ht="15" hidden="false" customHeight="false" outlineLevel="0" collapsed="false">
      <c r="A651" s="0" t="s">
        <v>6</v>
      </c>
      <c r="B651" s="0" t="s">
        <v>14</v>
      </c>
      <c r="C651" s="0" t="n">
        <v>13</v>
      </c>
      <c r="D651" s="0" t="n">
        <v>7</v>
      </c>
      <c r="E651" s="0" t="n">
        <v>226</v>
      </c>
      <c r="F651" s="0" t="n">
        <v>78</v>
      </c>
      <c r="G651" s="0" t="n">
        <v>98</v>
      </c>
      <c r="H651" s="0" t="n">
        <v>67</v>
      </c>
      <c r="I651" s="0" t="n">
        <v>1</v>
      </c>
      <c r="J651" s="0" t="n">
        <v>1</v>
      </c>
      <c r="K651" s="0" t="n">
        <v>1</v>
      </c>
      <c r="L651" s="0" t="n">
        <v>0</v>
      </c>
      <c r="M651" s="0" t="n">
        <f aca="false">VLOOKUP(A651,'Team Data'!$A$1:$P$133,2,FALSE())</f>
        <v>10</v>
      </c>
      <c r="N651" s="0" t="n">
        <f aca="false">VLOOKUP(A651,'Team Data'!$A$1:$P$133,3,FALSE())</f>
        <v>3</v>
      </c>
      <c r="O651" s="0" t="n">
        <f aca="false">VLOOKUP(B651,'Team Data'!$A$1:$P$133,2,FALSE())</f>
        <v>6</v>
      </c>
      <c r="P651" s="0" t="n">
        <f aca="false">VLOOKUP(B651,'Team Data'!$A$1:$P$133,3,FALSE())</f>
        <v>6</v>
      </c>
      <c r="Q651" s="0" t="n">
        <f aca="false">VLOOKUP(A651,'Team Data'!$A$1:$P$133,4,FALSE())</f>
        <v>67</v>
      </c>
      <c r="R651" s="0" t="n">
        <f aca="false">VLOOKUP(A651,'Team Data'!$A$1:$P$133,5,FALSE())</f>
        <v>203</v>
      </c>
      <c r="S651" s="0" t="n">
        <f aca="false">VLOOKUP(B651,'Team Data'!$A$1:$P$133,4,FALSE())</f>
        <v>85</v>
      </c>
      <c r="T651" s="0" t="n">
        <f aca="false">VLOOKUP(B651,'Team Data'!$A$1:$P$133,5,FALSE())</f>
        <v>283</v>
      </c>
      <c r="U651" s="0" t="n">
        <f aca="false">IF(K651=1,(MIN(35,(C651-D651)))*(O651/(O651+P651))*(S651/(S651+T651)),(MAX(-35,(C651-D651)))*(IF(P651=0,0.1,(P651/(O651+P651))))*(T651/(S651+T651)))</f>
        <v>0.692934782608696</v>
      </c>
      <c r="V651" s="0" t="n">
        <f aca="false">IF(L651=1,(MIN(35,(D651-C651)))*(M651/(M651+N651))*(Q651/(Q651+R651)),(MAX(-35,(D651-C651)))*(IF(N651=0,0.1,(N651/(M651+N651))))*(R651/(R651+Q651)))</f>
        <v>-1.04102564102564</v>
      </c>
    </row>
    <row r="652" customFormat="false" ht="15" hidden="false" customHeight="false" outlineLevel="0" collapsed="false">
      <c r="A652" s="0" t="s">
        <v>118</v>
      </c>
      <c r="B652" s="0" t="s">
        <v>117</v>
      </c>
      <c r="C652" s="0" t="n">
        <v>10</v>
      </c>
      <c r="D652" s="0" t="n">
        <v>27</v>
      </c>
      <c r="E652" s="0" t="n">
        <v>103</v>
      </c>
      <c r="F652" s="0" t="n">
        <v>274</v>
      </c>
      <c r="G652" s="0" t="n">
        <v>266</v>
      </c>
      <c r="H652" s="0" t="n">
        <v>60</v>
      </c>
      <c r="I652" s="0" t="n">
        <v>2</v>
      </c>
      <c r="J652" s="0" t="n">
        <v>0</v>
      </c>
      <c r="K652" s="0" t="n">
        <v>0</v>
      </c>
      <c r="L652" s="0" t="n">
        <v>1</v>
      </c>
      <c r="M652" s="0" t="n">
        <f aca="false">VLOOKUP(A652,'Team Data'!$A$1:$P$133,2,FALSE())</f>
        <v>1</v>
      </c>
      <c r="N652" s="0" t="n">
        <f aca="false">VLOOKUP(A652,'Team Data'!$A$1:$P$133,3,FALSE())</f>
        <v>11</v>
      </c>
      <c r="O652" s="0" t="n">
        <f aca="false">VLOOKUP(B652,'Team Data'!$A$1:$P$133,2,FALSE())</f>
        <v>6</v>
      </c>
      <c r="P652" s="0" t="n">
        <f aca="false">VLOOKUP(B652,'Team Data'!$A$1:$P$133,3,FALSE())</f>
        <v>7</v>
      </c>
      <c r="Q652" s="0" t="n">
        <f aca="false">VLOOKUP(A652,'Team Data'!$A$1:$P$133,4,FALSE())</f>
        <v>83</v>
      </c>
      <c r="R652" s="0" t="n">
        <f aca="false">VLOOKUP(A652,'Team Data'!$A$1:$P$133,5,FALSE())</f>
        <v>178</v>
      </c>
      <c r="S652" s="0" t="n">
        <f aca="false">VLOOKUP(B652,'Team Data'!$A$1:$P$133,4,FALSE())</f>
        <v>88</v>
      </c>
      <c r="T652" s="0" t="n">
        <f aca="false">VLOOKUP(B652,'Team Data'!$A$1:$P$133,5,FALSE())</f>
        <v>185</v>
      </c>
      <c r="U652" s="0" t="n">
        <f aca="false">IF(K652=1,(MIN(35,(C652-D652)))*(O652/(O652+P652))*(S652/(S652+T652)),(MAX(-35,(C652-D652)))*(IF(P652=0,0.1,(P652/(O652+P652))))*(T652/(S652+T652)))</f>
        <v>-6.20315581854043</v>
      </c>
      <c r="V652" s="0" t="n">
        <f aca="false">IF(L652=1,(MIN(35,(D652-C652)))*(M652/(M652+N652))*(Q652/(Q652+R652)),(MAX(-35,(D652-C652)))*(IF(N652=0,0.1,(N652/(M652+N652))))*(R652/(R652+Q652)))</f>
        <v>0.450510855683269</v>
      </c>
    </row>
    <row r="653" customFormat="false" ht="15" hidden="false" customHeight="false" outlineLevel="0" collapsed="false">
      <c r="A653" s="0" t="s">
        <v>66</v>
      </c>
      <c r="B653" s="0" t="s">
        <v>45</v>
      </c>
      <c r="C653" s="0" t="n">
        <v>23</v>
      </c>
      <c r="D653" s="0" t="n">
        <v>15</v>
      </c>
      <c r="E653" s="0" t="n">
        <v>112</v>
      </c>
      <c r="F653" s="0" t="n">
        <v>153</v>
      </c>
      <c r="G653" s="0" t="n">
        <v>182</v>
      </c>
      <c r="H653" s="0" t="n">
        <v>288</v>
      </c>
      <c r="I653" s="0" t="n">
        <v>1</v>
      </c>
      <c r="J653" s="0" t="n">
        <v>1</v>
      </c>
      <c r="K653" s="0" t="n">
        <v>1</v>
      </c>
      <c r="L653" s="0" t="n">
        <v>0</v>
      </c>
      <c r="M653" s="0" t="n">
        <f aca="false">VLOOKUP(A653,'Team Data'!$A$1:$P$133,2,FALSE())</f>
        <v>5</v>
      </c>
      <c r="N653" s="0" t="n">
        <f aca="false">VLOOKUP(A653,'Team Data'!$A$1:$P$133,3,FALSE())</f>
        <v>7</v>
      </c>
      <c r="O653" s="0" t="n">
        <f aca="false">VLOOKUP(B653,'Team Data'!$A$1:$P$133,2,FALSE())</f>
        <v>8</v>
      </c>
      <c r="P653" s="0" t="n">
        <f aca="false">VLOOKUP(B653,'Team Data'!$A$1:$P$133,3,FALSE())</f>
        <v>5</v>
      </c>
      <c r="Q653" s="0" t="n">
        <f aca="false">VLOOKUP(A653,'Team Data'!$A$1:$P$133,4,FALSE())</f>
        <v>93</v>
      </c>
      <c r="R653" s="0" t="n">
        <f aca="false">VLOOKUP(A653,'Team Data'!$A$1:$P$133,5,FALSE())</f>
        <v>60</v>
      </c>
      <c r="S653" s="0" t="n">
        <f aca="false">VLOOKUP(B653,'Team Data'!$A$1:$P$133,4,FALSE())</f>
        <v>86</v>
      </c>
      <c r="T653" s="0" t="n">
        <f aca="false">VLOOKUP(B653,'Team Data'!$A$1:$P$133,5,FALSE())</f>
        <v>185</v>
      </c>
      <c r="U653" s="0" t="n">
        <f aca="false">IF(K653=1,(MIN(35,(C653-D653)))*(O653/(O653+P653))*(S653/(S653+T653)),(MAX(-35,(C653-D653)))*(IF(P653=0,0.1,(P653/(O653+P653))))*(T653/(S653+T653)))</f>
        <v>1.56230485381777</v>
      </c>
      <c r="V653" s="0" t="n">
        <f aca="false">IF(L653=1,(MIN(35,(D653-C653)))*(M653/(M653+N653))*(Q653/(Q653+R653)),(MAX(-35,(D653-C653)))*(IF(N653=0,0.1,(N653/(M653+N653))))*(R653/(R653+Q653)))</f>
        <v>-1.83006535947712</v>
      </c>
    </row>
    <row r="654" customFormat="false" ht="15" hidden="false" customHeight="false" outlineLevel="0" collapsed="false">
      <c r="A654" s="0" t="s">
        <v>68</v>
      </c>
      <c r="B654" s="0" t="s">
        <v>73</v>
      </c>
      <c r="C654" s="0" t="n">
        <v>20</v>
      </c>
      <c r="D654" s="0" t="n">
        <v>13</v>
      </c>
      <c r="E654" s="0" t="n">
        <v>125</v>
      </c>
      <c r="F654" s="0" t="n">
        <v>146</v>
      </c>
      <c r="G654" s="0" t="n">
        <v>175</v>
      </c>
      <c r="H654" s="0" t="n">
        <v>121</v>
      </c>
      <c r="I654" s="0" t="n">
        <v>0</v>
      </c>
      <c r="J654" s="0" t="n">
        <v>1</v>
      </c>
      <c r="K654" s="0" t="n">
        <v>1</v>
      </c>
      <c r="L654" s="0" t="n">
        <v>0</v>
      </c>
      <c r="M654" s="0" t="n">
        <f aca="false">VLOOKUP(A654,'Team Data'!$A$1:$P$133,2,FALSE())</f>
        <v>9</v>
      </c>
      <c r="N654" s="0" t="n">
        <f aca="false">VLOOKUP(A654,'Team Data'!$A$1:$P$133,3,FALSE())</f>
        <v>4</v>
      </c>
      <c r="O654" s="0" t="n">
        <f aca="false">VLOOKUP(B654,'Team Data'!$A$1:$P$133,2,FALSE())</f>
        <v>4</v>
      </c>
      <c r="P654" s="0" t="n">
        <f aca="false">VLOOKUP(B654,'Team Data'!$A$1:$P$133,3,FALSE())</f>
        <v>8</v>
      </c>
      <c r="Q654" s="0" t="n">
        <f aca="false">VLOOKUP(A654,'Team Data'!$A$1:$P$133,4,FALSE())</f>
        <v>79</v>
      </c>
      <c r="R654" s="0" t="n">
        <f aca="false">VLOOKUP(A654,'Team Data'!$A$1:$P$133,5,FALSE())</f>
        <v>193</v>
      </c>
      <c r="S654" s="0" t="n">
        <f aca="false">VLOOKUP(B654,'Team Data'!$A$1:$P$133,4,FALSE())</f>
        <v>82</v>
      </c>
      <c r="T654" s="0" t="n">
        <f aca="false">VLOOKUP(B654,'Team Data'!$A$1:$P$133,5,FALSE())</f>
        <v>180</v>
      </c>
      <c r="U654" s="0" t="n">
        <f aca="false">IF(K654=1,(MIN(35,(C654-D654)))*(O654/(O654+P654))*(S654/(S654+T654)),(MAX(-35,(C654-D654)))*(IF(P654=0,0.1,(P654/(O654+P654))))*(T654/(S654+T654)))</f>
        <v>0.730279898218829</v>
      </c>
      <c r="V654" s="0" t="n">
        <f aca="false">IF(L654=1,(MIN(35,(D654-C654)))*(M654/(M654+N654))*(Q654/(Q654+R654)),(MAX(-35,(D654-C654)))*(IF(N654=0,0.1,(N654/(M654+N654))))*(R654/(R654+Q654)))</f>
        <v>-1.52828054298643</v>
      </c>
    </row>
    <row r="655" customFormat="false" ht="15" hidden="false" customHeight="false" outlineLevel="0" collapsed="false">
      <c r="A655" s="0" t="s">
        <v>83</v>
      </c>
      <c r="B655" s="0" t="s">
        <v>80</v>
      </c>
      <c r="C655" s="0" t="n">
        <v>21</v>
      </c>
      <c r="D655" s="0" t="n">
        <v>7</v>
      </c>
      <c r="E655" s="0" t="n">
        <v>207</v>
      </c>
      <c r="F655" s="0" t="n">
        <v>206</v>
      </c>
      <c r="G655" s="0" t="n">
        <v>76</v>
      </c>
      <c r="H655" s="0" t="n">
        <v>79</v>
      </c>
      <c r="I655" s="0" t="n">
        <v>0</v>
      </c>
      <c r="J655" s="0" t="n">
        <v>0</v>
      </c>
      <c r="K655" s="0" t="n">
        <v>1</v>
      </c>
      <c r="L655" s="0" t="n">
        <v>0</v>
      </c>
      <c r="M655" s="0" t="n">
        <f aca="false">VLOOKUP(A655,'Team Data'!$A$1:$P$133,2,FALSE())</f>
        <v>11</v>
      </c>
      <c r="N655" s="0" t="n">
        <f aca="false">VLOOKUP(A655,'Team Data'!$A$1:$P$133,3,FALSE())</f>
        <v>2</v>
      </c>
      <c r="O655" s="0" t="n">
        <f aca="false">VLOOKUP(B655,'Team Data'!$A$1:$P$133,2,FALSE())</f>
        <v>1</v>
      </c>
      <c r="P655" s="0" t="n">
        <f aca="false">VLOOKUP(B655,'Team Data'!$A$1:$P$133,3,FALSE())</f>
        <v>11</v>
      </c>
      <c r="Q655" s="0" t="n">
        <f aca="false">VLOOKUP(A655,'Team Data'!$A$1:$P$133,4,FALSE())</f>
        <v>97</v>
      </c>
      <c r="R655" s="0" t="n">
        <f aca="false">VLOOKUP(A655,'Team Data'!$A$1:$P$133,5,FALSE())</f>
        <v>71</v>
      </c>
      <c r="S655" s="0" t="n">
        <f aca="false">VLOOKUP(B655,'Team Data'!$A$1:$P$133,4,FALSE())</f>
        <v>97</v>
      </c>
      <c r="T655" s="0" t="n">
        <f aca="false">VLOOKUP(B655,'Team Data'!$A$1:$P$133,5,FALSE())</f>
        <v>166</v>
      </c>
      <c r="U655" s="0" t="n">
        <f aca="false">IF(K655=1,(MIN(35,(C655-D655)))*(O655/(O655+P655))*(S655/(S655+T655)),(MAX(-35,(C655-D655)))*(IF(P655=0,0.1,(P655/(O655+P655))))*(T655/(S655+T655)))</f>
        <v>0.430291508238276</v>
      </c>
      <c r="V655" s="0" t="n">
        <f aca="false">IF(L655=1,(MIN(35,(D655-C655)))*(M655/(M655+N655))*(Q655/(Q655+R655)),(MAX(-35,(D655-C655)))*(IF(N655=0,0.1,(N655/(M655+N655))))*(R655/(R655+Q655)))</f>
        <v>-0.91025641025641</v>
      </c>
    </row>
    <row r="656" customFormat="false" ht="15" hidden="false" customHeight="false" outlineLevel="0" collapsed="false">
      <c r="A656" s="0" t="s">
        <v>47</v>
      </c>
      <c r="B656" s="0" t="s">
        <v>92</v>
      </c>
      <c r="C656" s="0" t="n">
        <v>24</v>
      </c>
      <c r="D656" s="0" t="n">
        <v>3</v>
      </c>
      <c r="E656" s="0" t="n">
        <v>184</v>
      </c>
      <c r="F656" s="0" t="n">
        <v>87</v>
      </c>
      <c r="G656" s="0" t="n">
        <v>192</v>
      </c>
      <c r="H656" s="0" t="n">
        <v>168</v>
      </c>
      <c r="I656" s="0" t="n">
        <v>0</v>
      </c>
      <c r="J656" s="0" t="n">
        <v>2</v>
      </c>
      <c r="K656" s="0" t="n">
        <v>1</v>
      </c>
      <c r="L656" s="0" t="n">
        <v>0</v>
      </c>
      <c r="M656" s="0" t="n">
        <f aca="false">VLOOKUP(A656,'Team Data'!$A$1:$P$133,2,FALSE())</f>
        <v>8</v>
      </c>
      <c r="N656" s="0" t="n">
        <f aca="false">VLOOKUP(A656,'Team Data'!$A$1:$P$133,3,FALSE())</f>
        <v>5</v>
      </c>
      <c r="O656" s="0" t="n">
        <f aca="false">VLOOKUP(B656,'Team Data'!$A$1:$P$133,2,FALSE())</f>
        <v>8</v>
      </c>
      <c r="P656" s="0" t="n">
        <f aca="false">VLOOKUP(B656,'Team Data'!$A$1:$P$133,3,FALSE())</f>
        <v>6</v>
      </c>
      <c r="Q656" s="0" t="n">
        <f aca="false">VLOOKUP(A656,'Team Data'!$A$1:$P$133,4,FALSE())</f>
        <v>86</v>
      </c>
      <c r="R656" s="0" t="n">
        <f aca="false">VLOOKUP(A656,'Team Data'!$A$1:$P$133,5,FALSE())</f>
        <v>187</v>
      </c>
      <c r="S656" s="0" t="n">
        <f aca="false">VLOOKUP(B656,'Team Data'!$A$1:$P$133,4,FALSE())</f>
        <v>103</v>
      </c>
      <c r="T656" s="0" t="n">
        <f aca="false">VLOOKUP(B656,'Team Data'!$A$1:$P$133,5,FALSE())</f>
        <v>184</v>
      </c>
      <c r="U656" s="0" t="n">
        <f aca="false">IF(K656=1,(MIN(35,(C656-D656)))*(O656/(O656+P656))*(S656/(S656+T656)),(MAX(-35,(C656-D656)))*(IF(P656=0,0.1,(P656/(O656+P656))))*(T656/(S656+T656)))</f>
        <v>4.30662020905923</v>
      </c>
      <c r="V656" s="0" t="n">
        <f aca="false">IF(L656=1,(MIN(35,(D656-C656)))*(M656/(M656+N656))*(Q656/(Q656+R656)),(MAX(-35,(D656-C656)))*(IF(N656=0,0.1,(N656/(M656+N656))))*(R656/(R656+Q656)))</f>
        <v>-5.53254437869822</v>
      </c>
    </row>
    <row r="657" customFormat="false" ht="15" hidden="false" customHeight="false" outlineLevel="0" collapsed="false">
      <c r="A657" s="0" t="s">
        <v>61</v>
      </c>
      <c r="B657" s="0" t="s">
        <v>135</v>
      </c>
      <c r="C657" s="0" t="n">
        <v>10</v>
      </c>
      <c r="D657" s="0" t="n">
        <v>23</v>
      </c>
      <c r="E657" s="0" t="n">
        <v>112</v>
      </c>
      <c r="F657" s="0" t="n">
        <v>278</v>
      </c>
      <c r="G657" s="0" t="n">
        <v>77</v>
      </c>
      <c r="H657" s="0" t="n">
        <v>77</v>
      </c>
      <c r="I657" s="0" t="n">
        <v>1</v>
      </c>
      <c r="J657" s="0" t="n">
        <v>0</v>
      </c>
      <c r="K657" s="0" t="n">
        <v>0</v>
      </c>
      <c r="L657" s="0" t="n">
        <v>1</v>
      </c>
      <c r="M657" s="0" t="n">
        <f aca="false">VLOOKUP(A657,'Team Data'!$A$1:$P$133,2,FALSE())</f>
        <v>8</v>
      </c>
      <c r="N657" s="0" t="n">
        <f aca="false">VLOOKUP(A657,'Team Data'!$A$1:$P$133,3,FALSE())</f>
        <v>5</v>
      </c>
      <c r="O657" s="0" t="n">
        <f aca="false">VLOOKUP(B657,'Team Data'!$A$1:$P$133,2,FALSE())</f>
        <v>7</v>
      </c>
      <c r="P657" s="0" t="n">
        <f aca="false">VLOOKUP(B657,'Team Data'!$A$1:$P$133,3,FALSE())</f>
        <v>6</v>
      </c>
      <c r="Q657" s="0" t="n">
        <f aca="false">VLOOKUP(A657,'Team Data'!$A$1:$P$133,4,FALSE())</f>
        <v>89</v>
      </c>
      <c r="R657" s="0" t="n">
        <f aca="false">VLOOKUP(A657,'Team Data'!$A$1:$P$133,5,FALSE())</f>
        <v>77</v>
      </c>
      <c r="S657" s="0" t="n">
        <f aca="false">VLOOKUP(B657,'Team Data'!$A$1:$P$133,4,FALSE())</f>
        <v>91</v>
      </c>
      <c r="T657" s="0" t="n">
        <f aca="false">VLOOKUP(B657,'Team Data'!$A$1:$P$133,5,FALSE())</f>
        <v>183</v>
      </c>
      <c r="U657" s="0" t="n">
        <f aca="false">IF(K657=1,(MIN(35,(C657-D657)))*(O657/(O657+P657))*(S657/(S657+T657)),(MAX(-35,(C657-D657)))*(IF(P657=0,0.1,(P657/(O657+P657))))*(T657/(S657+T657)))</f>
        <v>-4.00729927007299</v>
      </c>
      <c r="V657" s="0" t="n">
        <f aca="false">IF(L657=1,(MIN(35,(D657-C657)))*(M657/(M657+N657))*(Q657/(Q657+R657)),(MAX(-35,(D657-C657)))*(IF(N657=0,0.1,(N657/(M657+N657))))*(R657/(R657+Q657)))</f>
        <v>4.28915662650602</v>
      </c>
    </row>
    <row r="658" customFormat="false" ht="15" hidden="false" customHeight="false" outlineLevel="0" collapsed="false">
      <c r="A658" s="0" t="s">
        <v>90</v>
      </c>
      <c r="B658" s="0" t="s">
        <v>46</v>
      </c>
      <c r="C658" s="0" t="n">
        <v>45</v>
      </c>
      <c r="D658" s="0" t="n">
        <v>14</v>
      </c>
      <c r="E658" s="0" t="n">
        <v>179</v>
      </c>
      <c r="F658" s="0" t="n">
        <v>65</v>
      </c>
      <c r="G658" s="0" t="n">
        <v>304</v>
      </c>
      <c r="H658" s="0" t="n">
        <v>131</v>
      </c>
      <c r="I658" s="0" t="n">
        <v>1</v>
      </c>
      <c r="J658" s="0" t="n">
        <v>3</v>
      </c>
      <c r="K658" s="0" t="n">
        <v>1</v>
      </c>
      <c r="L658" s="0" t="n">
        <v>0</v>
      </c>
      <c r="M658" s="0" t="n">
        <f aca="false">VLOOKUP(A658,'Team Data'!$A$1:$P$133,2,FALSE())</f>
        <v>11</v>
      </c>
      <c r="N658" s="0" t="n">
        <f aca="false">VLOOKUP(A658,'Team Data'!$A$1:$P$133,3,FALSE())</f>
        <v>2</v>
      </c>
      <c r="O658" s="0" t="n">
        <f aca="false">VLOOKUP(B658,'Team Data'!$A$1:$P$133,2,FALSE())</f>
        <v>4</v>
      </c>
      <c r="P658" s="0" t="n">
        <f aca="false">VLOOKUP(B658,'Team Data'!$A$1:$P$133,3,FALSE())</f>
        <v>8</v>
      </c>
      <c r="Q658" s="0" t="n">
        <f aca="false">VLOOKUP(A658,'Team Data'!$A$1:$P$133,4,FALSE())</f>
        <v>92</v>
      </c>
      <c r="R658" s="0" t="n">
        <f aca="false">VLOOKUP(A658,'Team Data'!$A$1:$P$133,5,FALSE())</f>
        <v>75</v>
      </c>
      <c r="S658" s="0" t="n">
        <f aca="false">VLOOKUP(B658,'Team Data'!$A$1:$P$133,4,FALSE())</f>
        <v>98</v>
      </c>
      <c r="T658" s="0" t="n">
        <f aca="false">VLOOKUP(B658,'Team Data'!$A$1:$P$133,5,FALSE())</f>
        <v>165</v>
      </c>
      <c r="U658" s="0" t="n">
        <f aca="false">IF(K658=1,(MIN(35,(C658-D658)))*(O658/(O658+P658))*(S658/(S658+T658)),(MAX(-35,(C658-D658)))*(IF(P658=0,0.1,(P658/(O658+P658))))*(T658/(S658+T658)))</f>
        <v>3.85044359949303</v>
      </c>
      <c r="V658" s="0" t="n">
        <f aca="false">IF(L658=1,(MIN(35,(D658-C658)))*(M658/(M658+N658))*(Q658/(Q658+R658)),(MAX(-35,(D658-C658)))*(IF(N658=0,0.1,(N658/(M658+N658))))*(R658/(R658+Q658)))</f>
        <v>-2.14187010594196</v>
      </c>
    </row>
    <row r="659" customFormat="false" ht="15" hidden="false" customHeight="false" outlineLevel="0" collapsed="false">
      <c r="A659" s="0" t="s">
        <v>65</v>
      </c>
      <c r="B659" s="0" t="s">
        <v>94</v>
      </c>
      <c r="C659" s="0" t="n">
        <v>52</v>
      </c>
      <c r="D659" s="0" t="n">
        <v>17</v>
      </c>
      <c r="E659" s="0" t="n">
        <v>282</v>
      </c>
      <c r="F659" s="0" t="n">
        <v>14</v>
      </c>
      <c r="G659" s="0" t="n">
        <v>151</v>
      </c>
      <c r="H659" s="0" t="n">
        <v>166</v>
      </c>
      <c r="I659" s="0" t="n">
        <v>0</v>
      </c>
      <c r="J659" s="0" t="n">
        <v>3</v>
      </c>
      <c r="K659" s="0" t="n">
        <v>1</v>
      </c>
      <c r="L659" s="0" t="n">
        <v>0</v>
      </c>
      <c r="M659" s="0" t="n">
        <f aca="false">VLOOKUP(A659,'Team Data'!$A$1:$P$133,2,FALSE())</f>
        <v>13</v>
      </c>
      <c r="N659" s="0" t="n">
        <f aca="false">VLOOKUP(A659,'Team Data'!$A$1:$P$133,3,FALSE())</f>
        <v>1</v>
      </c>
      <c r="O659" s="0" t="n">
        <f aca="false">VLOOKUP(B659,'Team Data'!$A$1:$P$133,2,FALSE())</f>
        <v>4</v>
      </c>
      <c r="P659" s="0" t="n">
        <f aca="false">VLOOKUP(B659,'Team Data'!$A$1:$P$133,3,FALSE())</f>
        <v>8</v>
      </c>
      <c r="Q659" s="0" t="n">
        <f aca="false">VLOOKUP(A659,'Team Data'!$A$1:$P$133,4,FALSE())</f>
        <v>96</v>
      </c>
      <c r="R659" s="0" t="n">
        <f aca="false">VLOOKUP(A659,'Team Data'!$A$1:$P$133,5,FALSE())</f>
        <v>84</v>
      </c>
      <c r="S659" s="0" t="n">
        <f aca="false">VLOOKUP(B659,'Team Data'!$A$1:$P$133,4,FALSE())</f>
        <v>87</v>
      </c>
      <c r="T659" s="0" t="n">
        <f aca="false">VLOOKUP(B659,'Team Data'!$A$1:$P$133,5,FALSE())</f>
        <v>172</v>
      </c>
      <c r="U659" s="0" t="n">
        <f aca="false">IF(K659=1,(MIN(35,(C659-D659)))*(O659/(O659+P659))*(S659/(S659+T659)),(MAX(-35,(C659-D659)))*(IF(P659=0,0.1,(P659/(O659+P659))))*(T659/(S659+T659)))</f>
        <v>3.91891891891892</v>
      </c>
      <c r="V659" s="0" t="n">
        <f aca="false">IF(L659=1,(MIN(35,(D659-C659)))*(M659/(M659+N659))*(Q659/(Q659+R659)),(MAX(-35,(D659-C659)))*(IF(N659=0,0.1,(N659/(M659+N659))))*(R659/(R659+Q659)))</f>
        <v>-1.16666666666667</v>
      </c>
    </row>
    <row r="660" customFormat="false" ht="15" hidden="false" customHeight="false" outlineLevel="0" collapsed="false">
      <c r="A660" s="0" t="s">
        <v>31</v>
      </c>
      <c r="B660" s="0" t="s">
        <v>20</v>
      </c>
      <c r="C660" s="0" t="n">
        <v>38</v>
      </c>
      <c r="D660" s="0" t="n">
        <v>31</v>
      </c>
      <c r="E660" s="0" t="n">
        <v>232</v>
      </c>
      <c r="F660" s="0" t="n">
        <v>75</v>
      </c>
      <c r="G660" s="0" t="n">
        <v>158</v>
      </c>
      <c r="H660" s="0" t="n">
        <v>330</v>
      </c>
      <c r="I660" s="0" t="n">
        <v>0</v>
      </c>
      <c r="J660" s="0" t="n">
        <v>0</v>
      </c>
      <c r="K660" s="0" t="n">
        <v>1</v>
      </c>
      <c r="L660" s="0" t="n">
        <v>0</v>
      </c>
      <c r="M660" s="0" t="n">
        <f aca="false">VLOOKUP(A660,'Team Data'!$A$1:$P$133,2,FALSE())</f>
        <v>9</v>
      </c>
      <c r="N660" s="0" t="n">
        <f aca="false">VLOOKUP(A660,'Team Data'!$A$1:$P$133,3,FALSE())</f>
        <v>4</v>
      </c>
      <c r="O660" s="0" t="n">
        <f aca="false">VLOOKUP(B660,'Team Data'!$A$1:$P$133,2,FALSE())</f>
        <v>3</v>
      </c>
      <c r="P660" s="0" t="n">
        <f aca="false">VLOOKUP(B660,'Team Data'!$A$1:$P$133,3,FALSE())</f>
        <v>9</v>
      </c>
      <c r="Q660" s="0" t="n">
        <f aca="false">VLOOKUP(A660,'Team Data'!$A$1:$P$133,4,FALSE())</f>
        <v>72</v>
      </c>
      <c r="R660" s="0" t="n">
        <f aca="false">VLOOKUP(A660,'Team Data'!$A$1:$P$133,5,FALSE())</f>
        <v>196</v>
      </c>
      <c r="S660" s="0" t="n">
        <f aca="false">VLOOKUP(B660,'Team Data'!$A$1:$P$133,4,FALSE())</f>
        <v>91</v>
      </c>
      <c r="T660" s="0" t="n">
        <f aca="false">VLOOKUP(B660,'Team Data'!$A$1:$P$133,5,FALSE())</f>
        <v>170</v>
      </c>
      <c r="U660" s="0" t="n">
        <f aca="false">IF(K660=1,(MIN(35,(C660-D660)))*(O660/(O660+P660))*(S660/(S660+T660)),(MAX(-35,(C660-D660)))*(IF(P660=0,0.1,(P660/(O660+P660))))*(T660/(S660+T660)))</f>
        <v>0.610153256704981</v>
      </c>
      <c r="V660" s="0" t="n">
        <f aca="false">IF(L660=1,(MIN(35,(D660-C660)))*(M660/(M660+N660))*(Q660/(Q660+R660)),(MAX(-35,(D660-C660)))*(IF(N660=0,0.1,(N660/(M660+N660))))*(R660/(R660+Q660)))</f>
        <v>-1.5752009184845</v>
      </c>
    </row>
    <row r="661" customFormat="false" ht="15" hidden="false" customHeight="false" outlineLevel="0" collapsed="false">
      <c r="A661" s="0" t="s">
        <v>49</v>
      </c>
      <c r="B661" s="0" t="s">
        <v>59</v>
      </c>
      <c r="C661" s="0" t="n">
        <v>10</v>
      </c>
      <c r="D661" s="0" t="n">
        <v>34</v>
      </c>
      <c r="E661" s="0" t="n">
        <v>141</v>
      </c>
      <c r="F661" s="0" t="n">
        <v>244</v>
      </c>
      <c r="G661" s="0" t="n">
        <v>52</v>
      </c>
      <c r="H661" s="0" t="n">
        <v>223</v>
      </c>
      <c r="I661" s="0" t="n">
        <v>0</v>
      </c>
      <c r="J661" s="0" t="n">
        <v>1</v>
      </c>
      <c r="K661" s="0" t="n">
        <v>0</v>
      </c>
      <c r="L661" s="0" t="n">
        <v>1</v>
      </c>
      <c r="M661" s="0" t="n">
        <f aca="false">VLOOKUP(A661,'Team Data'!$A$1:$P$133,2,FALSE())</f>
        <v>8</v>
      </c>
      <c r="N661" s="0" t="n">
        <f aca="false">VLOOKUP(A661,'Team Data'!$A$1:$P$133,3,FALSE())</f>
        <v>3</v>
      </c>
      <c r="O661" s="0" t="n">
        <f aca="false">VLOOKUP(B661,'Team Data'!$A$1:$P$133,2,FALSE())</f>
        <v>8</v>
      </c>
      <c r="P661" s="0" t="n">
        <f aca="false">VLOOKUP(B661,'Team Data'!$A$1:$P$133,3,FALSE())</f>
        <v>5</v>
      </c>
      <c r="Q661" s="0" t="n">
        <f aca="false">VLOOKUP(A661,'Team Data'!$A$1:$P$133,4,FALSE())</f>
        <v>68</v>
      </c>
      <c r="R661" s="0" t="n">
        <f aca="false">VLOOKUP(A661,'Team Data'!$A$1:$P$133,5,FALSE())</f>
        <v>177</v>
      </c>
      <c r="S661" s="0" t="n">
        <f aca="false">VLOOKUP(B661,'Team Data'!$A$1:$P$133,4,FALSE())</f>
        <v>93</v>
      </c>
      <c r="T661" s="0" t="n">
        <f aca="false">VLOOKUP(B661,'Team Data'!$A$1:$P$133,5,FALSE())</f>
        <v>71</v>
      </c>
      <c r="U661" s="0" t="n">
        <f aca="false">IF(K661=1,(MIN(35,(C661-D661)))*(O661/(O661+P661))*(S661/(S661+T661)),(MAX(-35,(C661-D661)))*(IF(P661=0,0.1,(P661/(O661+P661))))*(T661/(S661+T661)))</f>
        <v>-3.99624765478424</v>
      </c>
      <c r="V661" s="0" t="n">
        <f aca="false">IF(L661=1,(MIN(35,(D661-C661)))*(M661/(M661+N661))*(Q661/(Q661+R661)),(MAX(-35,(D661-C661)))*(IF(N661=0,0.1,(N661/(M661+N661))))*(R661/(R661+Q661)))</f>
        <v>4.84452690166976</v>
      </c>
    </row>
    <row r="662" customFormat="false" ht="15" hidden="false" customHeight="false" outlineLevel="0" collapsed="false">
      <c r="A662" s="0" t="s">
        <v>37</v>
      </c>
      <c r="B662" s="0" t="s">
        <v>63</v>
      </c>
      <c r="C662" s="0" t="n">
        <v>45</v>
      </c>
      <c r="D662" s="0" t="n">
        <v>3</v>
      </c>
      <c r="E662" s="0" t="n">
        <v>229</v>
      </c>
      <c r="F662" s="0" t="n">
        <v>126</v>
      </c>
      <c r="G662" s="0" t="n">
        <v>225</v>
      </c>
      <c r="H662" s="0" t="n">
        <v>62</v>
      </c>
      <c r="I662" s="0" t="n">
        <v>1</v>
      </c>
      <c r="J662" s="0" t="n">
        <v>4</v>
      </c>
      <c r="K662" s="0" t="n">
        <v>1</v>
      </c>
      <c r="L662" s="0" t="n">
        <v>0</v>
      </c>
      <c r="M662" s="0" t="n">
        <f aca="false">VLOOKUP(A662,'Team Data'!$A$1:$P$133,2,FALSE())</f>
        <v>10</v>
      </c>
      <c r="N662" s="0" t="n">
        <f aca="false">VLOOKUP(A662,'Team Data'!$A$1:$P$133,3,FALSE())</f>
        <v>3</v>
      </c>
      <c r="O662" s="0" t="n">
        <f aca="false">VLOOKUP(B662,'Team Data'!$A$1:$P$133,2,FALSE())</f>
        <v>5</v>
      </c>
      <c r="P662" s="0" t="n">
        <f aca="false">VLOOKUP(B662,'Team Data'!$A$1:$P$133,3,FALSE())</f>
        <v>7</v>
      </c>
      <c r="Q662" s="0" t="n">
        <f aca="false">VLOOKUP(A662,'Team Data'!$A$1:$P$133,4,FALSE())</f>
        <v>91</v>
      </c>
      <c r="R662" s="0" t="n">
        <f aca="false">VLOOKUP(A662,'Team Data'!$A$1:$P$133,5,FALSE())</f>
        <v>184</v>
      </c>
      <c r="S662" s="0" t="n">
        <f aca="false">VLOOKUP(B662,'Team Data'!$A$1:$P$133,4,FALSE())</f>
        <v>87</v>
      </c>
      <c r="T662" s="0" t="n">
        <f aca="false">VLOOKUP(B662,'Team Data'!$A$1:$P$133,5,FALSE())</f>
        <v>171</v>
      </c>
      <c r="U662" s="0" t="n">
        <f aca="false">IF(K662=1,(MIN(35,(C662-D662)))*(O662/(O662+P662))*(S662/(S662+T662)),(MAX(-35,(C662-D662)))*(IF(P662=0,0.1,(P662/(O662+P662))))*(T662/(S662+T662)))</f>
        <v>4.91763565891473</v>
      </c>
      <c r="V662" s="0" t="n">
        <f aca="false">IF(L662=1,(MIN(35,(D662-C662)))*(M662/(M662+N662))*(Q662/(Q662+R662)),(MAX(-35,(D662-C662)))*(IF(N662=0,0.1,(N662/(M662+N662))))*(R662/(R662+Q662)))</f>
        <v>-5.4041958041958</v>
      </c>
    </row>
    <row r="663" customFormat="false" ht="15" hidden="false" customHeight="false" outlineLevel="0" collapsed="false">
      <c r="A663" s="0" t="s">
        <v>129</v>
      </c>
      <c r="B663" s="0" t="s">
        <v>71</v>
      </c>
      <c r="C663" s="0" t="n">
        <v>21</v>
      </c>
      <c r="D663" s="0" t="n">
        <v>30</v>
      </c>
      <c r="E663" s="0" t="n">
        <v>17</v>
      </c>
      <c r="F663" s="0" t="n">
        <v>115</v>
      </c>
      <c r="G663" s="0" t="n">
        <v>397</v>
      </c>
      <c r="H663" s="0" t="n">
        <v>210</v>
      </c>
      <c r="I663" s="0" t="n">
        <v>3</v>
      </c>
      <c r="J663" s="0" t="n">
        <v>0</v>
      </c>
      <c r="K663" s="0" t="n">
        <v>0</v>
      </c>
      <c r="L663" s="0" t="n">
        <v>1</v>
      </c>
      <c r="M663" s="0" t="n">
        <f aca="false">VLOOKUP(A663,'Team Data'!$A$1:$P$133,2,FALSE())</f>
        <v>8</v>
      </c>
      <c r="N663" s="0" t="n">
        <f aca="false">VLOOKUP(A663,'Team Data'!$A$1:$P$133,3,FALSE())</f>
        <v>5</v>
      </c>
      <c r="O663" s="0" t="n">
        <f aca="false">VLOOKUP(B663,'Team Data'!$A$1:$P$133,2,FALSE())</f>
        <v>8</v>
      </c>
      <c r="P663" s="0" t="n">
        <f aca="false">VLOOKUP(B663,'Team Data'!$A$1:$P$133,3,FALSE())</f>
        <v>5</v>
      </c>
      <c r="Q663" s="0" t="n">
        <f aca="false">VLOOKUP(A663,'Team Data'!$A$1:$P$133,4,FALSE())</f>
        <v>98</v>
      </c>
      <c r="R663" s="0" t="n">
        <f aca="false">VLOOKUP(A663,'Team Data'!$A$1:$P$133,5,FALSE())</f>
        <v>177</v>
      </c>
      <c r="S663" s="0" t="n">
        <f aca="false">VLOOKUP(B663,'Team Data'!$A$1:$P$133,4,FALSE())</f>
        <v>97</v>
      </c>
      <c r="T663" s="0" t="n">
        <f aca="false">VLOOKUP(B663,'Team Data'!$A$1:$P$133,5,FALSE())</f>
        <v>178</v>
      </c>
      <c r="U663" s="0" t="n">
        <f aca="false">IF(K663=1,(MIN(35,(C663-D663)))*(O663/(O663+P663))*(S663/(S663+T663)),(MAX(-35,(C663-D663)))*(IF(P663=0,0.1,(P663/(O663+P663))))*(T663/(S663+T663)))</f>
        <v>-2.24055944055944</v>
      </c>
      <c r="V663" s="0" t="n">
        <f aca="false">IF(L663=1,(MIN(35,(D663-C663)))*(M663/(M663+N663))*(Q663/(Q663+R663)),(MAX(-35,(D663-C663)))*(IF(N663=0,0.1,(N663/(M663+N663))))*(R663/(R663+Q663)))</f>
        <v>1.97370629370629</v>
      </c>
    </row>
    <row r="664" customFormat="false" ht="15" hidden="false" customHeight="false" outlineLevel="0" collapsed="false">
      <c r="A664" s="0" t="s">
        <v>102</v>
      </c>
      <c r="B664" s="0" t="s">
        <v>91</v>
      </c>
      <c r="C664" s="0" t="n">
        <v>9</v>
      </c>
      <c r="D664" s="0" t="n">
        <v>19</v>
      </c>
      <c r="E664" s="0" t="n">
        <v>25</v>
      </c>
      <c r="F664" s="0" t="n">
        <v>161</v>
      </c>
      <c r="G664" s="0" t="n">
        <v>120</v>
      </c>
      <c r="H664" s="0" t="n">
        <v>176</v>
      </c>
      <c r="I664" s="0" t="n">
        <v>0</v>
      </c>
      <c r="J664" s="0" t="n">
        <v>2</v>
      </c>
      <c r="K664" s="0" t="n">
        <v>0</v>
      </c>
      <c r="L664" s="0" t="n">
        <v>1</v>
      </c>
      <c r="M664" s="0" t="n">
        <f aca="false">VLOOKUP(A664,'Team Data'!$A$1:$P$133,2,FALSE())</f>
        <v>7</v>
      </c>
      <c r="N664" s="0" t="n">
        <f aca="false">VLOOKUP(A664,'Team Data'!$A$1:$P$133,3,FALSE())</f>
        <v>6</v>
      </c>
      <c r="O664" s="0" t="n">
        <f aca="false">VLOOKUP(B664,'Team Data'!$A$1:$P$133,2,FALSE())</f>
        <v>9</v>
      </c>
      <c r="P664" s="0" t="n">
        <f aca="false">VLOOKUP(B664,'Team Data'!$A$1:$P$133,3,FALSE())</f>
        <v>4</v>
      </c>
      <c r="Q664" s="0" t="n">
        <f aca="false">VLOOKUP(A664,'Team Data'!$A$1:$P$133,4,FALSE())</f>
        <v>100</v>
      </c>
      <c r="R664" s="0" t="n">
        <f aca="false">VLOOKUP(A664,'Team Data'!$A$1:$P$133,5,FALSE())</f>
        <v>174</v>
      </c>
      <c r="S664" s="0" t="n">
        <f aca="false">VLOOKUP(B664,'Team Data'!$A$1:$P$133,4,FALSE())</f>
        <v>87</v>
      </c>
      <c r="T664" s="0" t="n">
        <f aca="false">VLOOKUP(B664,'Team Data'!$A$1:$P$133,5,FALSE())</f>
        <v>181</v>
      </c>
      <c r="U664" s="0" t="n">
        <f aca="false">IF(K664=1,(MIN(35,(C664-D664)))*(O664/(O664+P664))*(S664/(S664+T664)),(MAX(-35,(C664-D664)))*(IF(P664=0,0.1,(P664/(O664+P664))))*(T664/(S664+T664)))</f>
        <v>-2.07807118254879</v>
      </c>
      <c r="V664" s="0" t="n">
        <f aca="false">IF(L664=1,(MIN(35,(D664-C664)))*(M664/(M664+N664))*(Q664/(Q664+R664)),(MAX(-35,(D664-C664)))*(IF(N664=0,0.1,(N664/(M664+N664))))*(R664/(R664+Q664)))</f>
        <v>1.96518809657496</v>
      </c>
    </row>
    <row r="665" customFormat="false" ht="15" hidden="false" customHeight="false" outlineLevel="0" collapsed="false">
      <c r="A665" s="0" t="s">
        <v>77</v>
      </c>
      <c r="B665" s="0" t="s">
        <v>127</v>
      </c>
      <c r="C665" s="0" t="n">
        <v>31</v>
      </c>
      <c r="D665" s="0" t="n">
        <v>28</v>
      </c>
      <c r="E665" s="0" t="n">
        <v>162</v>
      </c>
      <c r="F665" s="0" t="n">
        <v>186</v>
      </c>
      <c r="G665" s="0" t="n">
        <v>293</v>
      </c>
      <c r="H665" s="0" t="n">
        <v>232</v>
      </c>
      <c r="I665" s="0" t="n">
        <v>0</v>
      </c>
      <c r="J665" s="0" t="n">
        <v>1</v>
      </c>
      <c r="K665" s="0" t="n">
        <v>1</v>
      </c>
      <c r="L665" s="0" t="n">
        <v>0</v>
      </c>
      <c r="M665" s="0" t="n">
        <f aca="false">VLOOKUP(A665,'Team Data'!$A$1:$P$133,2,FALSE())</f>
        <v>9</v>
      </c>
      <c r="N665" s="0" t="n">
        <f aca="false">VLOOKUP(A665,'Team Data'!$A$1:$P$133,3,FALSE())</f>
        <v>5</v>
      </c>
      <c r="O665" s="0" t="n">
        <f aca="false">VLOOKUP(B665,'Team Data'!$A$1:$P$133,2,FALSE())</f>
        <v>3</v>
      </c>
      <c r="P665" s="0" t="n">
        <f aca="false">VLOOKUP(B665,'Team Data'!$A$1:$P$133,3,FALSE())</f>
        <v>7</v>
      </c>
      <c r="Q665" s="0" t="n">
        <f aca="false">VLOOKUP(A665,'Team Data'!$A$1:$P$133,4,FALSE())</f>
        <v>98</v>
      </c>
      <c r="R665" s="0" t="n">
        <f aca="false">VLOOKUP(A665,'Team Data'!$A$1:$P$133,5,FALSE())</f>
        <v>183</v>
      </c>
      <c r="S665" s="0" t="n">
        <f aca="false">VLOOKUP(B665,'Team Data'!$A$1:$P$133,4,FALSE())</f>
        <v>71</v>
      </c>
      <c r="T665" s="0" t="n">
        <f aca="false">VLOOKUP(B665,'Team Data'!$A$1:$P$133,5,FALSE())</f>
        <v>164</v>
      </c>
      <c r="U665" s="0" t="n">
        <f aca="false">IF(K665=1,(MIN(35,(C665-D665)))*(O665/(O665+P665))*(S665/(S665+T665)),(MAX(-35,(C665-D665)))*(IF(P665=0,0.1,(P665/(O665+P665))))*(T665/(S665+T665)))</f>
        <v>0.271914893617021</v>
      </c>
      <c r="V665" s="0" t="n">
        <f aca="false">IF(L665=1,(MIN(35,(D665-C665)))*(M665/(M665+N665))*(Q665/(Q665+R665)),(MAX(-35,(D665-C665)))*(IF(N665=0,0.1,(N665/(M665+N665))))*(R665/(R665+Q665)))</f>
        <v>-0.697763091001525</v>
      </c>
    </row>
    <row r="666" customFormat="false" ht="15" hidden="false" customHeight="false" outlineLevel="0" collapsed="false">
      <c r="A666" s="0" t="s">
        <v>42</v>
      </c>
      <c r="B666" s="0" t="s">
        <v>128</v>
      </c>
      <c r="C666" s="0" t="n">
        <v>28</v>
      </c>
      <c r="D666" s="0" t="n">
        <v>27</v>
      </c>
      <c r="E666" s="0" t="n">
        <v>210</v>
      </c>
      <c r="F666" s="0" t="n">
        <v>138</v>
      </c>
      <c r="G666" s="0" t="n">
        <v>253</v>
      </c>
      <c r="H666" s="0" t="n">
        <v>166</v>
      </c>
      <c r="I666" s="0" t="n">
        <v>1</v>
      </c>
      <c r="J666" s="0" t="n">
        <v>4</v>
      </c>
      <c r="K666" s="0" t="n">
        <v>1</v>
      </c>
      <c r="L666" s="0" t="n">
        <v>0</v>
      </c>
      <c r="M666" s="0" t="n">
        <f aca="false">VLOOKUP(A666,'Team Data'!$A$1:$P$133,2,FALSE())</f>
        <v>5</v>
      </c>
      <c r="N666" s="0" t="n">
        <f aca="false">VLOOKUP(A666,'Team Data'!$A$1:$P$133,3,FALSE())</f>
        <v>7</v>
      </c>
      <c r="O666" s="0" t="n">
        <f aca="false">VLOOKUP(B666,'Team Data'!$A$1:$P$133,2,FALSE())</f>
        <v>3</v>
      </c>
      <c r="P666" s="0" t="n">
        <f aca="false">VLOOKUP(B666,'Team Data'!$A$1:$P$133,3,FALSE())</f>
        <v>8</v>
      </c>
      <c r="Q666" s="0" t="n">
        <f aca="false">VLOOKUP(A666,'Team Data'!$A$1:$P$133,4,FALSE())</f>
        <v>99</v>
      </c>
      <c r="R666" s="0" t="n">
        <f aca="false">VLOOKUP(A666,'Team Data'!$A$1:$P$133,5,FALSE())</f>
        <v>163</v>
      </c>
      <c r="S666" s="0" t="n">
        <f aca="false">VLOOKUP(B666,'Team Data'!$A$1:$P$133,4,FALSE())</f>
        <v>72</v>
      </c>
      <c r="T666" s="0" t="n">
        <f aca="false">VLOOKUP(B666,'Team Data'!$A$1:$P$133,5,FALSE())</f>
        <v>174</v>
      </c>
      <c r="U666" s="0" t="n">
        <f aca="false">IF(K666=1,(MIN(35,(C666-D666)))*(O666/(O666+P666))*(S666/(S666+T666)),(MAX(-35,(C666-D666)))*(IF(P666=0,0.1,(P666/(O666+P666))))*(T666/(S666+T666)))</f>
        <v>0.0798226164079822</v>
      </c>
      <c r="V666" s="0" t="n">
        <f aca="false">IF(L666=1,(MIN(35,(D666-C666)))*(M666/(M666+N666))*(Q666/(Q666+R666)),(MAX(-35,(D666-C666)))*(IF(N666=0,0.1,(N666/(M666+N666))))*(R666/(R666+Q666)))</f>
        <v>-0.362913486005089</v>
      </c>
    </row>
    <row r="667" customFormat="false" ht="15" hidden="false" customHeight="false" outlineLevel="0" collapsed="false">
      <c r="A667" s="0" t="s">
        <v>16</v>
      </c>
      <c r="B667" s="0" t="s">
        <v>19</v>
      </c>
      <c r="C667" s="0" t="n">
        <v>31</v>
      </c>
      <c r="D667" s="0" t="n">
        <v>28</v>
      </c>
      <c r="E667" s="0" t="n">
        <v>155</v>
      </c>
      <c r="F667" s="0" t="n">
        <v>104</v>
      </c>
      <c r="G667" s="0" t="n">
        <v>377</v>
      </c>
      <c r="H667" s="0" t="n">
        <v>220</v>
      </c>
      <c r="I667" s="0" t="n">
        <v>2</v>
      </c>
      <c r="J667" s="0" t="n">
        <v>1</v>
      </c>
      <c r="K667" s="0" t="n">
        <v>1</v>
      </c>
      <c r="L667" s="0" t="n">
        <v>0</v>
      </c>
      <c r="M667" s="0" t="n">
        <f aca="false">VLOOKUP(A667,'Team Data'!$A$1:$P$133,2,FALSE())</f>
        <v>8</v>
      </c>
      <c r="N667" s="0" t="n">
        <f aca="false">VLOOKUP(A667,'Team Data'!$A$1:$P$133,3,FALSE())</f>
        <v>5</v>
      </c>
      <c r="O667" s="0" t="n">
        <f aca="false">VLOOKUP(B667,'Team Data'!$A$1:$P$133,2,FALSE())</f>
        <v>10</v>
      </c>
      <c r="P667" s="0" t="n">
        <f aca="false">VLOOKUP(B667,'Team Data'!$A$1:$P$133,3,FALSE())</f>
        <v>4</v>
      </c>
      <c r="Q667" s="0" t="n">
        <f aca="false">VLOOKUP(A667,'Team Data'!$A$1:$P$133,4,FALSE())</f>
        <v>90</v>
      </c>
      <c r="R667" s="0" t="n">
        <f aca="false">VLOOKUP(A667,'Team Data'!$A$1:$P$133,5,FALSE())</f>
        <v>185</v>
      </c>
      <c r="S667" s="0" t="n">
        <f aca="false">VLOOKUP(B667,'Team Data'!$A$1:$P$133,4,FALSE())</f>
        <v>95</v>
      </c>
      <c r="T667" s="0" t="n">
        <f aca="false">VLOOKUP(B667,'Team Data'!$A$1:$P$133,5,FALSE())</f>
        <v>193</v>
      </c>
      <c r="U667" s="0" t="n">
        <f aca="false">IF(K667=1,(MIN(35,(C667-D667)))*(O667/(O667+P667))*(S667/(S667+T667)),(MAX(-35,(C667-D667)))*(IF(P667=0,0.1,(P667/(O667+P667))))*(T667/(S667+T667)))</f>
        <v>0.706845238095238</v>
      </c>
      <c r="V667" s="0" t="n">
        <f aca="false">IF(L667=1,(MIN(35,(D667-C667)))*(M667/(M667+N667))*(Q667/(Q667+R667)),(MAX(-35,(D667-C667)))*(IF(N667=0,0.1,(N667/(M667+N667))))*(R667/(R667+Q667)))</f>
        <v>-0.776223776223776</v>
      </c>
    </row>
    <row r="668" customFormat="false" ht="15" hidden="false" customHeight="false" outlineLevel="0" collapsed="false">
      <c r="A668" s="0" t="s">
        <v>30</v>
      </c>
      <c r="B668" s="0" t="s">
        <v>97</v>
      </c>
      <c r="C668" s="0" t="n">
        <v>16</v>
      </c>
      <c r="D668" s="0" t="n">
        <v>28</v>
      </c>
      <c r="E668" s="0" t="n">
        <v>135</v>
      </c>
      <c r="F668" s="0" t="n">
        <v>81</v>
      </c>
      <c r="G668" s="0" t="n">
        <v>333</v>
      </c>
      <c r="H668" s="0" t="n">
        <v>274</v>
      </c>
      <c r="I668" s="0" t="n">
        <v>2</v>
      </c>
      <c r="J668" s="0" t="n">
        <v>1</v>
      </c>
      <c r="K668" s="0" t="n">
        <v>0</v>
      </c>
      <c r="L668" s="0" t="n">
        <v>1</v>
      </c>
      <c r="M668" s="0" t="n">
        <f aca="false">VLOOKUP(A668,'Team Data'!$A$1:$P$133,2,FALSE())</f>
        <v>3</v>
      </c>
      <c r="N668" s="0" t="n">
        <f aca="false">VLOOKUP(A668,'Team Data'!$A$1:$P$133,3,FALSE())</f>
        <v>9</v>
      </c>
      <c r="O668" s="0" t="n">
        <f aca="false">VLOOKUP(B668,'Team Data'!$A$1:$P$133,2,FALSE())</f>
        <v>7</v>
      </c>
      <c r="P668" s="0" t="n">
        <f aca="false">VLOOKUP(B668,'Team Data'!$A$1:$P$133,3,FALSE())</f>
        <v>5</v>
      </c>
      <c r="Q668" s="0" t="n">
        <f aca="false">VLOOKUP(A668,'Team Data'!$A$1:$P$133,4,FALSE())</f>
        <v>83</v>
      </c>
      <c r="R668" s="0" t="n">
        <f aca="false">VLOOKUP(A668,'Team Data'!$A$1:$P$133,5,FALSE())</f>
        <v>179</v>
      </c>
      <c r="S668" s="0" t="n">
        <f aca="false">VLOOKUP(B668,'Team Data'!$A$1:$P$133,4,FALSE())</f>
        <v>70</v>
      </c>
      <c r="T668" s="0" t="n">
        <f aca="false">VLOOKUP(B668,'Team Data'!$A$1:$P$133,5,FALSE())</f>
        <v>189</v>
      </c>
      <c r="U668" s="0" t="n">
        <f aca="false">IF(K668=1,(MIN(35,(C668-D668)))*(O668/(O668+P668))*(S668/(S668+T668)),(MAX(-35,(C668-D668)))*(IF(P668=0,0.1,(P668/(O668+P668))))*(T668/(S668+T668)))</f>
        <v>-3.64864864864865</v>
      </c>
      <c r="V668" s="0" t="n">
        <f aca="false">IF(L668=1,(MIN(35,(D668-C668)))*(M668/(M668+N668))*(Q668/(Q668+R668)),(MAX(-35,(D668-C668)))*(IF(N668=0,0.1,(N668/(M668+N668))))*(R668/(R668+Q668)))</f>
        <v>0.950381679389313</v>
      </c>
    </row>
    <row r="669" customFormat="false" ht="15" hidden="false" customHeight="false" outlineLevel="0" collapsed="false">
      <c r="A669" s="0" t="s">
        <v>75</v>
      </c>
      <c r="B669" s="0" t="s">
        <v>125</v>
      </c>
      <c r="C669" s="0" t="n">
        <v>10</v>
      </c>
      <c r="D669" s="0" t="n">
        <v>27</v>
      </c>
      <c r="E669" s="0" t="n">
        <v>216</v>
      </c>
      <c r="F669" s="0" t="n">
        <v>131</v>
      </c>
      <c r="G669" s="0" t="n">
        <v>42</v>
      </c>
      <c r="H669" s="0" t="n">
        <v>149</v>
      </c>
      <c r="I669" s="0" t="n">
        <v>2</v>
      </c>
      <c r="J669" s="0" t="n">
        <v>0</v>
      </c>
      <c r="K669" s="0" t="n">
        <v>0</v>
      </c>
      <c r="L669" s="0" t="n">
        <v>1</v>
      </c>
      <c r="M669" s="0" t="n">
        <f aca="false">VLOOKUP(A669,'Team Data'!$A$1:$P$133,2,FALSE())</f>
        <v>2</v>
      </c>
      <c r="N669" s="0" t="n">
        <f aca="false">VLOOKUP(A669,'Team Data'!$A$1:$P$133,3,FALSE())</f>
        <v>10</v>
      </c>
      <c r="O669" s="0" t="n">
        <f aca="false">VLOOKUP(B669,'Team Data'!$A$1:$P$133,2,FALSE())</f>
        <v>6</v>
      </c>
      <c r="P669" s="0" t="n">
        <f aca="false">VLOOKUP(B669,'Team Data'!$A$1:$P$133,3,FALSE())</f>
        <v>7</v>
      </c>
      <c r="Q669" s="0" t="n">
        <f aca="false">VLOOKUP(A669,'Team Data'!$A$1:$P$133,4,FALSE())</f>
        <v>88</v>
      </c>
      <c r="R669" s="0" t="n">
        <f aca="false">VLOOKUP(A669,'Team Data'!$A$1:$P$133,5,FALSE())</f>
        <v>175</v>
      </c>
      <c r="S669" s="0" t="n">
        <f aca="false">VLOOKUP(B669,'Team Data'!$A$1:$P$133,4,FALSE())</f>
        <v>87</v>
      </c>
      <c r="T669" s="0" t="n">
        <f aca="false">VLOOKUP(B669,'Team Data'!$A$1:$P$133,5,FALSE())</f>
        <v>186</v>
      </c>
      <c r="U669" s="0" t="n">
        <f aca="false">IF(K669=1,(MIN(35,(C669-D669)))*(O669/(O669+P669))*(S669/(S669+T669)),(MAX(-35,(C669-D669)))*(IF(P669=0,0.1,(P669/(O669+P669))))*(T669/(S669+T669)))</f>
        <v>-6.23668639053254</v>
      </c>
      <c r="V669" s="0" t="n">
        <f aca="false">IF(L669=1,(MIN(35,(D669-C669)))*(M669/(M669+N669))*(Q669/(Q669+R669)),(MAX(-35,(D669-C669)))*(IF(N669=0,0.1,(N669/(M669+N669))))*(R669/(R669+Q669)))</f>
        <v>0.948035487959442</v>
      </c>
    </row>
    <row r="670" customFormat="false" ht="15" hidden="false" customHeight="false" outlineLevel="0" collapsed="false">
      <c r="A670" s="0" t="s">
        <v>43</v>
      </c>
      <c r="B670" s="0" t="s">
        <v>38</v>
      </c>
      <c r="C670" s="0" t="n">
        <v>13</v>
      </c>
      <c r="D670" s="0" t="n">
        <v>55</v>
      </c>
      <c r="E670" s="0" t="n">
        <v>158</v>
      </c>
      <c r="F670" s="0" t="n">
        <v>245</v>
      </c>
      <c r="G670" s="0" t="n">
        <v>204</v>
      </c>
      <c r="H670" s="0" t="n">
        <v>327</v>
      </c>
      <c r="I670" s="0" t="n">
        <v>1</v>
      </c>
      <c r="J670" s="0" t="n">
        <v>0</v>
      </c>
      <c r="K670" s="0" t="n">
        <v>0</v>
      </c>
      <c r="L670" s="0" t="n">
        <v>1</v>
      </c>
      <c r="M670" s="0" t="n">
        <f aca="false">VLOOKUP(A670,'Team Data'!$A$1:$P$133,2,FALSE())</f>
        <v>3</v>
      </c>
      <c r="N670" s="0" t="n">
        <f aca="false">VLOOKUP(A670,'Team Data'!$A$1:$P$133,3,FALSE())</f>
        <v>10</v>
      </c>
      <c r="O670" s="0" t="n">
        <f aca="false">VLOOKUP(B670,'Team Data'!$A$1:$P$133,2,FALSE())</f>
        <v>10</v>
      </c>
      <c r="P670" s="0" t="n">
        <f aca="false">VLOOKUP(B670,'Team Data'!$A$1:$P$133,3,FALSE())</f>
        <v>4</v>
      </c>
      <c r="Q670" s="0" t="n">
        <f aca="false">VLOOKUP(A670,'Team Data'!$A$1:$P$133,4,FALSE())</f>
        <v>89</v>
      </c>
      <c r="R670" s="0" t="n">
        <f aca="false">VLOOKUP(A670,'Team Data'!$A$1:$P$133,5,FALSE())</f>
        <v>185</v>
      </c>
      <c r="S670" s="0" t="n">
        <f aca="false">VLOOKUP(B670,'Team Data'!$A$1:$P$133,4,FALSE())</f>
        <v>95</v>
      </c>
      <c r="T670" s="0" t="n">
        <f aca="false">VLOOKUP(B670,'Team Data'!$A$1:$P$133,5,FALSE())</f>
        <v>193</v>
      </c>
      <c r="U670" s="0" t="n">
        <f aca="false">IF(K670=1,(MIN(35,(C670-D670)))*(O670/(O670+P670))*(S670/(S670+T670)),(MAX(-35,(C670-D670)))*(IF(P670=0,0.1,(P670/(O670+P670))))*(T670/(S670+T670)))</f>
        <v>-6.70138888888889</v>
      </c>
      <c r="V670" s="0" t="n">
        <f aca="false">IF(L670=1,(MIN(35,(D670-C670)))*(M670/(M670+N670))*(Q670/(Q670+R670)),(MAX(-35,(D670-C670)))*(IF(N670=0,0.1,(N670/(M670+N670))))*(R670/(R670+Q670)))</f>
        <v>2.62352610892757</v>
      </c>
    </row>
    <row r="671" customFormat="false" ht="15" hidden="false" customHeight="false" outlineLevel="0" collapsed="false">
      <c r="A671" s="0" t="s">
        <v>119</v>
      </c>
      <c r="B671" s="0" t="s">
        <v>96</v>
      </c>
      <c r="C671" s="0" t="n">
        <v>10</v>
      </c>
      <c r="D671" s="0" t="n">
        <v>14</v>
      </c>
      <c r="E671" s="0" t="n">
        <v>118</v>
      </c>
      <c r="F671" s="0" t="n">
        <v>99</v>
      </c>
      <c r="G671" s="0" t="n">
        <v>207</v>
      </c>
      <c r="H671" s="0" t="n">
        <v>216</v>
      </c>
      <c r="I671" s="0" t="n">
        <v>4</v>
      </c>
      <c r="J671" s="0" t="n">
        <v>1</v>
      </c>
      <c r="K671" s="0" t="n">
        <v>0</v>
      </c>
      <c r="L671" s="0" t="n">
        <v>1</v>
      </c>
      <c r="M671" s="0" t="n">
        <f aca="false">VLOOKUP(A671,'Team Data'!$A$1:$P$133,2,FALSE())</f>
        <v>5</v>
      </c>
      <c r="N671" s="0" t="n">
        <f aca="false">VLOOKUP(A671,'Team Data'!$A$1:$P$133,3,FALSE())</f>
        <v>7</v>
      </c>
      <c r="O671" s="0" t="n">
        <f aca="false">VLOOKUP(B671,'Team Data'!$A$1:$P$133,2,FALSE())</f>
        <v>7</v>
      </c>
      <c r="P671" s="0" t="n">
        <f aca="false">VLOOKUP(B671,'Team Data'!$A$1:$P$133,3,FALSE())</f>
        <v>6</v>
      </c>
      <c r="Q671" s="0" t="n">
        <f aca="false">VLOOKUP(A671,'Team Data'!$A$1:$P$133,4,FALSE())</f>
        <v>75</v>
      </c>
      <c r="R671" s="0" t="n">
        <f aca="false">VLOOKUP(A671,'Team Data'!$A$1:$P$133,5,FALSE())</f>
        <v>186</v>
      </c>
      <c r="S671" s="0" t="n">
        <f aca="false">VLOOKUP(B671,'Team Data'!$A$1:$P$133,4,FALSE())</f>
        <v>89</v>
      </c>
      <c r="T671" s="0" t="n">
        <f aca="false">VLOOKUP(B671,'Team Data'!$A$1:$P$133,5,FALSE())</f>
        <v>186</v>
      </c>
      <c r="U671" s="0" t="n">
        <f aca="false">IF(K671=1,(MIN(35,(C671-D671)))*(O671/(O671+P671))*(S671/(S671+T671)),(MAX(-35,(C671-D671)))*(IF(P671=0,0.1,(P671/(O671+P671))))*(T671/(S671+T671)))</f>
        <v>-1.24867132867133</v>
      </c>
      <c r="V671" s="0" t="n">
        <f aca="false">IF(L671=1,(MIN(35,(D671-C671)))*(M671/(M671+N671))*(Q671/(Q671+R671)),(MAX(-35,(D671-C671)))*(IF(N671=0,0.1,(N671/(M671+N671))))*(R671/(R671+Q671)))</f>
        <v>0.478927203065134</v>
      </c>
    </row>
    <row r="672" customFormat="false" ht="15" hidden="false" customHeight="false" outlineLevel="0" collapsed="false">
      <c r="A672" s="0" t="s">
        <v>121</v>
      </c>
      <c r="B672" s="0" t="s">
        <v>104</v>
      </c>
      <c r="C672" s="0" t="n">
        <v>28</v>
      </c>
      <c r="D672" s="0" t="n">
        <v>54</v>
      </c>
      <c r="E672" s="0" t="n">
        <v>281</v>
      </c>
      <c r="F672" s="0" t="n">
        <v>277</v>
      </c>
      <c r="G672" s="0" t="n">
        <v>190</v>
      </c>
      <c r="H672" s="0" t="n">
        <v>344</v>
      </c>
      <c r="I672" s="0" t="n">
        <v>3</v>
      </c>
      <c r="J672" s="0" t="n">
        <v>0</v>
      </c>
      <c r="K672" s="0" t="n">
        <v>0</v>
      </c>
      <c r="L672" s="0" t="n">
        <v>1</v>
      </c>
      <c r="M672" s="0" t="n">
        <f aca="false">VLOOKUP(A672,'Team Data'!$A$1:$P$133,2,FALSE())</f>
        <v>1</v>
      </c>
      <c r="N672" s="0" t="n">
        <f aca="false">VLOOKUP(A672,'Team Data'!$A$1:$P$133,3,FALSE())</f>
        <v>11</v>
      </c>
      <c r="O672" s="0" t="n">
        <f aca="false">VLOOKUP(B672,'Team Data'!$A$1:$P$133,2,FALSE())</f>
        <v>3</v>
      </c>
      <c r="P672" s="0" t="n">
        <f aca="false">VLOOKUP(B672,'Team Data'!$A$1:$P$133,3,FALSE())</f>
        <v>9</v>
      </c>
      <c r="Q672" s="0" t="n">
        <f aca="false">VLOOKUP(A672,'Team Data'!$A$1:$P$133,4,FALSE())</f>
        <v>91</v>
      </c>
      <c r="R672" s="0" t="n">
        <f aca="false">VLOOKUP(A672,'Team Data'!$A$1:$P$133,5,FALSE())</f>
        <v>172</v>
      </c>
      <c r="S672" s="0" t="n">
        <f aca="false">VLOOKUP(B672,'Team Data'!$A$1:$P$133,4,FALSE())</f>
        <v>73</v>
      </c>
      <c r="T672" s="0" t="n">
        <f aca="false">VLOOKUP(B672,'Team Data'!$A$1:$P$133,5,FALSE())</f>
        <v>186</v>
      </c>
      <c r="U672" s="0" t="n">
        <f aca="false">IF(K672=1,(MIN(35,(C672-D672)))*(O672/(O672+P672))*(S672/(S672+T672)),(MAX(-35,(C672-D672)))*(IF(P672=0,0.1,(P672/(O672+P672))))*(T672/(S672+T672)))</f>
        <v>-14.003861003861</v>
      </c>
      <c r="V672" s="0" t="n">
        <f aca="false">IF(L672=1,(MIN(35,(D672-C672)))*(M672/(M672+N672))*(Q672/(Q672+R672)),(MAX(-35,(D672-C672)))*(IF(N672=0,0.1,(N672/(M672+N672))))*(R672/(R672+Q672)))</f>
        <v>0.749683143219265</v>
      </c>
    </row>
    <row r="673" customFormat="false" ht="15" hidden="false" customHeight="false" outlineLevel="0" collapsed="false">
      <c r="A673" s="0" t="s">
        <v>112</v>
      </c>
      <c r="B673" s="0" t="s">
        <v>113</v>
      </c>
      <c r="C673" s="0" t="n">
        <v>27</v>
      </c>
      <c r="D673" s="0" t="n">
        <v>13</v>
      </c>
      <c r="E673" s="0" t="n">
        <v>357</v>
      </c>
      <c r="F673" s="0" t="n">
        <v>111</v>
      </c>
      <c r="G673" s="0" t="n">
        <v>125</v>
      </c>
      <c r="H673" s="0" t="n">
        <v>146</v>
      </c>
      <c r="I673" s="0" t="n">
        <v>1</v>
      </c>
      <c r="J673" s="0" t="n">
        <v>0</v>
      </c>
      <c r="K673" s="0" t="n">
        <v>1</v>
      </c>
      <c r="L673" s="0" t="n">
        <v>0</v>
      </c>
      <c r="M673" s="0" t="n">
        <f aca="false">VLOOKUP(A673,'Team Data'!$A$1:$P$133,2,FALSE())</f>
        <v>12</v>
      </c>
      <c r="N673" s="0" t="n">
        <f aca="false">VLOOKUP(A673,'Team Data'!$A$1:$P$133,3,FALSE())</f>
        <v>2</v>
      </c>
      <c r="O673" s="0" t="n">
        <f aca="false">VLOOKUP(B673,'Team Data'!$A$1:$P$133,2,FALSE())</f>
        <v>5</v>
      </c>
      <c r="P673" s="0" t="n">
        <f aca="false">VLOOKUP(B673,'Team Data'!$A$1:$P$133,3,FALSE())</f>
        <v>7</v>
      </c>
      <c r="Q673" s="0" t="n">
        <f aca="false">VLOOKUP(A673,'Team Data'!$A$1:$P$133,4,FALSE())</f>
        <v>100</v>
      </c>
      <c r="R673" s="0" t="n">
        <f aca="false">VLOOKUP(A673,'Team Data'!$A$1:$P$133,5,FALSE())</f>
        <v>190</v>
      </c>
      <c r="S673" s="0" t="n">
        <f aca="false">VLOOKUP(B673,'Team Data'!$A$1:$P$133,4,FALSE())</f>
        <v>77</v>
      </c>
      <c r="T673" s="0" t="n">
        <f aca="false">VLOOKUP(B673,'Team Data'!$A$1:$P$133,5,FALSE())</f>
        <v>183</v>
      </c>
      <c r="U673" s="0" t="n">
        <f aca="false">IF(K673=1,(MIN(35,(C673-D673)))*(O673/(O673+P673))*(S673/(S673+T673)),(MAX(-35,(C673-D673)))*(IF(P673=0,0.1,(P673/(O673+P673))))*(T673/(S673+T673)))</f>
        <v>1.7275641025641</v>
      </c>
      <c r="V673" s="0" t="n">
        <f aca="false">IF(L673=1,(MIN(35,(D673-C673)))*(M673/(M673+N673))*(Q673/(Q673+R673)),(MAX(-35,(D673-C673)))*(IF(N673=0,0.1,(N673/(M673+N673))))*(R673/(R673+Q673)))</f>
        <v>-1.31034482758621</v>
      </c>
    </row>
    <row r="674" customFormat="false" ht="15" hidden="false" customHeight="false" outlineLevel="0" collapsed="false">
      <c r="A674" s="0" t="s">
        <v>72</v>
      </c>
      <c r="B674" s="0" t="s">
        <v>26</v>
      </c>
      <c r="C674" s="0" t="n">
        <v>10</v>
      </c>
      <c r="D674" s="0" t="n">
        <v>20</v>
      </c>
      <c r="E674" s="0" t="n">
        <v>176</v>
      </c>
      <c r="F674" s="0" t="n">
        <v>55</v>
      </c>
      <c r="G674" s="0" t="n">
        <v>84</v>
      </c>
      <c r="H674" s="0" t="n">
        <v>299</v>
      </c>
      <c r="I674" s="0" t="n">
        <v>0</v>
      </c>
      <c r="J674" s="0" t="n">
        <v>0</v>
      </c>
      <c r="K674" s="0" t="n">
        <v>0</v>
      </c>
      <c r="L674" s="0" t="n">
        <v>1</v>
      </c>
      <c r="M674" s="0" t="n">
        <f aca="false">VLOOKUP(A674,'Team Data'!$A$1:$P$133,2,FALSE())</f>
        <v>4</v>
      </c>
      <c r="N674" s="0" t="n">
        <f aca="false">VLOOKUP(A674,'Team Data'!$A$1:$P$133,3,FALSE())</f>
        <v>8</v>
      </c>
      <c r="O674" s="0" t="n">
        <f aca="false">VLOOKUP(B674,'Team Data'!$A$1:$P$133,2,FALSE())</f>
        <v>9</v>
      </c>
      <c r="P674" s="0" t="n">
        <f aca="false">VLOOKUP(B674,'Team Data'!$A$1:$P$133,3,FALSE())</f>
        <v>4</v>
      </c>
      <c r="Q674" s="0" t="n">
        <f aca="false">VLOOKUP(A674,'Team Data'!$A$1:$P$133,4,FALSE())</f>
        <v>89</v>
      </c>
      <c r="R674" s="0" t="n">
        <f aca="false">VLOOKUP(A674,'Team Data'!$A$1:$P$133,5,FALSE())</f>
        <v>172</v>
      </c>
      <c r="S674" s="0" t="n">
        <f aca="false">VLOOKUP(B674,'Team Data'!$A$1:$P$133,4,FALSE())</f>
        <v>82</v>
      </c>
      <c r="T674" s="0" t="n">
        <f aca="false">VLOOKUP(B674,'Team Data'!$A$1:$P$133,5,FALSE())</f>
        <v>191</v>
      </c>
      <c r="U674" s="0" t="n">
        <f aca="false">IF(K674=1,(MIN(35,(C674-D674)))*(O674/(O674+P674))*(S674/(S674+T674)),(MAX(-35,(C674-D674)))*(IF(P674=0,0.1,(P674/(O674+P674))))*(T674/(S674+T674)))</f>
        <v>-2.152719075796</v>
      </c>
      <c r="V674" s="0" t="n">
        <f aca="false">IF(L674=1,(MIN(35,(D674-C674)))*(M674/(M674+N674))*(Q674/(Q674+R674)),(MAX(-35,(D674-C674)))*(IF(N674=0,0.1,(N674/(M674+N674))))*(R674/(R674+Q674)))</f>
        <v>1.13665389527458</v>
      </c>
    </row>
    <row r="675" customFormat="false" ht="15" hidden="false" customHeight="false" outlineLevel="0" collapsed="false">
      <c r="A675" s="0" t="s">
        <v>115</v>
      </c>
      <c r="B675" s="0" t="s">
        <v>62</v>
      </c>
      <c r="C675" s="0" t="n">
        <v>35</v>
      </c>
      <c r="D675" s="0" t="n">
        <v>28</v>
      </c>
      <c r="E675" s="0" t="n">
        <v>204</v>
      </c>
      <c r="F675" s="0" t="n">
        <v>149</v>
      </c>
      <c r="G675" s="0" t="n">
        <v>223</v>
      </c>
      <c r="H675" s="0" t="n">
        <v>284</v>
      </c>
      <c r="I675" s="0" t="n">
        <v>1</v>
      </c>
      <c r="J675" s="0" t="n">
        <v>2</v>
      </c>
      <c r="K675" s="0" t="n">
        <v>1</v>
      </c>
      <c r="L675" s="0" t="n">
        <v>0</v>
      </c>
      <c r="M675" s="0" t="n">
        <f aca="false">VLOOKUP(A675,'Team Data'!$A$1:$P$133,2,FALSE())</f>
        <v>9</v>
      </c>
      <c r="N675" s="0" t="n">
        <f aca="false">VLOOKUP(A675,'Team Data'!$A$1:$P$133,3,FALSE())</f>
        <v>5</v>
      </c>
      <c r="O675" s="0" t="n">
        <f aca="false">VLOOKUP(B675,'Team Data'!$A$1:$P$133,2,FALSE())</f>
        <v>7</v>
      </c>
      <c r="P675" s="0" t="n">
        <f aca="false">VLOOKUP(B675,'Team Data'!$A$1:$P$133,3,FALSE())</f>
        <v>6</v>
      </c>
      <c r="Q675" s="0" t="n">
        <f aca="false">VLOOKUP(A675,'Team Data'!$A$1:$P$133,4,FALSE())</f>
        <v>98</v>
      </c>
      <c r="R675" s="0" t="n">
        <f aca="false">VLOOKUP(A675,'Team Data'!$A$1:$P$133,5,FALSE())</f>
        <v>188</v>
      </c>
      <c r="S675" s="0" t="n">
        <f aca="false">VLOOKUP(B675,'Team Data'!$A$1:$P$133,4,FALSE())</f>
        <v>89</v>
      </c>
      <c r="T675" s="0" t="n">
        <f aca="false">VLOOKUP(B675,'Team Data'!$A$1:$P$133,5,FALSE())</f>
        <v>186</v>
      </c>
      <c r="U675" s="0" t="n">
        <f aca="false">IF(K675=1,(MIN(35,(C675-D675)))*(O675/(O675+P675))*(S675/(S675+T675)),(MAX(-35,(C675-D675)))*(IF(P675=0,0.1,(P675/(O675+P675))))*(T675/(S675+T675)))</f>
        <v>1.21986013986014</v>
      </c>
      <c r="V675" s="0" t="n">
        <f aca="false">IF(L675=1,(MIN(35,(D675-C675)))*(M675/(M675+N675))*(Q675/(Q675+R675)),(MAX(-35,(D675-C675)))*(IF(N675=0,0.1,(N675/(M675+N675))))*(R675/(R675+Q675)))</f>
        <v>-1.64335664335664</v>
      </c>
    </row>
    <row r="676" customFormat="false" ht="15" hidden="false" customHeight="false" outlineLevel="0" collapsed="false">
      <c r="A676" s="0" t="s">
        <v>44</v>
      </c>
      <c r="B676" s="0" t="s">
        <v>95</v>
      </c>
      <c r="C676" s="0" t="n">
        <v>63</v>
      </c>
      <c r="D676" s="0" t="n">
        <v>77</v>
      </c>
      <c r="E676" s="0" t="n">
        <v>182</v>
      </c>
      <c r="F676" s="0" t="n">
        <v>263</v>
      </c>
      <c r="G676" s="0" t="n">
        <v>528</v>
      </c>
      <c r="H676" s="0" t="n">
        <v>379</v>
      </c>
      <c r="I676" s="0" t="n">
        <v>3</v>
      </c>
      <c r="J676" s="0" t="n">
        <v>0</v>
      </c>
      <c r="K676" s="0" t="n">
        <v>0</v>
      </c>
      <c r="L676" s="0" t="n">
        <v>1</v>
      </c>
      <c r="M676" s="0" t="n">
        <f aca="false">VLOOKUP(A676,'Team Data'!$A$1:$P$133,2,FALSE())</f>
        <v>8</v>
      </c>
      <c r="N676" s="0" t="n">
        <f aca="false">VLOOKUP(A676,'Team Data'!$A$1:$P$133,3,FALSE())</f>
        <v>5</v>
      </c>
      <c r="O676" s="0" t="n">
        <f aca="false">VLOOKUP(B676,'Team Data'!$A$1:$P$133,2,FALSE())</f>
        <v>7</v>
      </c>
      <c r="P676" s="0" t="n">
        <f aca="false">VLOOKUP(B676,'Team Data'!$A$1:$P$133,3,FALSE())</f>
        <v>6</v>
      </c>
      <c r="Q676" s="0" t="n">
        <f aca="false">VLOOKUP(A676,'Team Data'!$A$1:$P$133,4,FALSE())</f>
        <v>83</v>
      </c>
      <c r="R676" s="0" t="n">
        <f aca="false">VLOOKUP(A676,'Team Data'!$A$1:$P$133,5,FALSE())</f>
        <v>84</v>
      </c>
      <c r="S676" s="0" t="n">
        <f aca="false">VLOOKUP(B676,'Team Data'!$A$1:$P$133,4,FALSE())</f>
        <v>99</v>
      </c>
      <c r="T676" s="0" t="n">
        <f aca="false">VLOOKUP(B676,'Team Data'!$A$1:$P$133,5,FALSE())</f>
        <v>179</v>
      </c>
      <c r="U676" s="0" t="n">
        <f aca="false">IF(K676=1,(MIN(35,(C676-D676)))*(O676/(O676+P676))*(S676/(S676+T676)),(MAX(-35,(C676-D676)))*(IF(P676=0,0.1,(P676/(O676+P676))))*(T676/(S676+T676)))</f>
        <v>-4.16048699501937</v>
      </c>
      <c r="V676" s="0" t="n">
        <f aca="false">IF(L676=1,(MIN(35,(D676-C676)))*(M676/(M676+N676))*(Q676/(Q676+R676)),(MAX(-35,(D676-C676)))*(IF(N676=0,0.1,(N676/(M676+N676))))*(R676/(R676+Q676)))</f>
        <v>4.28189774297559</v>
      </c>
    </row>
    <row r="677" customFormat="false" ht="15" hidden="false" customHeight="false" outlineLevel="0" collapsed="false">
      <c r="A677" s="0" t="s">
        <v>17</v>
      </c>
      <c r="B677" s="0" t="s">
        <v>52</v>
      </c>
      <c r="C677" s="0" t="n">
        <v>27</v>
      </c>
      <c r="D677" s="0" t="n">
        <v>20</v>
      </c>
      <c r="E677" s="0" t="n">
        <v>196</v>
      </c>
      <c r="F677" s="0" t="n">
        <v>225</v>
      </c>
      <c r="G677" s="0" t="n">
        <v>254</v>
      </c>
      <c r="H677" s="0" t="n">
        <v>183</v>
      </c>
      <c r="I677" s="0" t="n">
        <v>1</v>
      </c>
      <c r="J677" s="0" t="n">
        <v>0</v>
      </c>
      <c r="K677" s="0" t="n">
        <v>1</v>
      </c>
      <c r="L677" s="0" t="n">
        <v>0</v>
      </c>
      <c r="M677" s="0" t="n">
        <f aca="false">VLOOKUP(A677,'Team Data'!$A$1:$P$133,2,FALSE())</f>
        <v>5</v>
      </c>
      <c r="N677" s="0" t="n">
        <f aca="false">VLOOKUP(A677,'Team Data'!$A$1:$P$133,3,FALSE())</f>
        <v>7</v>
      </c>
      <c r="O677" s="0" t="n">
        <f aca="false">VLOOKUP(B677,'Team Data'!$A$1:$P$133,2,FALSE())</f>
        <v>5</v>
      </c>
      <c r="P677" s="0" t="n">
        <f aca="false">VLOOKUP(B677,'Team Data'!$A$1:$P$133,3,FALSE())</f>
        <v>7</v>
      </c>
      <c r="Q677" s="0" t="n">
        <f aca="false">VLOOKUP(A677,'Team Data'!$A$1:$P$133,4,FALSE())</f>
        <v>82</v>
      </c>
      <c r="R677" s="0" t="n">
        <f aca="false">VLOOKUP(A677,'Team Data'!$A$1:$P$133,5,FALSE())</f>
        <v>179</v>
      </c>
      <c r="S677" s="0" t="n">
        <f aca="false">VLOOKUP(B677,'Team Data'!$A$1:$P$133,4,FALSE())</f>
        <v>94</v>
      </c>
      <c r="T677" s="0" t="n">
        <f aca="false">VLOOKUP(B677,'Team Data'!$A$1:$P$133,5,FALSE())</f>
        <v>171</v>
      </c>
      <c r="U677" s="0" t="n">
        <f aca="false">IF(K677=1,(MIN(35,(C677-D677)))*(O677/(O677+P677))*(S677/(S677+T677)),(MAX(-35,(C677-D677)))*(IF(P677=0,0.1,(P677/(O677+P677))))*(T677/(S677+T677)))</f>
        <v>1.03459119496855</v>
      </c>
      <c r="V677" s="0" t="n">
        <f aca="false">IF(L677=1,(MIN(35,(D677-C677)))*(M677/(M677+N677))*(Q677/(Q677+R677)),(MAX(-35,(D677-C677)))*(IF(N677=0,0.1,(N677/(M677+N677))))*(R677/(R677+Q677)))</f>
        <v>-2.80044699872286</v>
      </c>
    </row>
    <row r="678" customFormat="false" ht="15" hidden="false" customHeight="false" outlineLevel="0" collapsed="false">
      <c r="A678" s="0" t="s">
        <v>22</v>
      </c>
      <c r="B678" s="0" t="s">
        <v>82</v>
      </c>
      <c r="C678" s="0" t="n">
        <v>24</v>
      </c>
      <c r="D678" s="0" t="n">
        <v>45</v>
      </c>
      <c r="E678" s="0" t="n">
        <v>22</v>
      </c>
      <c r="F678" s="0" t="n">
        <v>157</v>
      </c>
      <c r="G678" s="0" t="n">
        <v>238</v>
      </c>
      <c r="H678" s="0" t="n">
        <v>317</v>
      </c>
      <c r="I678" s="0" t="n">
        <v>3</v>
      </c>
      <c r="J678" s="0" t="n">
        <v>2</v>
      </c>
      <c r="K678" s="0" t="n">
        <v>0</v>
      </c>
      <c r="L678" s="0" t="n">
        <v>1</v>
      </c>
      <c r="M678" s="0" t="n">
        <f aca="false">VLOOKUP(A678,'Team Data'!$A$1:$P$133,2,FALSE())</f>
        <v>7</v>
      </c>
      <c r="N678" s="0" t="n">
        <f aca="false">VLOOKUP(A678,'Team Data'!$A$1:$P$133,3,FALSE())</f>
        <v>6</v>
      </c>
      <c r="O678" s="0" t="n">
        <f aca="false">VLOOKUP(B678,'Team Data'!$A$1:$P$133,2,FALSE())</f>
        <v>10</v>
      </c>
      <c r="P678" s="0" t="n">
        <f aca="false">VLOOKUP(B678,'Team Data'!$A$1:$P$133,3,FALSE())</f>
        <v>4</v>
      </c>
      <c r="Q678" s="0" t="n">
        <f aca="false">VLOOKUP(A678,'Team Data'!$A$1:$P$133,4,FALSE())</f>
        <v>83</v>
      </c>
      <c r="R678" s="0" t="n">
        <f aca="false">VLOOKUP(A678,'Team Data'!$A$1:$P$133,5,FALSE())</f>
        <v>191</v>
      </c>
      <c r="S678" s="0" t="n">
        <f aca="false">VLOOKUP(B678,'Team Data'!$A$1:$P$133,4,FALSE())</f>
        <v>83</v>
      </c>
      <c r="T678" s="0" t="n">
        <f aca="false">VLOOKUP(B678,'Team Data'!$A$1:$P$133,5,FALSE())</f>
        <v>200</v>
      </c>
      <c r="U678" s="0" t="n">
        <f aca="false">IF(K678=1,(MIN(35,(C678-D678)))*(O678/(O678+P678))*(S678/(S678+T678)),(MAX(-35,(C678-D678)))*(IF(P678=0,0.1,(P678/(O678+P678))))*(T678/(S678+T678)))</f>
        <v>-4.24028268551237</v>
      </c>
      <c r="V678" s="0" t="n">
        <f aca="false">IF(L678=1,(MIN(35,(D678-C678)))*(M678/(M678+N678))*(Q678/(Q678+R678)),(MAX(-35,(D678-C678)))*(IF(N678=0,0.1,(N678/(M678+N678))))*(R678/(R678+Q678)))</f>
        <v>3.42532285233015</v>
      </c>
    </row>
    <row r="679" customFormat="false" ht="15" hidden="false" customHeight="false" outlineLevel="0" collapsed="false">
      <c r="A679" s="0" t="s">
        <v>24</v>
      </c>
      <c r="B679" s="0" t="s">
        <v>79</v>
      </c>
      <c r="C679" s="0" t="n">
        <v>35</v>
      </c>
      <c r="D679" s="0" t="n">
        <v>22</v>
      </c>
      <c r="E679" s="0" t="n">
        <v>245</v>
      </c>
      <c r="F679" s="0" t="n">
        <v>158</v>
      </c>
      <c r="G679" s="0" t="n">
        <v>206</v>
      </c>
      <c r="H679" s="0" t="n">
        <v>158</v>
      </c>
      <c r="I679" s="0" t="n">
        <v>4</v>
      </c>
      <c r="J679" s="0" t="n">
        <v>2</v>
      </c>
      <c r="K679" s="0" t="n">
        <v>1</v>
      </c>
      <c r="L679" s="0" t="n">
        <v>0</v>
      </c>
      <c r="M679" s="0" t="n">
        <f aca="false">VLOOKUP(A679,'Team Data'!$A$1:$P$133,2,FALSE())</f>
        <v>4</v>
      </c>
      <c r="N679" s="0" t="n">
        <f aca="false">VLOOKUP(A679,'Team Data'!$A$1:$P$133,3,FALSE())</f>
        <v>8</v>
      </c>
      <c r="O679" s="0" t="n">
        <f aca="false">VLOOKUP(B679,'Team Data'!$A$1:$P$133,2,FALSE())</f>
        <v>3</v>
      </c>
      <c r="P679" s="0" t="n">
        <f aca="false">VLOOKUP(B679,'Team Data'!$A$1:$P$133,3,FALSE())</f>
        <v>9</v>
      </c>
      <c r="Q679" s="0" t="n">
        <f aca="false">VLOOKUP(A679,'Team Data'!$A$1:$P$133,4,FALSE())</f>
        <v>82</v>
      </c>
      <c r="R679" s="0" t="n">
        <f aca="false">VLOOKUP(A679,'Team Data'!$A$1:$P$133,5,FALSE())</f>
        <v>178</v>
      </c>
      <c r="S679" s="0" t="n">
        <f aca="false">VLOOKUP(B679,'Team Data'!$A$1:$P$133,4,FALSE())</f>
        <v>75</v>
      </c>
      <c r="T679" s="0" t="n">
        <f aca="false">VLOOKUP(B679,'Team Data'!$A$1:$P$133,5,FALSE())</f>
        <v>184</v>
      </c>
      <c r="U679" s="0" t="n">
        <f aca="false">IF(K679=1,(MIN(35,(C679-D679)))*(O679/(O679+P679))*(S679/(S679+T679)),(MAX(-35,(C679-D679)))*(IF(P679=0,0.1,(P679/(O679+P679))))*(T679/(S679+T679)))</f>
        <v>0.941119691119691</v>
      </c>
      <c r="V679" s="0" t="n">
        <f aca="false">IF(L679=1,(MIN(35,(D679-C679)))*(M679/(M679+N679))*(Q679/(Q679+R679)),(MAX(-35,(D679-C679)))*(IF(N679=0,0.1,(N679/(M679+N679))))*(R679/(R679+Q679)))</f>
        <v>-5.93333333333333</v>
      </c>
    </row>
    <row r="680" customFormat="false" ht="15" hidden="false" customHeight="false" outlineLevel="0" collapsed="false">
      <c r="A680" s="0" t="s">
        <v>134</v>
      </c>
      <c r="B680" s="0" t="s">
        <v>21</v>
      </c>
      <c r="C680" s="0" t="n">
        <v>9</v>
      </c>
      <c r="D680" s="0" t="n">
        <v>13</v>
      </c>
      <c r="E680" s="0" t="n">
        <v>127</v>
      </c>
      <c r="F680" s="0" t="n">
        <v>128</v>
      </c>
      <c r="G680" s="0" t="n">
        <v>191</v>
      </c>
      <c r="H680" s="0" t="n">
        <v>161</v>
      </c>
      <c r="I680" s="0" t="n">
        <v>2</v>
      </c>
      <c r="J680" s="0" t="n">
        <v>3</v>
      </c>
      <c r="K680" s="0" t="n">
        <v>0</v>
      </c>
      <c r="L680" s="0" t="n">
        <v>1</v>
      </c>
      <c r="M680" s="0" t="n">
        <f aca="false">VLOOKUP(A680,'Team Data'!$A$1:$P$133,2,FALSE())</f>
        <v>5</v>
      </c>
      <c r="N680" s="0" t="n">
        <f aca="false">VLOOKUP(A680,'Team Data'!$A$1:$P$133,3,FALSE())</f>
        <v>7</v>
      </c>
      <c r="O680" s="0" t="n">
        <f aca="false">VLOOKUP(B680,'Team Data'!$A$1:$P$133,2,FALSE())</f>
        <v>6</v>
      </c>
      <c r="P680" s="0" t="n">
        <f aca="false">VLOOKUP(B680,'Team Data'!$A$1:$P$133,3,FALSE())</f>
        <v>7</v>
      </c>
      <c r="Q680" s="0" t="n">
        <f aca="false">VLOOKUP(A680,'Team Data'!$A$1:$P$133,4,FALSE())</f>
        <v>81</v>
      </c>
      <c r="R680" s="0" t="n">
        <f aca="false">VLOOKUP(A680,'Team Data'!$A$1:$P$133,5,FALSE())</f>
        <v>179</v>
      </c>
      <c r="S680" s="0" t="n">
        <f aca="false">VLOOKUP(B680,'Team Data'!$A$1:$P$133,4,FALSE())</f>
        <v>90</v>
      </c>
      <c r="T680" s="0" t="n">
        <f aca="false">VLOOKUP(B680,'Team Data'!$A$1:$P$133,5,FALSE())</f>
        <v>184</v>
      </c>
      <c r="U680" s="0" t="n">
        <f aca="false">IF(K680=1,(MIN(35,(C680-D680)))*(O680/(O680+P680))*(S680/(S680+T680)),(MAX(-35,(C680-D680)))*(IF(P680=0,0.1,(P680/(O680+P680))))*(T680/(S680+T680)))</f>
        <v>-1.44637843907917</v>
      </c>
      <c r="V680" s="0" t="n">
        <f aca="false">IF(L680=1,(MIN(35,(D680-C680)))*(M680/(M680+N680))*(Q680/(Q680+R680)),(MAX(-35,(D680-C680)))*(IF(N680=0,0.1,(N680/(M680+N680))))*(R680/(R680+Q680)))</f>
        <v>0.519230769230769</v>
      </c>
    </row>
    <row r="681" customFormat="false" ht="15" hidden="false" customHeight="false" outlineLevel="0" collapsed="false">
      <c r="A681" s="0" t="s">
        <v>9</v>
      </c>
      <c r="B681" s="0" t="s">
        <v>28</v>
      </c>
      <c r="C681" s="0" t="n">
        <v>28</v>
      </c>
      <c r="D681" s="0" t="n">
        <v>35</v>
      </c>
      <c r="E681" s="0" t="n">
        <v>88</v>
      </c>
      <c r="F681" s="0" t="n">
        <v>192</v>
      </c>
      <c r="G681" s="0" t="n">
        <v>279</v>
      </c>
      <c r="H681" s="0" t="n">
        <v>284</v>
      </c>
      <c r="I681" s="0" t="n">
        <v>2</v>
      </c>
      <c r="J681" s="0" t="n">
        <v>1</v>
      </c>
      <c r="K681" s="0" t="n">
        <v>0</v>
      </c>
      <c r="L681" s="0" t="n">
        <v>1</v>
      </c>
      <c r="M681" s="0" t="n">
        <f aca="false">VLOOKUP(A681,'Team Data'!$A$1:$P$133,2,FALSE())</f>
        <v>6</v>
      </c>
      <c r="N681" s="0" t="n">
        <f aca="false">VLOOKUP(A681,'Team Data'!$A$1:$P$133,3,FALSE())</f>
        <v>6</v>
      </c>
      <c r="O681" s="0" t="n">
        <f aca="false">VLOOKUP(B681,'Team Data'!$A$1:$P$133,2,FALSE())</f>
        <v>9</v>
      </c>
      <c r="P681" s="0" t="n">
        <f aca="false">VLOOKUP(B681,'Team Data'!$A$1:$P$133,3,FALSE())</f>
        <v>4</v>
      </c>
      <c r="Q681" s="0" t="n">
        <f aca="false">VLOOKUP(A681,'Team Data'!$A$1:$P$133,4,FALSE())</f>
        <v>85</v>
      </c>
      <c r="R681" s="0" t="n">
        <f aca="false">VLOOKUP(A681,'Team Data'!$A$1:$P$133,5,FALSE())</f>
        <v>281</v>
      </c>
      <c r="S681" s="0" t="n">
        <f aca="false">VLOOKUP(B681,'Team Data'!$A$1:$P$133,4,FALSE())</f>
        <v>88</v>
      </c>
      <c r="T681" s="0" t="n">
        <f aca="false">VLOOKUP(B681,'Team Data'!$A$1:$P$133,5,FALSE())</f>
        <v>182</v>
      </c>
      <c r="U681" s="0" t="n">
        <f aca="false">IF(K681=1,(MIN(35,(C681-D681)))*(O681/(O681+P681))*(S681/(S681+T681)),(MAX(-35,(C681-D681)))*(IF(P681=0,0.1,(P681/(O681+P681))))*(T681/(S681+T681)))</f>
        <v>-1.45185185185185</v>
      </c>
      <c r="V681" s="0" t="n">
        <f aca="false">IF(L681=1,(MIN(35,(D681-C681)))*(M681/(M681+N681))*(Q681/(Q681+R681)),(MAX(-35,(D681-C681)))*(IF(N681=0,0.1,(N681/(M681+N681))))*(R681/(R681+Q681)))</f>
        <v>0.812841530054645</v>
      </c>
    </row>
    <row r="682" customFormat="false" ht="15" hidden="false" customHeight="false" outlineLevel="0" collapsed="false">
      <c r="A682" s="0" t="s">
        <v>98</v>
      </c>
      <c r="B682" s="0" t="s">
        <v>40</v>
      </c>
      <c r="C682" s="0" t="n">
        <v>38</v>
      </c>
      <c r="D682" s="0" t="n">
        <v>31</v>
      </c>
      <c r="E682" s="0" t="n">
        <v>321</v>
      </c>
      <c r="F682" s="0" t="n">
        <v>88</v>
      </c>
      <c r="G682" s="0" t="n">
        <v>193</v>
      </c>
      <c r="H682" s="0" t="n">
        <v>278</v>
      </c>
      <c r="I682" s="0" t="n">
        <v>3</v>
      </c>
      <c r="J682" s="0" t="n">
        <v>1</v>
      </c>
      <c r="K682" s="0" t="n">
        <v>1</v>
      </c>
      <c r="L682" s="0" t="n">
        <v>0</v>
      </c>
      <c r="M682" s="0" t="n">
        <f aca="false">VLOOKUP(A682,'Team Data'!$A$1:$P$133,2,FALSE())</f>
        <v>10</v>
      </c>
      <c r="N682" s="0" t="n">
        <f aca="false">VLOOKUP(A682,'Team Data'!$A$1:$P$133,3,FALSE())</f>
        <v>3</v>
      </c>
      <c r="O682" s="0" t="n">
        <f aca="false">VLOOKUP(B682,'Team Data'!$A$1:$P$133,2,FALSE())</f>
        <v>6</v>
      </c>
      <c r="P682" s="0" t="n">
        <f aca="false">VLOOKUP(B682,'Team Data'!$A$1:$P$133,3,FALSE())</f>
        <v>7</v>
      </c>
      <c r="Q682" s="0" t="n">
        <f aca="false">VLOOKUP(A682,'Team Data'!$A$1:$P$133,4,FALSE())</f>
        <v>78</v>
      </c>
      <c r="R682" s="0" t="n">
        <f aca="false">VLOOKUP(A682,'Team Data'!$A$1:$P$133,5,FALSE())</f>
        <v>194</v>
      </c>
      <c r="S682" s="0" t="n">
        <f aca="false">VLOOKUP(B682,'Team Data'!$A$1:$P$133,4,FALSE())</f>
        <v>86</v>
      </c>
      <c r="T682" s="0" t="n">
        <f aca="false">VLOOKUP(B682,'Team Data'!$A$1:$P$133,5,FALSE())</f>
        <v>183</v>
      </c>
      <c r="U682" s="0" t="n">
        <f aca="false">IF(K682=1,(MIN(35,(C682-D682)))*(O682/(O682+P682))*(S682/(S682+T682)),(MAX(-35,(C682-D682)))*(IF(P682=0,0.1,(P682/(O682+P682))))*(T682/(S682+T682)))</f>
        <v>1.0328853302831</v>
      </c>
      <c r="V682" s="0" t="n">
        <f aca="false">IF(L682=1,(MIN(35,(D682-C682)))*(M682/(M682+N682))*(Q682/(Q682+R682)),(MAX(-35,(D682-C682)))*(IF(N682=0,0.1,(N682/(M682+N682))))*(R682/(R682+Q682)))</f>
        <v>-1.15214932126697</v>
      </c>
    </row>
    <row r="683" customFormat="false" ht="15" hidden="false" customHeight="false" outlineLevel="0" collapsed="false">
      <c r="A683" s="0" t="s">
        <v>60</v>
      </c>
      <c r="B683" s="0" t="s">
        <v>86</v>
      </c>
      <c r="C683" s="0" t="n">
        <v>12</v>
      </c>
      <c r="D683" s="0" t="n">
        <v>0</v>
      </c>
      <c r="E683" s="0" t="n">
        <v>298</v>
      </c>
      <c r="F683" s="0" t="n">
        <v>11</v>
      </c>
      <c r="G683" s="0" t="n">
        <v>89</v>
      </c>
      <c r="H683" s="0" t="n">
        <v>198</v>
      </c>
      <c r="I683" s="0" t="n">
        <v>2</v>
      </c>
      <c r="J683" s="0" t="n">
        <v>4</v>
      </c>
      <c r="K683" s="0" t="n">
        <v>1</v>
      </c>
      <c r="L683" s="0" t="n">
        <v>0</v>
      </c>
      <c r="M683" s="0" t="n">
        <f aca="false">VLOOKUP(A683,'Team Data'!$A$1:$P$133,2,FALSE())</f>
        <v>9</v>
      </c>
      <c r="N683" s="0" t="n">
        <f aca="false">VLOOKUP(A683,'Team Data'!$A$1:$P$133,3,FALSE())</f>
        <v>4</v>
      </c>
      <c r="O683" s="0" t="n">
        <f aca="false">VLOOKUP(B683,'Team Data'!$A$1:$P$133,2,FALSE())</f>
        <v>3</v>
      </c>
      <c r="P683" s="0" t="n">
        <f aca="false">VLOOKUP(B683,'Team Data'!$A$1:$P$133,3,FALSE())</f>
        <v>9</v>
      </c>
      <c r="Q683" s="0" t="n">
        <f aca="false">VLOOKUP(A683,'Team Data'!$A$1:$P$133,4,FALSE())</f>
        <v>91</v>
      </c>
      <c r="R683" s="0" t="n">
        <f aca="false">VLOOKUP(A683,'Team Data'!$A$1:$P$133,5,FALSE())</f>
        <v>288</v>
      </c>
      <c r="S683" s="0" t="n">
        <f aca="false">VLOOKUP(B683,'Team Data'!$A$1:$P$133,4,FALSE())</f>
        <v>77</v>
      </c>
      <c r="T683" s="0" t="n">
        <f aca="false">VLOOKUP(B683,'Team Data'!$A$1:$P$133,5,FALSE())</f>
        <v>69</v>
      </c>
      <c r="U683" s="0" t="n">
        <f aca="false">IF(K683=1,(MIN(35,(C683-D683)))*(O683/(O683+P683))*(S683/(S683+T683)),(MAX(-35,(C683-D683)))*(IF(P683=0,0.1,(P683/(O683+P683))))*(T683/(S683+T683)))</f>
        <v>1.58219178082192</v>
      </c>
      <c r="V683" s="0" t="n">
        <f aca="false">IF(L683=1,(MIN(35,(D683-C683)))*(M683/(M683+N683))*(Q683/(Q683+R683)),(MAX(-35,(D683-C683)))*(IF(N683=0,0.1,(N683/(M683+N683))))*(R683/(R683+Q683)))</f>
        <v>-2.80576415668764</v>
      </c>
    </row>
    <row r="684" customFormat="false" ht="15" hidden="false" customHeight="false" outlineLevel="0" collapsed="false">
      <c r="A684" s="0" t="s">
        <v>111</v>
      </c>
      <c r="B684" s="0" t="s">
        <v>56</v>
      </c>
      <c r="C684" s="0" t="n">
        <v>23</v>
      </c>
      <c r="D684" s="0" t="n">
        <v>17</v>
      </c>
      <c r="E684" s="0" t="n">
        <v>154</v>
      </c>
      <c r="F684" s="0" t="n">
        <v>203</v>
      </c>
      <c r="G684" s="0" t="n">
        <v>223</v>
      </c>
      <c r="H684" s="0" t="n">
        <v>112</v>
      </c>
      <c r="I684" s="0" t="n">
        <v>1</v>
      </c>
      <c r="J684" s="0" t="n">
        <v>0</v>
      </c>
      <c r="K684" s="0" t="n">
        <v>1</v>
      </c>
      <c r="L684" s="0" t="n">
        <v>0</v>
      </c>
      <c r="M684" s="0" t="n">
        <f aca="false">VLOOKUP(A684,'Team Data'!$A$1:$P$133,2,FALSE())</f>
        <v>12</v>
      </c>
      <c r="N684" s="0" t="n">
        <f aca="false">VLOOKUP(A684,'Team Data'!$A$1:$P$133,3,FALSE())</f>
        <v>2</v>
      </c>
      <c r="O684" s="0" t="n">
        <f aca="false">VLOOKUP(B684,'Team Data'!$A$1:$P$133,2,FALSE())</f>
        <v>6</v>
      </c>
      <c r="P684" s="0" t="n">
        <f aca="false">VLOOKUP(B684,'Team Data'!$A$1:$P$133,3,FALSE())</f>
        <v>7</v>
      </c>
      <c r="Q684" s="0" t="n">
        <f aca="false">VLOOKUP(A684,'Team Data'!$A$1:$P$133,4,FALSE())</f>
        <v>100</v>
      </c>
      <c r="R684" s="0" t="n">
        <f aca="false">VLOOKUP(A684,'Team Data'!$A$1:$P$133,5,FALSE())</f>
        <v>186</v>
      </c>
      <c r="S684" s="0" t="n">
        <f aca="false">VLOOKUP(B684,'Team Data'!$A$1:$P$133,4,FALSE())</f>
        <v>95</v>
      </c>
      <c r="T684" s="0" t="n">
        <f aca="false">VLOOKUP(B684,'Team Data'!$A$1:$P$133,5,FALSE())</f>
        <v>179</v>
      </c>
      <c r="U684" s="0" t="n">
        <f aca="false">IF(K684=1,(MIN(35,(C684-D684)))*(O684/(O684+P684))*(S684/(S684+T684)),(MAX(-35,(C684-D684)))*(IF(P684=0,0.1,(P684/(O684+P684))))*(T684/(S684+T684)))</f>
        <v>0.960134755755194</v>
      </c>
      <c r="V684" s="0" t="n">
        <f aca="false">IF(L684=1,(MIN(35,(D684-C684)))*(M684/(M684+N684))*(Q684/(Q684+R684)),(MAX(-35,(D684-C684)))*(IF(N684=0,0.1,(N684/(M684+N684))))*(R684/(R684+Q684)))</f>
        <v>-0.557442557442557</v>
      </c>
    </row>
    <row r="685" customFormat="false" ht="15" hidden="false" customHeight="false" outlineLevel="0" collapsed="false">
      <c r="A685" s="0" t="s">
        <v>108</v>
      </c>
      <c r="B685" s="0" t="s">
        <v>58</v>
      </c>
      <c r="C685" s="0" t="n">
        <v>30</v>
      </c>
      <c r="D685" s="0" t="n">
        <v>31</v>
      </c>
      <c r="E685" s="0" t="n">
        <v>130</v>
      </c>
      <c r="F685" s="0" t="n">
        <v>67</v>
      </c>
      <c r="G685" s="0" t="n">
        <v>237</v>
      </c>
      <c r="H685" s="0" t="n">
        <v>313</v>
      </c>
      <c r="I685" s="0" t="n">
        <v>0</v>
      </c>
      <c r="J685" s="0" t="n">
        <v>4</v>
      </c>
      <c r="K685" s="0" t="n">
        <v>0</v>
      </c>
      <c r="L685" s="0" t="n">
        <v>1</v>
      </c>
      <c r="M685" s="0" t="n">
        <f aca="false">VLOOKUP(A685,'Team Data'!$A$1:$P$133,2,FALSE())</f>
        <v>4</v>
      </c>
      <c r="N685" s="0" t="n">
        <f aca="false">VLOOKUP(A685,'Team Data'!$A$1:$P$133,3,FALSE())</f>
        <v>8</v>
      </c>
      <c r="O685" s="0" t="n">
        <f aca="false">VLOOKUP(B685,'Team Data'!$A$1:$P$133,2,FALSE())</f>
        <v>4</v>
      </c>
      <c r="P685" s="0" t="n">
        <f aca="false">VLOOKUP(B685,'Team Data'!$A$1:$P$133,3,FALSE())</f>
        <v>8</v>
      </c>
      <c r="Q685" s="0" t="n">
        <f aca="false">VLOOKUP(A685,'Team Data'!$A$1:$P$133,4,FALSE())</f>
        <v>76</v>
      </c>
      <c r="R685" s="0" t="n">
        <f aca="false">VLOOKUP(A685,'Team Data'!$A$1:$P$133,5,FALSE())</f>
        <v>181</v>
      </c>
      <c r="S685" s="0" t="n">
        <f aca="false">VLOOKUP(B685,'Team Data'!$A$1:$P$133,4,FALSE())</f>
        <v>88</v>
      </c>
      <c r="T685" s="0" t="n">
        <f aca="false">VLOOKUP(B685,'Team Data'!$A$1:$P$133,5,FALSE())</f>
        <v>172</v>
      </c>
      <c r="U685" s="0" t="n">
        <f aca="false">IF(K685=1,(MIN(35,(C685-D685)))*(O685/(O685+P685))*(S685/(S685+T685)),(MAX(-35,(C685-D685)))*(IF(P685=0,0.1,(P685/(O685+P685))))*(T685/(S685+T685)))</f>
        <v>-0.441025641025641</v>
      </c>
      <c r="V685" s="0" t="n">
        <f aca="false">IF(L685=1,(MIN(35,(D685-C685)))*(M685/(M685+N685))*(Q685/(Q685+R685)),(MAX(-35,(D685-C685)))*(IF(N685=0,0.1,(N685/(M685+N685))))*(R685/(R685+Q685)))</f>
        <v>0.0985732814526589</v>
      </c>
    </row>
    <row r="686" customFormat="false" ht="15" hidden="false" customHeight="false" outlineLevel="0" collapsed="false">
      <c r="A686" s="0" t="s">
        <v>41</v>
      </c>
      <c r="B686" s="0" t="s">
        <v>100</v>
      </c>
      <c r="C686" s="0" t="n">
        <v>42</v>
      </c>
      <c r="D686" s="0" t="n">
        <v>14</v>
      </c>
      <c r="E686" s="0" t="n">
        <v>388</v>
      </c>
      <c r="F686" s="0" t="n">
        <v>33</v>
      </c>
      <c r="G686" s="0" t="n">
        <v>133</v>
      </c>
      <c r="H686" s="0" t="n">
        <v>169</v>
      </c>
      <c r="I686" s="0" t="n">
        <v>1</v>
      </c>
      <c r="J686" s="0" t="n">
        <v>2</v>
      </c>
      <c r="K686" s="0" t="n">
        <v>1</v>
      </c>
      <c r="L686" s="0" t="n">
        <v>0</v>
      </c>
      <c r="M686" s="0" t="n">
        <f aca="false">VLOOKUP(A686,'Team Data'!$A$1:$P$133,2,FALSE())</f>
        <v>4</v>
      </c>
      <c r="N686" s="0" t="n">
        <f aca="false">VLOOKUP(A686,'Team Data'!$A$1:$P$133,3,FALSE())</f>
        <v>8</v>
      </c>
      <c r="O686" s="0" t="n">
        <f aca="false">VLOOKUP(B686,'Team Data'!$A$1:$P$133,2,FALSE())</f>
        <v>7</v>
      </c>
      <c r="P686" s="0" t="n">
        <f aca="false">VLOOKUP(B686,'Team Data'!$A$1:$P$133,3,FALSE())</f>
        <v>6</v>
      </c>
      <c r="Q686" s="0" t="n">
        <f aca="false">VLOOKUP(A686,'Team Data'!$A$1:$P$133,4,FALSE())</f>
        <v>78</v>
      </c>
      <c r="R686" s="0" t="n">
        <f aca="false">VLOOKUP(A686,'Team Data'!$A$1:$P$133,5,FALSE())</f>
        <v>72</v>
      </c>
      <c r="S686" s="0" t="n">
        <f aca="false">VLOOKUP(B686,'Team Data'!$A$1:$P$133,4,FALSE())</f>
        <v>90</v>
      </c>
      <c r="T686" s="0" t="n">
        <f aca="false">VLOOKUP(B686,'Team Data'!$A$1:$P$133,5,FALSE())</f>
        <v>183</v>
      </c>
      <c r="U686" s="0" t="n">
        <f aca="false">IF(K686=1,(MIN(35,(C686-D686)))*(O686/(O686+P686))*(S686/(S686+T686)),(MAX(-35,(C686-D686)))*(IF(P686=0,0.1,(P686/(O686+P686))))*(T686/(S686+T686)))</f>
        <v>4.97041420118343</v>
      </c>
      <c r="V686" s="0" t="n">
        <f aca="false">IF(L686=1,(MIN(35,(D686-C686)))*(M686/(M686+N686))*(Q686/(Q686+R686)),(MAX(-35,(D686-C686)))*(IF(N686=0,0.1,(N686/(M686+N686))))*(R686/(R686+Q686)))</f>
        <v>-8.96</v>
      </c>
    </row>
    <row r="687" customFormat="false" ht="15" hidden="false" customHeight="false" outlineLevel="0" collapsed="false">
      <c r="A687" s="0" t="s">
        <v>133</v>
      </c>
      <c r="B687" s="0" t="s">
        <v>25</v>
      </c>
      <c r="C687" s="0" t="n">
        <v>59</v>
      </c>
      <c r="D687" s="0" t="n">
        <v>7</v>
      </c>
      <c r="E687" s="0" t="n">
        <v>131</v>
      </c>
      <c r="F687" s="0" t="n">
        <v>161</v>
      </c>
      <c r="G687" s="0" t="n">
        <v>461</v>
      </c>
      <c r="H687" s="0" t="n">
        <v>223</v>
      </c>
      <c r="I687" s="0" t="n">
        <v>0</v>
      </c>
      <c r="J687" s="0" t="n">
        <v>3</v>
      </c>
      <c r="K687" s="0" t="n">
        <v>1</v>
      </c>
      <c r="L687" s="0" t="n">
        <v>0</v>
      </c>
      <c r="M687" s="0" t="n">
        <f aca="false">VLOOKUP(A687,'Team Data'!$A$1:$P$133,2,FALSE())</f>
        <v>9</v>
      </c>
      <c r="N687" s="0" t="n">
        <f aca="false">VLOOKUP(A687,'Team Data'!$A$1:$P$133,3,FALSE())</f>
        <v>5</v>
      </c>
      <c r="O687" s="0" t="n">
        <f aca="false">VLOOKUP(B687,'Team Data'!$A$1:$P$133,2,FALSE())</f>
        <v>3</v>
      </c>
      <c r="P687" s="0" t="n">
        <f aca="false">VLOOKUP(B687,'Team Data'!$A$1:$P$133,3,FALSE())</f>
        <v>9</v>
      </c>
      <c r="Q687" s="0" t="n">
        <f aca="false">VLOOKUP(A687,'Team Data'!$A$1:$P$133,4,FALSE())</f>
        <v>92</v>
      </c>
      <c r="R687" s="0" t="n">
        <f aca="false">VLOOKUP(A687,'Team Data'!$A$1:$P$133,5,FALSE())</f>
        <v>195</v>
      </c>
      <c r="S687" s="0" t="n">
        <f aca="false">VLOOKUP(B687,'Team Data'!$A$1:$P$133,4,FALSE())</f>
        <v>74</v>
      </c>
      <c r="T687" s="0" t="n">
        <f aca="false">VLOOKUP(B687,'Team Data'!$A$1:$P$133,5,FALSE())</f>
        <v>185</v>
      </c>
      <c r="U687" s="0" t="n">
        <f aca="false">IF(K687=1,(MIN(35,(C687-D687)))*(O687/(O687+P687))*(S687/(S687+T687)),(MAX(-35,(C687-D687)))*(IF(P687=0,0.1,(P687/(O687+P687))))*(T687/(S687+T687)))</f>
        <v>2.5</v>
      </c>
      <c r="V687" s="0" t="n">
        <f aca="false">IF(L687=1,(MIN(35,(D687-C687)))*(M687/(M687+N687))*(Q687/(Q687+R687)),(MAX(-35,(D687-C687)))*(IF(N687=0,0.1,(N687/(M687+N687))))*(R687/(R687+Q687)))</f>
        <v>-8.49303135888502</v>
      </c>
    </row>
    <row r="688" customFormat="false" ht="15" hidden="false" customHeight="false" outlineLevel="0" collapsed="false">
      <c r="A688" s="0" t="s">
        <v>34</v>
      </c>
      <c r="B688" s="0" t="s">
        <v>78</v>
      </c>
      <c r="C688" s="0" t="n">
        <v>14</v>
      </c>
      <c r="D688" s="0" t="n">
        <v>52</v>
      </c>
      <c r="E688" s="0" t="n">
        <v>113</v>
      </c>
      <c r="F688" s="0" t="n">
        <v>209</v>
      </c>
      <c r="G688" s="0" t="n">
        <v>145</v>
      </c>
      <c r="H688" s="0" t="n">
        <v>414</v>
      </c>
      <c r="I688" s="0" t="n">
        <v>2</v>
      </c>
      <c r="J688" s="0" t="n">
        <v>3</v>
      </c>
      <c r="K688" s="0" t="n">
        <v>0</v>
      </c>
      <c r="L688" s="0" t="n">
        <v>1</v>
      </c>
      <c r="M688" s="0" t="n">
        <f aca="false">VLOOKUP(A688,'Team Data'!$A$1:$P$133,2,FALSE())</f>
        <v>4</v>
      </c>
      <c r="N688" s="0" t="n">
        <f aca="false">VLOOKUP(A688,'Team Data'!$A$1:$P$133,3,FALSE())</f>
        <v>8</v>
      </c>
      <c r="O688" s="0" t="n">
        <f aca="false">VLOOKUP(B688,'Team Data'!$A$1:$P$133,2,FALSE())</f>
        <v>7</v>
      </c>
      <c r="P688" s="0" t="n">
        <f aca="false">VLOOKUP(B688,'Team Data'!$A$1:$P$133,3,FALSE())</f>
        <v>7</v>
      </c>
      <c r="Q688" s="0" t="n">
        <f aca="false">VLOOKUP(A688,'Team Data'!$A$1:$P$133,4,FALSE())</f>
        <v>76</v>
      </c>
      <c r="R688" s="0" t="n">
        <f aca="false">VLOOKUP(A688,'Team Data'!$A$1:$P$133,5,FALSE())</f>
        <v>185</v>
      </c>
      <c r="S688" s="0" t="n">
        <f aca="false">VLOOKUP(B688,'Team Data'!$A$1:$P$133,4,FALSE())</f>
        <v>97</v>
      </c>
      <c r="T688" s="0" t="n">
        <f aca="false">VLOOKUP(B688,'Team Data'!$A$1:$P$133,5,FALSE())</f>
        <v>191</v>
      </c>
      <c r="U688" s="0" t="n">
        <f aca="false">IF(K688=1,(MIN(35,(C688-D688)))*(O688/(O688+P688))*(S688/(S688+T688)),(MAX(-35,(C688-D688)))*(IF(P688=0,0.1,(P688/(O688+P688))))*(T688/(S688+T688)))</f>
        <v>-11.6059027777778</v>
      </c>
      <c r="V688" s="0" t="n">
        <f aca="false">IF(L688=1,(MIN(35,(D688-C688)))*(M688/(M688+N688))*(Q688/(Q688+R688)),(MAX(-35,(D688-C688)))*(IF(N688=0,0.1,(N688/(M688+N688))))*(R688/(R688+Q688)))</f>
        <v>3.39719029374202</v>
      </c>
    </row>
    <row r="689" customFormat="false" ht="15" hidden="false" customHeight="false" outlineLevel="0" collapsed="false">
      <c r="A689" s="0" t="s">
        <v>67</v>
      </c>
      <c r="B689" s="0" t="s">
        <v>57</v>
      </c>
      <c r="C689" s="0" t="n">
        <v>24</v>
      </c>
      <c r="D689" s="0" t="n">
        <v>40</v>
      </c>
      <c r="E689" s="0" t="n">
        <v>194</v>
      </c>
      <c r="F689" s="0" t="n">
        <v>135</v>
      </c>
      <c r="G689" s="0" t="n">
        <v>226</v>
      </c>
      <c r="H689" s="0" t="n">
        <v>311</v>
      </c>
      <c r="I689" s="0" t="n">
        <v>5</v>
      </c>
      <c r="J689" s="0" t="n">
        <v>1</v>
      </c>
      <c r="K689" s="0" t="n">
        <v>0</v>
      </c>
      <c r="L689" s="0" t="n">
        <v>1</v>
      </c>
      <c r="M689" s="0" t="n">
        <f aca="false">VLOOKUP(A689,'Team Data'!$A$1:$P$133,2,FALSE())</f>
        <v>8</v>
      </c>
      <c r="N689" s="0" t="n">
        <f aca="false">VLOOKUP(A689,'Team Data'!$A$1:$P$133,3,FALSE())</f>
        <v>5</v>
      </c>
      <c r="O689" s="0" t="n">
        <f aca="false">VLOOKUP(B689,'Team Data'!$A$1:$P$133,2,FALSE())</f>
        <v>3</v>
      </c>
      <c r="P689" s="0" t="n">
        <f aca="false">VLOOKUP(B689,'Team Data'!$A$1:$P$133,3,FALSE())</f>
        <v>9</v>
      </c>
      <c r="Q689" s="0" t="n">
        <f aca="false">VLOOKUP(A689,'Team Data'!$A$1:$P$133,4,FALSE())</f>
        <v>78</v>
      </c>
      <c r="R689" s="0" t="n">
        <f aca="false">VLOOKUP(A689,'Team Data'!$A$1:$P$133,5,FALSE())</f>
        <v>191</v>
      </c>
      <c r="S689" s="0" t="n">
        <f aca="false">VLOOKUP(B689,'Team Data'!$A$1:$P$133,4,FALSE())</f>
        <v>85</v>
      </c>
      <c r="T689" s="0" t="n">
        <f aca="false">VLOOKUP(B689,'Team Data'!$A$1:$P$133,5,FALSE())</f>
        <v>178</v>
      </c>
      <c r="U689" s="0" t="n">
        <f aca="false">IF(K689=1,(MIN(35,(C689-D689)))*(O689/(O689+P689))*(S689/(S689+T689)),(MAX(-35,(C689-D689)))*(IF(P689=0,0.1,(P689/(O689+P689))))*(T689/(S689+T689)))</f>
        <v>-8.12167300380228</v>
      </c>
      <c r="V689" s="0" t="n">
        <f aca="false">IF(L689=1,(MIN(35,(D689-C689)))*(M689/(M689+N689))*(Q689/(Q689+R689)),(MAX(-35,(D689-C689)))*(IF(N689=0,0.1,(N689/(M689+N689))))*(R689/(R689+Q689)))</f>
        <v>2.85501858736059</v>
      </c>
    </row>
    <row r="690" customFormat="false" ht="15" hidden="false" customHeight="false" outlineLevel="0" collapsed="false">
      <c r="A690" s="0" t="s">
        <v>122</v>
      </c>
      <c r="B690" s="0" t="s">
        <v>93</v>
      </c>
      <c r="C690" s="0" t="n">
        <v>30</v>
      </c>
      <c r="D690" s="0" t="n">
        <v>37</v>
      </c>
      <c r="E690" s="0" t="n">
        <v>154</v>
      </c>
      <c r="F690" s="0" t="n">
        <v>168</v>
      </c>
      <c r="G690" s="0" t="n">
        <v>159</v>
      </c>
      <c r="H690" s="0" t="n">
        <v>334</v>
      </c>
      <c r="I690" s="0" t="n">
        <v>0</v>
      </c>
      <c r="J690" s="0" t="n">
        <v>2</v>
      </c>
      <c r="K690" s="0" t="n">
        <v>0</v>
      </c>
      <c r="L690" s="0" t="n">
        <v>1</v>
      </c>
      <c r="M690" s="0" t="n">
        <f aca="false">VLOOKUP(A690,'Team Data'!$A$1:$P$133,2,FALSE())</f>
        <v>5</v>
      </c>
      <c r="N690" s="0" t="n">
        <f aca="false">VLOOKUP(A690,'Team Data'!$A$1:$P$133,3,FALSE())</f>
        <v>7</v>
      </c>
      <c r="O690" s="0" t="n">
        <f aca="false">VLOOKUP(B690,'Team Data'!$A$1:$P$133,2,FALSE())</f>
        <v>5</v>
      </c>
      <c r="P690" s="0" t="n">
        <f aca="false">VLOOKUP(B690,'Team Data'!$A$1:$P$133,3,FALSE())</f>
        <v>8</v>
      </c>
      <c r="Q690" s="0" t="n">
        <f aca="false">VLOOKUP(A690,'Team Data'!$A$1:$P$133,4,FALSE())</f>
        <v>71</v>
      </c>
      <c r="R690" s="0" t="n">
        <f aca="false">VLOOKUP(A690,'Team Data'!$A$1:$P$133,5,FALSE())</f>
        <v>83</v>
      </c>
      <c r="S690" s="0" t="n">
        <f aca="false">VLOOKUP(B690,'Team Data'!$A$1:$P$133,4,FALSE())</f>
        <v>90</v>
      </c>
      <c r="T690" s="0" t="n">
        <f aca="false">VLOOKUP(B690,'Team Data'!$A$1:$P$133,5,FALSE())</f>
        <v>186</v>
      </c>
      <c r="U690" s="0" t="n">
        <f aca="false">IF(K690=1,(MIN(35,(C690-D690)))*(O690/(O690+P690))*(S690/(S690+T690)),(MAX(-35,(C690-D690)))*(IF(P690=0,0.1,(P690/(O690+P690))))*(T690/(S690+T690)))</f>
        <v>-2.90301003344482</v>
      </c>
      <c r="V690" s="0" t="n">
        <f aca="false">IF(L690=1,(MIN(35,(D690-C690)))*(M690/(M690+N690))*(Q690/(Q690+R690)),(MAX(-35,(D690-C690)))*(IF(N690=0,0.1,(N690/(M690+N690))))*(R690/(R690+Q690)))</f>
        <v>1.34469696969697</v>
      </c>
    </row>
    <row r="691" customFormat="false" ht="15" hidden="false" customHeight="false" outlineLevel="0" collapsed="false">
      <c r="A691" s="0" t="s">
        <v>123</v>
      </c>
      <c r="B691" s="0" t="s">
        <v>114</v>
      </c>
      <c r="C691" s="0" t="n">
        <v>44</v>
      </c>
      <c r="D691" s="0" t="n">
        <v>38</v>
      </c>
      <c r="E691" s="0" t="n">
        <v>209</v>
      </c>
      <c r="F691" s="0" t="n">
        <v>221</v>
      </c>
      <c r="G691" s="0" t="n">
        <v>285</v>
      </c>
      <c r="H691" s="0" t="n">
        <v>332</v>
      </c>
      <c r="I691" s="0" t="n">
        <v>0</v>
      </c>
      <c r="J691" s="0" t="n">
        <v>1</v>
      </c>
      <c r="K691" s="0" t="n">
        <v>1</v>
      </c>
      <c r="L691" s="0" t="n">
        <v>0</v>
      </c>
      <c r="M691" s="0" t="n">
        <f aca="false">VLOOKUP(A691,'Team Data'!$A$1:$P$133,2,FALSE())</f>
        <v>11</v>
      </c>
      <c r="N691" s="0" t="n">
        <f aca="false">VLOOKUP(A691,'Team Data'!$A$1:$P$133,3,FALSE())</f>
        <v>3</v>
      </c>
      <c r="O691" s="0" t="n">
        <f aca="false">VLOOKUP(B691,'Team Data'!$A$1:$P$133,2,FALSE())</f>
        <v>7</v>
      </c>
      <c r="P691" s="0" t="n">
        <f aca="false">VLOOKUP(B691,'Team Data'!$A$1:$P$133,3,FALSE())</f>
        <v>6</v>
      </c>
      <c r="Q691" s="0" t="n">
        <f aca="false">VLOOKUP(A691,'Team Data'!$A$1:$P$133,4,FALSE())</f>
        <v>97</v>
      </c>
      <c r="R691" s="0" t="n">
        <f aca="false">VLOOKUP(A691,'Team Data'!$A$1:$P$133,5,FALSE())</f>
        <v>192</v>
      </c>
      <c r="S691" s="0" t="n">
        <f aca="false">VLOOKUP(B691,'Team Data'!$A$1:$P$133,4,FALSE())</f>
        <v>89</v>
      </c>
      <c r="T691" s="0" t="n">
        <f aca="false">VLOOKUP(B691,'Team Data'!$A$1:$P$133,5,FALSE())</f>
        <v>188</v>
      </c>
      <c r="U691" s="0" t="n">
        <f aca="false">IF(K691=1,(MIN(35,(C691-D691)))*(O691/(O691+P691))*(S691/(S691+T691)),(MAX(-35,(C691-D691)))*(IF(P691=0,0.1,(P691/(O691+P691))))*(T691/(S691+T691)))</f>
        <v>1.03804498750347</v>
      </c>
      <c r="V691" s="0" t="n">
        <f aca="false">IF(L691=1,(MIN(35,(D691-C691)))*(M691/(M691+N691))*(Q691/(Q691+R691)),(MAX(-35,(D691-C691)))*(IF(N691=0,0.1,(N691/(M691+N691))))*(R691/(R691+Q691)))</f>
        <v>-0.854176964903608</v>
      </c>
    </row>
    <row r="692" customFormat="false" ht="15" hidden="false" customHeight="false" outlineLevel="0" collapsed="false">
      <c r="A692" s="0" t="s">
        <v>54</v>
      </c>
      <c r="B692" s="0" t="s">
        <v>12</v>
      </c>
      <c r="C692" s="0" t="n">
        <v>13</v>
      </c>
      <c r="D692" s="0" t="n">
        <v>10</v>
      </c>
      <c r="E692" s="0" t="n">
        <v>198</v>
      </c>
      <c r="F692" s="0" t="n">
        <v>133</v>
      </c>
      <c r="G692" s="0" t="n">
        <v>86</v>
      </c>
      <c r="H692" s="0" t="n">
        <v>116</v>
      </c>
      <c r="I692" s="0" t="n">
        <v>2</v>
      </c>
      <c r="J692" s="0" t="n">
        <v>2</v>
      </c>
      <c r="K692" s="0" t="n">
        <v>1</v>
      </c>
      <c r="L692" s="0" t="n">
        <v>0</v>
      </c>
      <c r="M692" s="0" t="n">
        <f aca="false">VLOOKUP(A692,'Team Data'!$A$1:$P$133,2,FALSE())</f>
        <v>10</v>
      </c>
      <c r="N692" s="0" t="n">
        <f aca="false">VLOOKUP(A692,'Team Data'!$A$1:$P$133,3,FALSE())</f>
        <v>4</v>
      </c>
      <c r="O692" s="0" t="n">
        <f aca="false">VLOOKUP(B692,'Team Data'!$A$1:$P$133,2,FALSE())</f>
        <v>7</v>
      </c>
      <c r="P692" s="0" t="n">
        <f aca="false">VLOOKUP(B692,'Team Data'!$A$1:$P$133,3,FALSE())</f>
        <v>6</v>
      </c>
      <c r="Q692" s="0" t="n">
        <f aca="false">VLOOKUP(A692,'Team Data'!$A$1:$P$133,4,FALSE())</f>
        <v>112</v>
      </c>
      <c r="R692" s="0" t="n">
        <f aca="false">VLOOKUP(A692,'Team Data'!$A$1:$P$133,5,FALSE())</f>
        <v>177</v>
      </c>
      <c r="S692" s="0" t="n">
        <f aca="false">VLOOKUP(B692,'Team Data'!$A$1:$P$133,4,FALSE())</f>
        <v>101</v>
      </c>
      <c r="T692" s="0" t="n">
        <f aca="false">VLOOKUP(B692,'Team Data'!$A$1:$P$133,5,FALSE())</f>
        <v>174</v>
      </c>
      <c r="U692" s="0" t="n">
        <f aca="false">IF(K692=1,(MIN(35,(C692-D692)))*(O692/(O692+P692))*(S692/(S692+T692)),(MAX(-35,(C692-D692)))*(IF(P692=0,0.1,(P692/(O692+P692))))*(T692/(S692+T692)))</f>
        <v>0.593286713286713</v>
      </c>
      <c r="V692" s="0" t="n">
        <f aca="false">IF(L692=1,(MIN(35,(D692-C692)))*(M692/(M692+N692))*(Q692/(Q692+R692)),(MAX(-35,(D692-C692)))*(IF(N692=0,0.1,(N692/(M692+N692))))*(R692/(R692+Q692)))</f>
        <v>-0.524962926347009</v>
      </c>
    </row>
    <row r="693" customFormat="false" ht="15" hidden="false" customHeight="false" outlineLevel="0" collapsed="false">
      <c r="A693" s="0" t="s">
        <v>107</v>
      </c>
      <c r="B693" s="0" t="s">
        <v>15</v>
      </c>
      <c r="C693" s="0" t="n">
        <v>10</v>
      </c>
      <c r="D693" s="0" t="n">
        <v>13</v>
      </c>
      <c r="E693" s="0" t="n">
        <v>94</v>
      </c>
      <c r="F693" s="0" t="n">
        <v>270</v>
      </c>
      <c r="G693" s="0" t="n">
        <v>121</v>
      </c>
      <c r="H693" s="0" t="n">
        <v>60</v>
      </c>
      <c r="I693" s="0" t="n">
        <v>1</v>
      </c>
      <c r="J693" s="0" t="n">
        <v>3</v>
      </c>
      <c r="K693" s="0" t="n">
        <v>0</v>
      </c>
      <c r="L693" s="0" t="n">
        <v>1</v>
      </c>
      <c r="M693" s="0" t="n">
        <f aca="false">VLOOKUP(A693,'Team Data'!$A$1:$P$133,2,FALSE())</f>
        <v>5</v>
      </c>
      <c r="N693" s="0" t="n">
        <f aca="false">VLOOKUP(A693,'Team Data'!$A$1:$P$133,3,FALSE())</f>
        <v>7</v>
      </c>
      <c r="O693" s="0" t="n">
        <f aca="false">VLOOKUP(B693,'Team Data'!$A$1:$P$133,2,FALSE())</f>
        <v>5</v>
      </c>
      <c r="P693" s="0" t="n">
        <f aca="false">VLOOKUP(B693,'Team Data'!$A$1:$P$133,3,FALSE())</f>
        <v>7</v>
      </c>
      <c r="Q693" s="0" t="n">
        <f aca="false">VLOOKUP(A693,'Team Data'!$A$1:$P$133,4,FALSE())</f>
        <v>84</v>
      </c>
      <c r="R693" s="0" t="n">
        <f aca="false">VLOOKUP(A693,'Team Data'!$A$1:$P$133,5,FALSE())</f>
        <v>176</v>
      </c>
      <c r="S693" s="0" t="n">
        <f aca="false">VLOOKUP(B693,'Team Data'!$A$1:$P$133,4,FALSE())</f>
        <v>106</v>
      </c>
      <c r="T693" s="0" t="n">
        <f aca="false">VLOOKUP(B693,'Team Data'!$A$1:$P$133,5,FALSE())</f>
        <v>159</v>
      </c>
      <c r="U693" s="0" t="n">
        <f aca="false">IF(K693=1,(MIN(35,(C693-D693)))*(O693/(O693+P693))*(S693/(S693+T693)),(MAX(-35,(C693-D693)))*(IF(P693=0,0.1,(P693/(O693+P693))))*(T693/(S693+T693)))</f>
        <v>-1.05</v>
      </c>
      <c r="V693" s="0" t="n">
        <f aca="false">IF(L693=1,(MIN(35,(D693-C693)))*(M693/(M693+N693))*(Q693/(Q693+R693)),(MAX(-35,(D693-C693)))*(IF(N693=0,0.1,(N693/(M693+N693))))*(R693/(R693+Q693)))</f>
        <v>0.403846153846154</v>
      </c>
    </row>
    <row r="694" customFormat="false" ht="15" hidden="false" customHeight="false" outlineLevel="0" collapsed="false">
      <c r="A694" s="0" t="s">
        <v>99</v>
      </c>
      <c r="B694" s="0" t="s">
        <v>35</v>
      </c>
      <c r="C694" s="0" t="n">
        <v>6</v>
      </c>
      <c r="D694" s="0" t="n">
        <v>38</v>
      </c>
      <c r="E694" s="0" t="n">
        <v>44</v>
      </c>
      <c r="F694" s="0" t="n">
        <v>374</v>
      </c>
      <c r="G694" s="0" t="n">
        <v>193</v>
      </c>
      <c r="H694" s="0" t="n">
        <v>141</v>
      </c>
      <c r="I694" s="0" t="n">
        <v>3</v>
      </c>
      <c r="J694" s="0" t="n">
        <v>1</v>
      </c>
      <c r="K694" s="0" t="n">
        <v>0</v>
      </c>
      <c r="L694" s="0" t="n">
        <v>1</v>
      </c>
      <c r="M694" s="0" t="n">
        <f aca="false">VLOOKUP(A694,'Team Data'!$A$1:$P$133,2,FALSE())</f>
        <v>8</v>
      </c>
      <c r="N694" s="0" t="n">
        <f aca="false">VLOOKUP(A694,'Team Data'!$A$1:$P$133,3,FALSE())</f>
        <v>5</v>
      </c>
      <c r="O694" s="0" t="n">
        <f aca="false">VLOOKUP(B694,'Team Data'!$A$1:$P$133,2,FALSE())</f>
        <v>6</v>
      </c>
      <c r="P694" s="0" t="n">
        <f aca="false">VLOOKUP(B694,'Team Data'!$A$1:$P$133,3,FALSE())</f>
        <v>7</v>
      </c>
      <c r="Q694" s="0" t="n">
        <f aca="false">VLOOKUP(A694,'Team Data'!$A$1:$P$133,4,FALSE())</f>
        <v>97</v>
      </c>
      <c r="R694" s="0" t="n">
        <f aca="false">VLOOKUP(A694,'Team Data'!$A$1:$P$133,5,FALSE())</f>
        <v>178</v>
      </c>
      <c r="S694" s="0" t="n">
        <f aca="false">VLOOKUP(B694,'Team Data'!$A$1:$P$133,4,FALSE())</f>
        <v>106</v>
      </c>
      <c r="T694" s="0" t="n">
        <f aca="false">VLOOKUP(B694,'Team Data'!$A$1:$P$133,5,FALSE())</f>
        <v>171</v>
      </c>
      <c r="U694" s="0" t="n">
        <f aca="false">IF(K694=1,(MIN(35,(C694-D694)))*(O694/(O694+P694))*(S694/(S694+T694)),(MAX(-35,(C694-D694)))*(IF(P694=0,0.1,(P694/(O694+P694))))*(T694/(S694+T694)))</f>
        <v>-10.6370452652041</v>
      </c>
      <c r="V694" s="0" t="n">
        <f aca="false">IF(L694=1,(MIN(35,(D694-C694)))*(M694/(M694+N694))*(Q694/(Q694+R694)),(MAX(-35,(D694-C694)))*(IF(N694=0,0.1,(N694/(M694+N694))))*(R694/(R694+Q694)))</f>
        <v>6.94601398601399</v>
      </c>
    </row>
    <row r="695" customFormat="false" ht="15" hidden="false" customHeight="false" outlineLevel="0" collapsed="false">
      <c r="A695" s="0" t="s">
        <v>126</v>
      </c>
      <c r="B695" s="0" t="s">
        <v>53</v>
      </c>
      <c r="C695" s="0" t="n">
        <v>24</v>
      </c>
      <c r="D695" s="0" t="n">
        <v>21</v>
      </c>
      <c r="E695" s="0" t="n">
        <v>264</v>
      </c>
      <c r="F695" s="0" t="n">
        <v>213</v>
      </c>
      <c r="G695" s="0" t="n">
        <v>184</v>
      </c>
      <c r="H695" s="0" t="n">
        <v>109</v>
      </c>
      <c r="I695" s="0" t="n">
        <v>2</v>
      </c>
      <c r="J695" s="0" t="n">
        <v>1</v>
      </c>
      <c r="K695" s="0" t="n">
        <v>1</v>
      </c>
      <c r="L695" s="0" t="n">
        <v>0</v>
      </c>
      <c r="M695" s="0" t="n">
        <f aca="false">VLOOKUP(A695,'Team Data'!$A$1:$P$133,2,FALSE())</f>
        <v>5</v>
      </c>
      <c r="N695" s="0" t="n">
        <f aca="false">VLOOKUP(A695,'Team Data'!$A$1:$P$133,3,FALSE())</f>
        <v>7</v>
      </c>
      <c r="O695" s="0" t="n">
        <f aca="false">VLOOKUP(B695,'Team Data'!$A$1:$P$133,2,FALSE())</f>
        <v>7</v>
      </c>
      <c r="P695" s="0" t="n">
        <f aca="false">VLOOKUP(B695,'Team Data'!$A$1:$P$133,3,FALSE())</f>
        <v>6</v>
      </c>
      <c r="Q695" s="0" t="n">
        <f aca="false">VLOOKUP(A695,'Team Data'!$A$1:$P$133,4,FALSE())</f>
        <v>94</v>
      </c>
      <c r="R695" s="0" t="n">
        <f aca="false">VLOOKUP(A695,'Team Data'!$A$1:$P$133,5,FALSE())</f>
        <v>170</v>
      </c>
      <c r="S695" s="0" t="n">
        <f aca="false">VLOOKUP(B695,'Team Data'!$A$1:$P$133,4,FALSE())</f>
        <v>101</v>
      </c>
      <c r="T695" s="0" t="n">
        <f aca="false">VLOOKUP(B695,'Team Data'!$A$1:$P$133,5,FALSE())</f>
        <v>175</v>
      </c>
      <c r="U695" s="0" t="n">
        <f aca="false">IF(K695=1,(MIN(35,(C695-D695)))*(O695/(O695+P695))*(S695/(S695+T695)),(MAX(-35,(C695-D695)))*(IF(P695=0,0.1,(P695/(O695+P695))))*(T695/(S695+T695)))</f>
        <v>0.591137123745819</v>
      </c>
      <c r="V695" s="0" t="n">
        <f aca="false">IF(L695=1,(MIN(35,(D695-C695)))*(M695/(M695+N695))*(Q695/(Q695+R695)),(MAX(-35,(D695-C695)))*(IF(N695=0,0.1,(N695/(M695+N695))))*(R695/(R695+Q695)))</f>
        <v>-1.12689393939394</v>
      </c>
    </row>
    <row r="696" customFormat="false" ht="15" hidden="false" customHeight="false" outlineLevel="0" collapsed="false">
      <c r="A696" s="0" t="s">
        <v>8</v>
      </c>
      <c r="B696" s="0" t="s">
        <v>87</v>
      </c>
      <c r="C696" s="0" t="n">
        <v>30</v>
      </c>
      <c r="D696" s="0" t="n">
        <v>24</v>
      </c>
      <c r="E696" s="0" t="n">
        <v>108</v>
      </c>
      <c r="F696" s="0" t="n">
        <v>191</v>
      </c>
      <c r="G696" s="0" t="n">
        <v>209</v>
      </c>
      <c r="H696" s="0" t="n">
        <v>212</v>
      </c>
      <c r="I696" s="0" t="n">
        <v>1</v>
      </c>
      <c r="J696" s="0" t="n">
        <v>1</v>
      </c>
      <c r="K696" s="0" t="n">
        <v>1</v>
      </c>
      <c r="L696" s="0" t="n">
        <v>0</v>
      </c>
      <c r="M696" s="0" t="n">
        <f aca="false">VLOOKUP(A696,'Team Data'!$A$1:$P$133,2,FALSE())</f>
        <v>11</v>
      </c>
      <c r="N696" s="0" t="n">
        <f aca="false">VLOOKUP(A696,'Team Data'!$A$1:$P$133,3,FALSE())</f>
        <v>2</v>
      </c>
      <c r="O696" s="0" t="n">
        <f aca="false">VLOOKUP(B696,'Team Data'!$A$1:$P$133,2,FALSE())</f>
        <v>8</v>
      </c>
      <c r="P696" s="0" t="n">
        <f aca="false">VLOOKUP(B696,'Team Data'!$A$1:$P$133,3,FALSE())</f>
        <v>5</v>
      </c>
      <c r="Q696" s="0" t="n">
        <f aca="false">VLOOKUP(A696,'Team Data'!$A$1:$P$133,4,FALSE())</f>
        <v>96</v>
      </c>
      <c r="R696" s="0" t="n">
        <f aca="false">VLOOKUP(A696,'Team Data'!$A$1:$P$133,5,FALSE())</f>
        <v>178</v>
      </c>
      <c r="S696" s="0" t="n">
        <f aca="false">VLOOKUP(B696,'Team Data'!$A$1:$P$133,4,FALSE())</f>
        <v>97</v>
      </c>
      <c r="T696" s="0" t="n">
        <f aca="false">VLOOKUP(B696,'Team Data'!$A$1:$P$133,5,FALSE())</f>
        <v>176</v>
      </c>
      <c r="U696" s="0" t="n">
        <f aca="false">IF(K696=1,(MIN(35,(C696-D696)))*(O696/(O696+P696))*(S696/(S696+T696)),(MAX(-35,(C696-D696)))*(IF(P696=0,0.1,(P696/(O696+P696))))*(T696/(S696+T696)))</f>
        <v>1.31191885038039</v>
      </c>
      <c r="V696" s="0" t="n">
        <f aca="false">IF(L696=1,(MIN(35,(D696-C696)))*(M696/(M696+N696))*(Q696/(Q696+R696)),(MAX(-35,(D696-C696)))*(IF(N696=0,0.1,(N696/(M696+N696))))*(R696/(R696+Q696)))</f>
        <v>-0.599663110612016</v>
      </c>
    </row>
    <row r="697" customFormat="false" ht="15" hidden="false" customHeight="false" outlineLevel="0" collapsed="false">
      <c r="A697" s="0" t="s">
        <v>39</v>
      </c>
      <c r="B697" s="0" t="s">
        <v>69</v>
      </c>
      <c r="C697" s="0" t="n">
        <v>45</v>
      </c>
      <c r="D697" s="0" t="n">
        <v>19</v>
      </c>
      <c r="E697" s="0" t="n">
        <v>179</v>
      </c>
      <c r="F697" s="0" t="n">
        <v>47</v>
      </c>
      <c r="G697" s="0" t="n">
        <v>289</v>
      </c>
      <c r="H697" s="0" t="n">
        <v>261</v>
      </c>
      <c r="I697" s="0" t="n">
        <v>2</v>
      </c>
      <c r="J697" s="0" t="n">
        <v>0</v>
      </c>
      <c r="K697" s="0" t="n">
        <v>1</v>
      </c>
      <c r="L697" s="0" t="n">
        <v>0</v>
      </c>
      <c r="M697" s="0" t="n">
        <f aca="false">VLOOKUP(A697,'Team Data'!$A$1:$P$133,2,FALSE())</f>
        <v>15</v>
      </c>
      <c r="N697" s="0" t="n">
        <f aca="false">VLOOKUP(A697,'Team Data'!$A$1:$P$133,3,FALSE())</f>
        <v>0</v>
      </c>
      <c r="O697" s="0" t="n">
        <f aca="false">VLOOKUP(B697,'Team Data'!$A$1:$P$133,2,FALSE())</f>
        <v>9</v>
      </c>
      <c r="P697" s="0" t="n">
        <f aca="false">VLOOKUP(B697,'Team Data'!$A$1:$P$133,3,FALSE())</f>
        <v>4</v>
      </c>
      <c r="Q697" s="0" t="n">
        <f aca="false">VLOOKUP(A697,'Team Data'!$A$1:$P$133,4,FALSE())</f>
        <v>119</v>
      </c>
      <c r="R697" s="0" t="n">
        <f aca="false">VLOOKUP(A697,'Team Data'!$A$1:$P$133,5,FALSE())</f>
        <v>182</v>
      </c>
      <c r="S697" s="0" t="n">
        <f aca="false">VLOOKUP(B697,'Team Data'!$A$1:$P$133,4,FALSE())</f>
        <v>102</v>
      </c>
      <c r="T697" s="0" t="n">
        <f aca="false">VLOOKUP(B697,'Team Data'!$A$1:$P$133,5,FALSE())</f>
        <v>174</v>
      </c>
      <c r="U697" s="0" t="n">
        <f aca="false">IF(K697=1,(MIN(35,(C697-D697)))*(O697/(O697+P697))*(S697/(S697+T697)),(MAX(-35,(C697-D697)))*(IF(P697=0,0.1,(P697/(O697+P697))))*(T697/(S697+T697)))</f>
        <v>6.65217391304348</v>
      </c>
      <c r="V697" s="0" t="n">
        <f aca="false">IF(L697=1,(MIN(35,(D697-C697)))*(M697/(M697+N697))*(Q697/(Q697+R697)),(MAX(-35,(D697-C697)))*(IF(N697=0,0.1,(N697/(M697+N697))))*(R697/(R697+Q697)))</f>
        <v>-1.57209302325581</v>
      </c>
    </row>
    <row r="698" customFormat="false" ht="15" hidden="false" customHeight="false" outlineLevel="0" collapsed="false">
      <c r="A698" s="0" t="s">
        <v>70</v>
      </c>
      <c r="B698" s="0" t="s">
        <v>105</v>
      </c>
      <c r="C698" s="0" t="n">
        <v>24</v>
      </c>
      <c r="D698" s="0" t="n">
        <v>66</v>
      </c>
      <c r="E698" s="0" t="n">
        <v>172</v>
      </c>
      <c r="F698" s="0" t="n">
        <v>264</v>
      </c>
      <c r="G698" s="0" t="n">
        <v>217</v>
      </c>
      <c r="H698" s="0" t="n">
        <v>460</v>
      </c>
      <c r="I698" s="0" t="n">
        <v>1</v>
      </c>
      <c r="J698" s="0" t="n">
        <v>0</v>
      </c>
      <c r="K698" s="0" t="n">
        <v>0</v>
      </c>
      <c r="L698" s="0" t="n">
        <v>1</v>
      </c>
      <c r="M698" s="0" t="n">
        <f aca="false">VLOOKUP(A698,'Team Data'!$A$1:$P$133,2,FALSE())</f>
        <v>6</v>
      </c>
      <c r="N698" s="0" t="n">
        <f aca="false">VLOOKUP(A698,'Team Data'!$A$1:$P$133,3,FALSE())</f>
        <v>7</v>
      </c>
      <c r="O698" s="0" t="n">
        <f aca="false">VLOOKUP(B698,'Team Data'!$A$1:$P$133,2,FALSE())</f>
        <v>11</v>
      </c>
      <c r="P698" s="0" t="n">
        <f aca="false">VLOOKUP(B698,'Team Data'!$A$1:$P$133,3,FALSE())</f>
        <v>2</v>
      </c>
      <c r="Q698" s="0" t="n">
        <f aca="false">VLOOKUP(A698,'Team Data'!$A$1:$P$133,4,FALSE())</f>
        <v>100</v>
      </c>
      <c r="R698" s="0" t="n">
        <f aca="false">VLOOKUP(A698,'Team Data'!$A$1:$P$133,5,FALSE())</f>
        <v>176</v>
      </c>
      <c r="S698" s="0" t="n">
        <f aca="false">VLOOKUP(B698,'Team Data'!$A$1:$P$133,4,FALSE())</f>
        <v>103</v>
      </c>
      <c r="T698" s="0" t="n">
        <f aca="false">VLOOKUP(B698,'Team Data'!$A$1:$P$133,5,FALSE())</f>
        <v>174</v>
      </c>
      <c r="U698" s="0" t="n">
        <f aca="false">IF(K698=1,(MIN(35,(C698-D698)))*(O698/(O698+P698))*(S698/(S698+T698)),(MAX(-35,(C698-D698)))*(IF(P698=0,0.1,(P698/(O698+P698))))*(T698/(S698+T698)))</f>
        <v>-3.38239377950569</v>
      </c>
      <c r="V698" s="0" t="n">
        <f aca="false">IF(L698=1,(MIN(35,(D698-C698)))*(M698/(M698+N698))*(Q698/(Q698+R698)),(MAX(-35,(D698-C698)))*(IF(N698=0,0.1,(N698/(M698+N698))))*(R698/(R698+Q698)))</f>
        <v>5.85284280936455</v>
      </c>
    </row>
    <row r="699" customFormat="false" ht="15" hidden="false" customHeight="false" outlineLevel="0" collapsed="false">
      <c r="A699" s="0" t="s">
        <v>29</v>
      </c>
      <c r="B699" s="0" t="s">
        <v>120</v>
      </c>
      <c r="C699" s="0" t="n">
        <v>17</v>
      </c>
      <c r="D699" s="0" t="n">
        <v>55</v>
      </c>
      <c r="E699" s="0" t="n">
        <v>135</v>
      </c>
      <c r="F699" s="0" t="n">
        <v>185</v>
      </c>
      <c r="G699" s="0" t="n">
        <v>124</v>
      </c>
      <c r="H699" s="0" t="n">
        <v>346</v>
      </c>
      <c r="I699" s="0" t="n">
        <v>2</v>
      </c>
      <c r="J699" s="0" t="n">
        <v>1</v>
      </c>
      <c r="K699" s="0" t="n">
        <v>0</v>
      </c>
      <c r="L699" s="0" t="n">
        <v>1</v>
      </c>
      <c r="M699" s="0" t="n">
        <f aca="false">VLOOKUP(A699,'Team Data'!$A$1:$P$133,2,FALSE())</f>
        <v>1</v>
      </c>
      <c r="N699" s="0" t="n">
        <f aca="false">VLOOKUP(A699,'Team Data'!$A$1:$P$133,3,FALSE())</f>
        <v>11</v>
      </c>
      <c r="O699" s="0" t="n">
        <f aca="false">VLOOKUP(B699,'Team Data'!$A$1:$P$133,2,FALSE())</f>
        <v>11</v>
      </c>
      <c r="P699" s="0" t="n">
        <f aca="false">VLOOKUP(B699,'Team Data'!$A$1:$P$133,3,FALSE())</f>
        <v>3</v>
      </c>
      <c r="Q699" s="0" t="n">
        <f aca="false">VLOOKUP(A699,'Team Data'!$A$1:$P$133,4,FALSE())</f>
        <v>105</v>
      </c>
      <c r="R699" s="0" t="n">
        <f aca="false">VLOOKUP(A699,'Team Data'!$A$1:$P$133,5,FALSE())</f>
        <v>52</v>
      </c>
      <c r="S699" s="0" t="n">
        <f aca="false">VLOOKUP(B699,'Team Data'!$A$1:$P$133,4,FALSE())</f>
        <v>98</v>
      </c>
      <c r="T699" s="0" t="n">
        <f aca="false">VLOOKUP(B699,'Team Data'!$A$1:$P$133,5,FALSE())</f>
        <v>83</v>
      </c>
      <c r="U699" s="0" t="n">
        <f aca="false">IF(K699=1,(MIN(35,(C699-D699)))*(O699/(O699+P699))*(S699/(S699+T699)),(MAX(-35,(C699-D699)))*(IF(P699=0,0.1,(P699/(O699+P699))))*(T699/(S699+T699)))</f>
        <v>-3.43922651933702</v>
      </c>
      <c r="V699" s="0" t="n">
        <f aca="false">IF(L699=1,(MIN(35,(D699-C699)))*(M699/(M699+N699))*(Q699/(Q699+R699)),(MAX(-35,(D699-C699)))*(IF(N699=0,0.1,(N699/(M699+N699))))*(R699/(R699+Q699)))</f>
        <v>1.95063694267516</v>
      </c>
    </row>
    <row r="700" customFormat="false" ht="15" hidden="false" customHeight="false" outlineLevel="0" collapsed="false">
      <c r="A700" s="0" t="s">
        <v>10</v>
      </c>
      <c r="B700" s="0" t="s">
        <v>116</v>
      </c>
      <c r="C700" s="0" t="n">
        <v>34</v>
      </c>
      <c r="D700" s="0" t="n">
        <v>28</v>
      </c>
      <c r="E700" s="0" t="n">
        <v>124</v>
      </c>
      <c r="F700" s="0" t="n">
        <v>220</v>
      </c>
      <c r="G700" s="0" t="n">
        <v>312</v>
      </c>
      <c r="H700" s="0" t="n">
        <v>245</v>
      </c>
      <c r="I700" s="0" t="n">
        <v>0</v>
      </c>
      <c r="J700" s="0" t="n">
        <v>1</v>
      </c>
      <c r="K700" s="0" t="n">
        <v>1</v>
      </c>
      <c r="L700" s="0" t="n">
        <v>0</v>
      </c>
      <c r="M700" s="0" t="n">
        <f aca="false">VLOOKUP(A700,'Team Data'!$A$1:$P$133,2,FALSE())</f>
        <v>5</v>
      </c>
      <c r="N700" s="0" t="n">
        <f aca="false">VLOOKUP(A700,'Team Data'!$A$1:$P$133,3,FALSE())</f>
        <v>7</v>
      </c>
      <c r="O700" s="0" t="n">
        <f aca="false">VLOOKUP(B700,'Team Data'!$A$1:$P$133,2,FALSE())</f>
        <v>9</v>
      </c>
      <c r="P700" s="0" t="n">
        <f aca="false">VLOOKUP(B700,'Team Data'!$A$1:$P$133,3,FALSE())</f>
        <v>4</v>
      </c>
      <c r="Q700" s="0" t="n">
        <f aca="false">VLOOKUP(A700,'Team Data'!$A$1:$P$133,4,FALSE())</f>
        <v>90</v>
      </c>
      <c r="R700" s="0" t="n">
        <f aca="false">VLOOKUP(A700,'Team Data'!$A$1:$P$133,5,FALSE())</f>
        <v>172</v>
      </c>
      <c r="S700" s="0" t="n">
        <f aca="false">VLOOKUP(B700,'Team Data'!$A$1:$P$133,4,FALSE())</f>
        <v>91</v>
      </c>
      <c r="T700" s="0" t="n">
        <f aca="false">VLOOKUP(B700,'Team Data'!$A$1:$P$133,5,FALSE())</f>
        <v>182</v>
      </c>
      <c r="U700" s="0" t="n">
        <f aca="false">IF(K700=1,(MIN(35,(C700-D700)))*(O700/(O700+P700))*(S700/(S700+T700)),(MAX(-35,(C700-D700)))*(IF(P700=0,0.1,(P700/(O700+P700))))*(T700/(S700+T700)))</f>
        <v>1.38461538461538</v>
      </c>
      <c r="V700" s="0" t="n">
        <f aca="false">IF(L700=1,(MIN(35,(D700-C700)))*(M700/(M700+N700))*(Q700/(Q700+R700)),(MAX(-35,(D700-C700)))*(IF(N700=0,0.1,(N700/(M700+N700))))*(R700/(R700+Q700)))</f>
        <v>-2.29770992366412</v>
      </c>
    </row>
    <row r="701" customFormat="false" ht="15" hidden="false" customHeight="false" outlineLevel="0" collapsed="false">
      <c r="A701" s="0" t="s">
        <v>11</v>
      </c>
      <c r="B701" s="0" t="s">
        <v>131</v>
      </c>
      <c r="C701" s="0" t="n">
        <v>18</v>
      </c>
      <c r="D701" s="0" t="n">
        <v>28</v>
      </c>
      <c r="E701" s="0" t="n">
        <v>121</v>
      </c>
      <c r="F701" s="0" t="n">
        <v>137</v>
      </c>
      <c r="G701" s="0" t="n">
        <v>212</v>
      </c>
      <c r="H701" s="0" t="n">
        <v>219</v>
      </c>
      <c r="I701" s="0" t="n">
        <v>1</v>
      </c>
      <c r="J701" s="0" t="n">
        <v>0</v>
      </c>
      <c r="K701" s="0" t="n">
        <v>0</v>
      </c>
      <c r="L701" s="0" t="n">
        <v>1</v>
      </c>
      <c r="M701" s="0" t="n">
        <f aca="false">VLOOKUP(A701,'Team Data'!$A$1:$P$133,2,FALSE())</f>
        <v>3</v>
      </c>
      <c r="N701" s="0" t="n">
        <f aca="false">VLOOKUP(A701,'Team Data'!$A$1:$P$133,3,FALSE())</f>
        <v>9</v>
      </c>
      <c r="O701" s="0" t="n">
        <f aca="false">VLOOKUP(B701,'Team Data'!$A$1:$P$133,2,FALSE())</f>
        <v>7</v>
      </c>
      <c r="P701" s="0" t="n">
        <f aca="false">VLOOKUP(B701,'Team Data'!$A$1:$P$133,3,FALSE())</f>
        <v>6</v>
      </c>
      <c r="Q701" s="0" t="n">
        <f aca="false">VLOOKUP(A701,'Team Data'!$A$1:$P$133,4,FALSE())</f>
        <v>91</v>
      </c>
      <c r="R701" s="0" t="n">
        <f aca="false">VLOOKUP(A701,'Team Data'!$A$1:$P$133,5,FALSE())</f>
        <v>171</v>
      </c>
      <c r="S701" s="0" t="n">
        <f aca="false">VLOOKUP(B701,'Team Data'!$A$1:$P$133,4,FALSE())</f>
        <v>95</v>
      </c>
      <c r="T701" s="0" t="n">
        <f aca="false">VLOOKUP(B701,'Team Data'!$A$1:$P$133,5,FALSE())</f>
        <v>179</v>
      </c>
      <c r="U701" s="0" t="n">
        <f aca="false">IF(K701=1,(MIN(35,(C701-D701)))*(O701/(O701+P701))*(S701/(S701+T701)),(MAX(-35,(C701-D701)))*(IF(P701=0,0.1,(P701/(O701+P701))))*(T701/(S701+T701)))</f>
        <v>-3.01516002245929</v>
      </c>
      <c r="V701" s="0" t="n">
        <f aca="false">IF(L701=1,(MIN(35,(D701-C701)))*(M701/(M701+N701))*(Q701/(Q701+R701)),(MAX(-35,(D701-C701)))*(IF(N701=0,0.1,(N701/(M701+N701))))*(R701/(R701+Q701)))</f>
        <v>0.868320610687023</v>
      </c>
    </row>
    <row r="702" customFormat="false" ht="15" hidden="false" customHeight="false" outlineLevel="0" collapsed="false">
      <c r="A702" s="0" t="s">
        <v>23</v>
      </c>
      <c r="B702" s="0" t="s">
        <v>89</v>
      </c>
      <c r="C702" s="0" t="n">
        <v>10</v>
      </c>
      <c r="D702" s="0" t="n">
        <v>38</v>
      </c>
      <c r="E702" s="0" t="n">
        <v>9</v>
      </c>
      <c r="F702" s="0" t="n">
        <v>166</v>
      </c>
      <c r="G702" s="0" t="n">
        <v>147</v>
      </c>
      <c r="H702" s="0" t="n">
        <v>196</v>
      </c>
      <c r="I702" s="0" t="n">
        <v>1</v>
      </c>
      <c r="J702" s="0" t="n">
        <v>1</v>
      </c>
      <c r="K702" s="0" t="n">
        <v>0</v>
      </c>
      <c r="L702" s="0" t="n">
        <v>1</v>
      </c>
      <c r="M702" s="0" t="n">
        <f aca="false">VLOOKUP(A702,'Team Data'!$A$1:$P$133,2,FALSE())</f>
        <v>4</v>
      </c>
      <c r="N702" s="0" t="n">
        <f aca="false">VLOOKUP(A702,'Team Data'!$A$1:$P$133,3,FALSE())</f>
        <v>8</v>
      </c>
      <c r="O702" s="0" t="n">
        <f aca="false">VLOOKUP(B702,'Team Data'!$A$1:$P$133,2,FALSE())</f>
        <v>10</v>
      </c>
      <c r="P702" s="0" t="n">
        <f aca="false">VLOOKUP(B702,'Team Data'!$A$1:$P$133,3,FALSE())</f>
        <v>3</v>
      </c>
      <c r="Q702" s="0" t="n">
        <f aca="false">VLOOKUP(A702,'Team Data'!$A$1:$P$133,4,FALSE())</f>
        <v>89</v>
      </c>
      <c r="R702" s="0" t="n">
        <f aca="false">VLOOKUP(A702,'Team Data'!$A$1:$P$133,5,FALSE())</f>
        <v>171</v>
      </c>
      <c r="S702" s="0" t="n">
        <f aca="false">VLOOKUP(B702,'Team Data'!$A$1:$P$133,4,FALSE())</f>
        <v>94</v>
      </c>
      <c r="T702" s="0" t="n">
        <f aca="false">VLOOKUP(B702,'Team Data'!$A$1:$P$133,5,FALSE())</f>
        <v>182</v>
      </c>
      <c r="U702" s="0" t="n">
        <f aca="false">IF(K702=1,(MIN(35,(C702-D702)))*(O702/(O702+P702))*(S702/(S702+T702)),(MAX(-35,(C702-D702)))*(IF(P702=0,0.1,(P702/(O702+P702))))*(T702/(S702+T702)))</f>
        <v>-4.26086956521739</v>
      </c>
      <c r="V702" s="0" t="n">
        <f aca="false">IF(L702=1,(MIN(35,(D702-C702)))*(M702/(M702+N702))*(Q702/(Q702+R702)),(MAX(-35,(D702-C702)))*(IF(N702=0,0.1,(N702/(M702+N702))))*(R702/(R702+Q702)))</f>
        <v>3.19487179487179</v>
      </c>
    </row>
    <row r="703" customFormat="false" ht="15" hidden="false" customHeight="false" outlineLevel="0" collapsed="false">
      <c r="A703" s="0" t="s">
        <v>130</v>
      </c>
      <c r="B703" s="0" t="s">
        <v>88</v>
      </c>
      <c r="C703" s="0" t="n">
        <v>37</v>
      </c>
      <c r="D703" s="0" t="n">
        <v>34</v>
      </c>
      <c r="E703" s="0" t="n">
        <v>114</v>
      </c>
      <c r="F703" s="0" t="n">
        <v>312</v>
      </c>
      <c r="G703" s="0" t="n">
        <v>408</v>
      </c>
      <c r="H703" s="0" t="n">
        <v>280</v>
      </c>
      <c r="I703" s="0" t="n">
        <v>1</v>
      </c>
      <c r="J703" s="0" t="n">
        <v>1</v>
      </c>
      <c r="K703" s="0" t="n">
        <v>1</v>
      </c>
      <c r="L703" s="0" t="n">
        <v>0</v>
      </c>
      <c r="M703" s="0" t="n">
        <f aca="false">VLOOKUP(A703,'Team Data'!$A$1:$P$133,2,FALSE())</f>
        <v>11</v>
      </c>
      <c r="N703" s="0" t="n">
        <f aca="false">VLOOKUP(A703,'Team Data'!$A$1:$P$133,3,FALSE())</f>
        <v>2</v>
      </c>
      <c r="O703" s="0" t="n">
        <f aca="false">VLOOKUP(B703,'Team Data'!$A$1:$P$133,2,FALSE())</f>
        <v>10</v>
      </c>
      <c r="P703" s="0" t="n">
        <f aca="false">VLOOKUP(B703,'Team Data'!$A$1:$P$133,3,FALSE())</f>
        <v>3</v>
      </c>
      <c r="Q703" s="0" t="n">
        <f aca="false">VLOOKUP(A703,'Team Data'!$A$1:$P$133,4,FALSE())</f>
        <v>78</v>
      </c>
      <c r="R703" s="0" t="n">
        <f aca="false">VLOOKUP(A703,'Team Data'!$A$1:$P$133,5,FALSE())</f>
        <v>191</v>
      </c>
      <c r="S703" s="0" t="n">
        <f aca="false">VLOOKUP(B703,'Team Data'!$A$1:$P$133,4,FALSE())</f>
        <v>100</v>
      </c>
      <c r="T703" s="0" t="n">
        <f aca="false">VLOOKUP(B703,'Team Data'!$A$1:$P$133,5,FALSE())</f>
        <v>176</v>
      </c>
      <c r="U703" s="0" t="n">
        <f aca="false">IF(K703=1,(MIN(35,(C703-D703)))*(O703/(O703+P703))*(S703/(S703+T703)),(MAX(-35,(C703-D703)))*(IF(P703=0,0.1,(P703/(O703+P703))))*(T703/(S703+T703)))</f>
        <v>0.836120401337793</v>
      </c>
      <c r="V703" s="0" t="n">
        <f aca="false">IF(L703=1,(MIN(35,(D703-C703)))*(M703/(M703+N703))*(Q703/(Q703+R703)),(MAX(-35,(D703-C703)))*(IF(N703=0,0.1,(N703/(M703+N703))))*(R703/(R703+Q703)))</f>
        <v>-0.327709465255934</v>
      </c>
    </row>
    <row r="704" customFormat="false" ht="15" hidden="false" customHeight="false" outlineLevel="0" collapsed="false">
      <c r="A704" s="0" t="s">
        <v>101</v>
      </c>
      <c r="B704" s="0" t="s">
        <v>124</v>
      </c>
      <c r="C704" s="0" t="n">
        <v>7</v>
      </c>
      <c r="D704" s="0" t="n">
        <v>42</v>
      </c>
      <c r="E704" s="0" t="n">
        <v>22</v>
      </c>
      <c r="F704" s="0" t="n">
        <v>279</v>
      </c>
      <c r="G704" s="0" t="n">
        <v>155</v>
      </c>
      <c r="H704" s="0" t="n">
        <v>235</v>
      </c>
      <c r="I704" s="0" t="n">
        <v>0</v>
      </c>
      <c r="J704" s="0" t="n">
        <v>1</v>
      </c>
      <c r="K704" s="0" t="n">
        <v>0</v>
      </c>
      <c r="L704" s="0" t="n">
        <v>1</v>
      </c>
      <c r="M704" s="0" t="n">
        <f aca="false">VLOOKUP(A704,'Team Data'!$A$1:$P$133,2,FALSE())</f>
        <v>3</v>
      </c>
      <c r="N704" s="0" t="n">
        <f aca="false">VLOOKUP(A704,'Team Data'!$A$1:$P$133,3,FALSE())</f>
        <v>9</v>
      </c>
      <c r="O704" s="0" t="n">
        <f aca="false">VLOOKUP(B704,'Team Data'!$A$1:$P$133,2,FALSE())</f>
        <v>10</v>
      </c>
      <c r="P704" s="0" t="n">
        <f aca="false">VLOOKUP(B704,'Team Data'!$A$1:$P$133,3,FALSE())</f>
        <v>4</v>
      </c>
      <c r="Q704" s="0" t="n">
        <f aca="false">VLOOKUP(A704,'Team Data'!$A$1:$P$133,4,FALSE())</f>
        <v>100</v>
      </c>
      <c r="R704" s="0" t="n">
        <f aca="false">VLOOKUP(A704,'Team Data'!$A$1:$P$133,5,FALSE())</f>
        <v>163</v>
      </c>
      <c r="S704" s="0" t="n">
        <f aca="false">VLOOKUP(B704,'Team Data'!$A$1:$P$133,4,FALSE())</f>
        <v>102</v>
      </c>
      <c r="T704" s="0" t="n">
        <f aca="false">VLOOKUP(B704,'Team Data'!$A$1:$P$133,5,FALSE())</f>
        <v>185</v>
      </c>
      <c r="U704" s="0" t="n">
        <f aca="false">IF(K704=1,(MIN(35,(C704-D704)))*(O704/(O704+P704))*(S704/(S704+T704)),(MAX(-35,(C704-D704)))*(IF(P704=0,0.1,(P704/(O704+P704))))*(T704/(S704+T704)))</f>
        <v>-6.44599303135889</v>
      </c>
      <c r="V704" s="0" t="n">
        <f aca="false">IF(L704=1,(MIN(35,(D704-C704)))*(M704/(M704+N704))*(Q704/(Q704+R704)),(MAX(-35,(D704-C704)))*(IF(N704=0,0.1,(N704/(M704+N704))))*(R704/(R704+Q704)))</f>
        <v>3.32699619771863</v>
      </c>
    </row>
    <row r="705" customFormat="false" ht="15" hidden="false" customHeight="false" outlineLevel="0" collapsed="false">
      <c r="A705" s="0" t="s">
        <v>51</v>
      </c>
      <c r="B705" s="0" t="s">
        <v>18</v>
      </c>
      <c r="C705" s="0" t="n">
        <v>31</v>
      </c>
      <c r="D705" s="0" t="n">
        <v>3</v>
      </c>
      <c r="E705" s="0" t="n">
        <v>184</v>
      </c>
      <c r="F705" s="0" t="n">
        <v>103</v>
      </c>
      <c r="G705" s="0" t="n">
        <v>221</v>
      </c>
      <c r="H705" s="0" t="n">
        <v>203</v>
      </c>
      <c r="I705" s="0" t="n">
        <v>0</v>
      </c>
      <c r="J705" s="0" t="n">
        <v>2</v>
      </c>
      <c r="K705" s="0" t="n">
        <v>1</v>
      </c>
      <c r="L705" s="0" t="n">
        <v>0</v>
      </c>
      <c r="M705" s="0" t="n">
        <f aca="false">VLOOKUP(A705,'Team Data'!$A$1:$P$133,2,FALSE())</f>
        <v>10</v>
      </c>
      <c r="N705" s="0" t="n">
        <f aca="false">VLOOKUP(A705,'Team Data'!$A$1:$P$133,3,FALSE())</f>
        <v>4</v>
      </c>
      <c r="O705" s="0" t="n">
        <f aca="false">VLOOKUP(B705,'Team Data'!$A$1:$P$133,2,FALSE())</f>
        <v>6</v>
      </c>
      <c r="P705" s="0" t="n">
        <f aca="false">VLOOKUP(B705,'Team Data'!$A$1:$P$133,3,FALSE())</f>
        <v>7</v>
      </c>
      <c r="Q705" s="0" t="n">
        <f aca="false">VLOOKUP(A705,'Team Data'!$A$1:$P$133,4,FALSE())</f>
        <v>113</v>
      </c>
      <c r="R705" s="0" t="n">
        <f aca="false">VLOOKUP(A705,'Team Data'!$A$1:$P$133,5,FALSE())</f>
        <v>179</v>
      </c>
      <c r="S705" s="0" t="n">
        <f aca="false">VLOOKUP(B705,'Team Data'!$A$1:$P$133,4,FALSE())</f>
        <v>97</v>
      </c>
      <c r="T705" s="0" t="n">
        <f aca="false">VLOOKUP(B705,'Team Data'!$A$1:$P$133,5,FALSE())</f>
        <v>179</v>
      </c>
      <c r="U705" s="0" t="n">
        <f aca="false">IF(K705=1,(MIN(35,(C705-D705)))*(O705/(O705+P705))*(S705/(S705+T705)),(MAX(-35,(C705-D705)))*(IF(P705=0,0.1,(P705/(O705+P705))))*(T705/(S705+T705)))</f>
        <v>4.54180602006689</v>
      </c>
      <c r="V705" s="0" t="n">
        <f aca="false">IF(L705=1,(MIN(35,(D705-C705)))*(M705/(M705+N705))*(Q705/(Q705+R705)),(MAX(-35,(D705-C705)))*(IF(N705=0,0.1,(N705/(M705+N705))))*(R705/(R705+Q705)))</f>
        <v>-4.9041095890411</v>
      </c>
    </row>
    <row r="706" customFormat="false" ht="15" hidden="false" customHeight="false" outlineLevel="0" collapsed="false">
      <c r="A706" s="0" t="s">
        <v>48</v>
      </c>
      <c r="B706" s="0" t="s">
        <v>85</v>
      </c>
      <c r="C706" s="0" t="n">
        <v>14</v>
      </c>
      <c r="D706" s="0" t="n">
        <v>20</v>
      </c>
      <c r="E706" s="0" t="n">
        <v>59</v>
      </c>
      <c r="F706" s="0" t="n">
        <v>57</v>
      </c>
      <c r="G706" s="0" t="n">
        <v>274</v>
      </c>
      <c r="H706" s="0" t="n">
        <v>187</v>
      </c>
      <c r="I706" s="0" t="n">
        <v>5</v>
      </c>
      <c r="J706" s="0" t="n">
        <v>2</v>
      </c>
      <c r="K706" s="0" t="n">
        <v>0</v>
      </c>
      <c r="L706" s="0" t="n">
        <v>1</v>
      </c>
      <c r="M706" s="0" t="n">
        <f aca="false">VLOOKUP(A706,'Team Data'!$A$1:$P$133,2,FALSE())</f>
        <v>4</v>
      </c>
      <c r="N706" s="0" t="n">
        <f aca="false">VLOOKUP(A706,'Team Data'!$A$1:$P$133,3,FALSE())</f>
        <v>8</v>
      </c>
      <c r="O706" s="0" t="n">
        <f aca="false">VLOOKUP(B706,'Team Data'!$A$1:$P$133,2,FALSE())</f>
        <v>7</v>
      </c>
      <c r="P706" s="0" t="n">
        <f aca="false">VLOOKUP(B706,'Team Data'!$A$1:$P$133,3,FALSE())</f>
        <v>6</v>
      </c>
      <c r="Q706" s="0" t="n">
        <f aca="false">VLOOKUP(A706,'Team Data'!$A$1:$P$133,4,FALSE())</f>
        <v>95</v>
      </c>
      <c r="R706" s="0" t="n">
        <f aca="false">VLOOKUP(A706,'Team Data'!$A$1:$P$133,5,FALSE())</f>
        <v>171</v>
      </c>
      <c r="S706" s="0" t="n">
        <f aca="false">VLOOKUP(B706,'Team Data'!$A$1:$P$133,4,FALSE())</f>
        <v>88</v>
      </c>
      <c r="T706" s="0" t="n">
        <f aca="false">VLOOKUP(B706,'Team Data'!$A$1:$P$133,5,FALSE())</f>
        <v>187</v>
      </c>
      <c r="U706" s="0" t="n">
        <f aca="false">IF(K706=1,(MIN(35,(C706-D706)))*(O706/(O706+P706))*(S706/(S706+T706)),(MAX(-35,(C706-D706)))*(IF(P706=0,0.1,(P706/(O706+P706))))*(T706/(S706+T706)))</f>
        <v>-1.88307692307692</v>
      </c>
      <c r="V706" s="0" t="n">
        <f aca="false">IF(L706=1,(MIN(35,(D706-C706)))*(M706/(M706+N706))*(Q706/(Q706+R706)),(MAX(-35,(D706-C706)))*(IF(N706=0,0.1,(N706/(M706+N706))))*(R706/(R706+Q706)))</f>
        <v>0.714285714285714</v>
      </c>
    </row>
    <row r="707" customFormat="false" ht="15" hidden="false" customHeight="false" outlineLevel="0" collapsed="false">
      <c r="A707" s="0" t="s">
        <v>50</v>
      </c>
      <c r="B707" s="0" t="s">
        <v>109</v>
      </c>
      <c r="C707" s="0" t="n">
        <v>28</v>
      </c>
      <c r="D707" s="0" t="n">
        <v>43</v>
      </c>
      <c r="E707" s="0" t="n">
        <v>242</v>
      </c>
      <c r="F707" s="0" t="n">
        <v>264</v>
      </c>
      <c r="G707" s="0" t="n">
        <v>283</v>
      </c>
      <c r="H707" s="0" t="n">
        <v>246</v>
      </c>
      <c r="I707" s="0" t="n">
        <v>2</v>
      </c>
      <c r="J707" s="0" t="n">
        <v>0</v>
      </c>
      <c r="K707" s="0" t="n">
        <v>0</v>
      </c>
      <c r="L707" s="0" t="n">
        <v>1</v>
      </c>
      <c r="M707" s="0" t="n">
        <f aca="false">VLOOKUP(A707,'Team Data'!$A$1:$P$133,2,FALSE())</f>
        <v>6</v>
      </c>
      <c r="N707" s="0" t="n">
        <f aca="false">VLOOKUP(A707,'Team Data'!$A$1:$P$133,3,FALSE())</f>
        <v>7</v>
      </c>
      <c r="O707" s="0" t="n">
        <f aca="false">VLOOKUP(B707,'Team Data'!$A$1:$P$133,2,FALSE())</f>
        <v>8</v>
      </c>
      <c r="P707" s="0" t="n">
        <f aca="false">VLOOKUP(B707,'Team Data'!$A$1:$P$133,3,FALSE())</f>
        <v>5</v>
      </c>
      <c r="Q707" s="0" t="n">
        <f aca="false">VLOOKUP(A707,'Team Data'!$A$1:$P$133,4,FALSE())</f>
        <v>99</v>
      </c>
      <c r="R707" s="0" t="n">
        <f aca="false">VLOOKUP(A707,'Team Data'!$A$1:$P$133,5,FALSE())</f>
        <v>178</v>
      </c>
      <c r="S707" s="0" t="n">
        <f aca="false">VLOOKUP(B707,'Team Data'!$A$1:$P$133,4,FALSE())</f>
        <v>97</v>
      </c>
      <c r="T707" s="0" t="n">
        <f aca="false">VLOOKUP(B707,'Team Data'!$A$1:$P$133,5,FALSE())</f>
        <v>180</v>
      </c>
      <c r="U707" s="0" t="n">
        <f aca="false">IF(K707=1,(MIN(35,(C707-D707)))*(O707/(O707+P707))*(S707/(S707+T707)),(MAX(-35,(C707-D707)))*(IF(P707=0,0.1,(P707/(O707+P707))))*(T707/(S707+T707)))</f>
        <v>-3.74895862260483</v>
      </c>
      <c r="V707" s="0" t="n">
        <f aca="false">IF(L707=1,(MIN(35,(D707-C707)))*(M707/(M707+N707))*(Q707/(Q707+R707)),(MAX(-35,(D707-C707)))*(IF(N707=0,0.1,(N707/(M707+N707))))*(R707/(R707+Q707)))</f>
        <v>2.47431269091919</v>
      </c>
    </row>
    <row r="708" customFormat="false" ht="15" hidden="false" customHeight="false" outlineLevel="0" collapsed="false">
      <c r="A708" s="0" t="s">
        <v>84</v>
      </c>
      <c r="B708" s="0" t="s">
        <v>132</v>
      </c>
      <c r="C708" s="0" t="n">
        <v>20</v>
      </c>
      <c r="D708" s="0" t="n">
        <v>23</v>
      </c>
      <c r="E708" s="0" t="n">
        <v>236</v>
      </c>
      <c r="F708" s="0" t="n">
        <v>203</v>
      </c>
      <c r="G708" s="0" t="n">
        <v>190</v>
      </c>
      <c r="H708" s="0" t="n">
        <v>203</v>
      </c>
      <c r="I708" s="0" t="n">
        <v>0</v>
      </c>
      <c r="J708" s="0" t="n">
        <v>2</v>
      </c>
      <c r="K708" s="0" t="n">
        <v>0</v>
      </c>
      <c r="L708" s="0" t="n">
        <v>1</v>
      </c>
      <c r="M708" s="0" t="n">
        <f aca="false">VLOOKUP(A708,'Team Data'!$A$1:$P$133,2,FALSE())</f>
        <v>6</v>
      </c>
      <c r="N708" s="0" t="n">
        <f aca="false">VLOOKUP(A708,'Team Data'!$A$1:$P$133,3,FALSE())</f>
        <v>7</v>
      </c>
      <c r="O708" s="0" t="n">
        <f aca="false">VLOOKUP(B708,'Team Data'!$A$1:$P$133,2,FALSE())</f>
        <v>5</v>
      </c>
      <c r="P708" s="0" t="n">
        <f aca="false">VLOOKUP(B708,'Team Data'!$A$1:$P$133,3,FALSE())</f>
        <v>7</v>
      </c>
      <c r="Q708" s="0" t="n">
        <f aca="false">VLOOKUP(A708,'Team Data'!$A$1:$P$133,4,FALSE())</f>
        <v>91</v>
      </c>
      <c r="R708" s="0" t="n">
        <f aca="false">VLOOKUP(A708,'Team Data'!$A$1:$P$133,5,FALSE())</f>
        <v>76</v>
      </c>
      <c r="S708" s="0" t="n">
        <f aca="false">VLOOKUP(B708,'Team Data'!$A$1:$P$133,4,FALSE())</f>
        <v>88</v>
      </c>
      <c r="T708" s="0" t="n">
        <f aca="false">VLOOKUP(B708,'Team Data'!$A$1:$P$133,5,FALSE())</f>
        <v>175</v>
      </c>
      <c r="U708" s="0" t="n">
        <f aca="false">IF(K708=1,(MIN(35,(C708-D708)))*(O708/(O708+P708))*(S708/(S708+T708)),(MAX(-35,(C708-D708)))*(IF(P708=0,0.1,(P708/(O708+P708))))*(T708/(S708+T708)))</f>
        <v>-1.16444866920152</v>
      </c>
      <c r="V708" s="0" t="n">
        <f aca="false">IF(L708=1,(MIN(35,(D708-C708)))*(M708/(M708+N708))*(Q708/(Q708+R708)),(MAX(-35,(D708-C708)))*(IF(N708=0,0.1,(N708/(M708+N708))))*(R708/(R708+Q708)))</f>
        <v>0.754491017964072</v>
      </c>
    </row>
    <row r="709" customFormat="false" ht="15" hidden="false" customHeight="false" outlineLevel="0" collapsed="false">
      <c r="A709" s="0" t="s">
        <v>103</v>
      </c>
      <c r="B709" s="0" t="s">
        <v>106</v>
      </c>
      <c r="C709" s="0" t="n">
        <v>17</v>
      </c>
      <c r="D709" s="0" t="n">
        <v>10</v>
      </c>
      <c r="E709" s="0" t="n">
        <v>159</v>
      </c>
      <c r="F709" s="0" t="n">
        <v>28</v>
      </c>
      <c r="G709" s="0" t="n">
        <v>124</v>
      </c>
      <c r="H709" s="0" t="n">
        <v>171</v>
      </c>
      <c r="I709" s="0" t="n">
        <v>1</v>
      </c>
      <c r="J709" s="0" t="n">
        <v>1</v>
      </c>
      <c r="K709" s="0" t="n">
        <v>1</v>
      </c>
      <c r="L709" s="0" t="n">
        <v>0</v>
      </c>
      <c r="M709" s="0" t="n">
        <f aca="false">VLOOKUP(A709,'Team Data'!$A$1:$P$133,2,FALSE())</f>
        <v>13</v>
      </c>
      <c r="N709" s="0" t="n">
        <f aca="false">VLOOKUP(A709,'Team Data'!$A$1:$P$133,3,FALSE())</f>
        <v>2</v>
      </c>
      <c r="O709" s="0" t="n">
        <f aca="false">VLOOKUP(B709,'Team Data'!$A$1:$P$133,2,FALSE())</f>
        <v>8</v>
      </c>
      <c r="P709" s="0" t="n">
        <f aca="false">VLOOKUP(B709,'Team Data'!$A$1:$P$133,3,FALSE())</f>
        <v>5</v>
      </c>
      <c r="Q709" s="0" t="n">
        <f aca="false">VLOOKUP(A709,'Team Data'!$A$1:$P$133,4,FALSE())</f>
        <v>114</v>
      </c>
      <c r="R709" s="0" t="n">
        <f aca="false">VLOOKUP(A709,'Team Data'!$A$1:$P$133,5,FALSE())</f>
        <v>190</v>
      </c>
      <c r="S709" s="0" t="n">
        <f aca="false">VLOOKUP(B709,'Team Data'!$A$1:$P$133,4,FALSE())</f>
        <v>102</v>
      </c>
      <c r="T709" s="0" t="n">
        <f aca="false">VLOOKUP(B709,'Team Data'!$A$1:$P$133,5,FALSE())</f>
        <v>68</v>
      </c>
      <c r="U709" s="0" t="n">
        <f aca="false">IF(K709=1,(MIN(35,(C709-D709)))*(O709/(O709+P709))*(S709/(S709+T709)),(MAX(-35,(C709-D709)))*(IF(P709=0,0.1,(P709/(O709+P709))))*(T709/(S709+T709)))</f>
        <v>2.58461538461538</v>
      </c>
      <c r="V709" s="0" t="n">
        <f aca="false">IF(L709=1,(MIN(35,(D709-C709)))*(M709/(M709+N709))*(Q709/(Q709+R709)),(MAX(-35,(D709-C709)))*(IF(N709=0,0.1,(N709/(M709+N709))))*(R709/(R709+Q709)))</f>
        <v>-0.583333333333333</v>
      </c>
    </row>
    <row r="710" customFormat="false" ht="15" hidden="false" customHeight="false" outlineLevel="0" collapsed="false">
      <c r="A710" s="0" t="s">
        <v>81</v>
      </c>
      <c r="B710" s="0" t="s">
        <v>72</v>
      </c>
      <c r="C710" s="0" t="n">
        <v>35</v>
      </c>
      <c r="D710" s="0" t="n">
        <v>32</v>
      </c>
      <c r="E710" s="0" t="n">
        <v>66</v>
      </c>
      <c r="F710" s="0" t="n">
        <v>255</v>
      </c>
      <c r="G710" s="0" t="n">
        <v>269</v>
      </c>
      <c r="H710" s="0" t="n">
        <v>108</v>
      </c>
      <c r="I710" s="0" t="n">
        <v>1</v>
      </c>
      <c r="J710" s="0" t="n">
        <v>1</v>
      </c>
      <c r="K710" s="0" t="n">
        <v>1</v>
      </c>
      <c r="L710" s="0" t="n">
        <v>0</v>
      </c>
      <c r="M710" s="0" t="n">
        <f aca="false">VLOOKUP(A710,'Team Data'!$A$1:$P$133,2,FALSE())</f>
        <v>9</v>
      </c>
      <c r="N710" s="0" t="n">
        <f aca="false">VLOOKUP(A710,'Team Data'!$A$1:$P$133,3,FALSE())</f>
        <v>4</v>
      </c>
      <c r="O710" s="0" t="n">
        <f aca="false">VLOOKUP(B710,'Team Data'!$A$1:$P$133,2,FALSE())</f>
        <v>4</v>
      </c>
      <c r="P710" s="0" t="n">
        <f aca="false">VLOOKUP(B710,'Team Data'!$A$1:$P$133,3,FALSE())</f>
        <v>8</v>
      </c>
      <c r="Q710" s="0" t="n">
        <f aca="false">VLOOKUP(A710,'Team Data'!$A$1:$P$133,4,FALSE())</f>
        <v>93</v>
      </c>
      <c r="R710" s="0" t="n">
        <f aca="false">VLOOKUP(A710,'Team Data'!$A$1:$P$133,5,FALSE())</f>
        <v>74</v>
      </c>
      <c r="S710" s="0" t="n">
        <f aca="false">VLOOKUP(B710,'Team Data'!$A$1:$P$133,4,FALSE())</f>
        <v>89</v>
      </c>
      <c r="T710" s="0" t="n">
        <f aca="false">VLOOKUP(B710,'Team Data'!$A$1:$P$133,5,FALSE())</f>
        <v>172</v>
      </c>
      <c r="U710" s="0" t="n">
        <f aca="false">IF(K710=1,(MIN(35,(C710-D710)))*(O710/(O710+P710))*(S710/(S710+T710)),(MAX(-35,(C710-D710)))*(IF(P710=0,0.1,(P710/(O710+P710))))*(T710/(S710+T710)))</f>
        <v>0.340996168582375</v>
      </c>
      <c r="V710" s="0" t="n">
        <f aca="false">IF(L710=1,(MIN(35,(D710-C710)))*(M710/(M710+N710))*(Q710/(Q710+R710)),(MAX(-35,(D710-C710)))*(IF(N710=0,0.1,(N710/(M710+N710))))*(R710/(R710+Q710)))</f>
        <v>-0.409028097650852</v>
      </c>
    </row>
    <row r="711" customFormat="false" ht="15" hidden="false" customHeight="false" outlineLevel="0" collapsed="false">
      <c r="A711" s="0" t="s">
        <v>14</v>
      </c>
      <c r="B711" s="0" t="s">
        <v>111</v>
      </c>
      <c r="C711" s="0" t="n">
        <v>9</v>
      </c>
      <c r="D711" s="0" t="n">
        <v>10</v>
      </c>
      <c r="E711" s="0" t="n">
        <v>275</v>
      </c>
      <c r="F711" s="0" t="n">
        <v>72</v>
      </c>
      <c r="G711" s="0" t="n">
        <v>82</v>
      </c>
      <c r="H711" s="0" t="n">
        <v>192</v>
      </c>
      <c r="I711" s="0" t="n">
        <v>2</v>
      </c>
      <c r="J711" s="0" t="n">
        <v>2</v>
      </c>
      <c r="K711" s="0" t="n">
        <v>0</v>
      </c>
      <c r="L711" s="0" t="n">
        <v>1</v>
      </c>
      <c r="M711" s="0" t="n">
        <f aca="false">VLOOKUP(A711,'Team Data'!$A$1:$P$133,2,FALSE())</f>
        <v>6</v>
      </c>
      <c r="N711" s="0" t="n">
        <f aca="false">VLOOKUP(A711,'Team Data'!$A$1:$P$133,3,FALSE())</f>
        <v>6</v>
      </c>
      <c r="O711" s="0" t="n">
        <f aca="false">VLOOKUP(B711,'Team Data'!$A$1:$P$133,2,FALSE())</f>
        <v>12</v>
      </c>
      <c r="P711" s="0" t="n">
        <f aca="false">VLOOKUP(B711,'Team Data'!$A$1:$P$133,3,FALSE())</f>
        <v>2</v>
      </c>
      <c r="Q711" s="0" t="n">
        <f aca="false">VLOOKUP(A711,'Team Data'!$A$1:$P$133,4,FALSE())</f>
        <v>85</v>
      </c>
      <c r="R711" s="0" t="n">
        <f aca="false">VLOOKUP(A711,'Team Data'!$A$1:$P$133,5,FALSE())</f>
        <v>283</v>
      </c>
      <c r="S711" s="0" t="n">
        <f aca="false">VLOOKUP(B711,'Team Data'!$A$1:$P$133,4,FALSE())</f>
        <v>100</v>
      </c>
      <c r="T711" s="0" t="n">
        <f aca="false">VLOOKUP(B711,'Team Data'!$A$1:$P$133,5,FALSE())</f>
        <v>186</v>
      </c>
      <c r="U711" s="0" t="n">
        <f aca="false">IF(K711=1,(MIN(35,(C711-D711)))*(O711/(O711+P711))*(S711/(S711+T711)),(MAX(-35,(C711-D711)))*(IF(P711=0,0.1,(P711/(O711+P711))))*(T711/(S711+T711)))</f>
        <v>-0.0929070929070929</v>
      </c>
      <c r="V711" s="0" t="n">
        <f aca="false">IF(L711=1,(MIN(35,(D711-C711)))*(M711/(M711+N711))*(Q711/(Q711+R711)),(MAX(-35,(D711-C711)))*(IF(N711=0,0.1,(N711/(M711+N711))))*(R711/(R711+Q711)))</f>
        <v>0.115489130434783</v>
      </c>
    </row>
    <row r="712" customFormat="false" ht="15" hidden="false" customHeight="false" outlineLevel="0" collapsed="false">
      <c r="A712" s="0" t="s">
        <v>55</v>
      </c>
      <c r="B712" s="0" t="s">
        <v>117</v>
      </c>
      <c r="C712" s="0" t="n">
        <v>33</v>
      </c>
      <c r="D712" s="0" t="n">
        <v>36</v>
      </c>
      <c r="E712" s="0" t="n">
        <v>267</v>
      </c>
      <c r="F712" s="0" t="n">
        <v>208</v>
      </c>
      <c r="G712" s="0" t="n">
        <v>207</v>
      </c>
      <c r="H712" s="0" t="n">
        <v>110</v>
      </c>
      <c r="I712" s="0" t="n">
        <v>2</v>
      </c>
      <c r="J712" s="0" t="n">
        <v>2</v>
      </c>
      <c r="K712" s="0" t="n">
        <v>0</v>
      </c>
      <c r="L712" s="0" t="n">
        <v>1</v>
      </c>
      <c r="M712" s="0" t="n">
        <f aca="false">VLOOKUP(A712,'Team Data'!$A$1:$P$133,2,FALSE())</f>
        <v>8</v>
      </c>
      <c r="N712" s="0" t="n">
        <f aca="false">VLOOKUP(A712,'Team Data'!$A$1:$P$133,3,FALSE())</f>
        <v>5</v>
      </c>
      <c r="O712" s="0" t="n">
        <f aca="false">VLOOKUP(B712,'Team Data'!$A$1:$P$133,2,FALSE())</f>
        <v>6</v>
      </c>
      <c r="P712" s="0" t="n">
        <f aca="false">VLOOKUP(B712,'Team Data'!$A$1:$P$133,3,FALSE())</f>
        <v>7</v>
      </c>
      <c r="Q712" s="0" t="n">
        <f aca="false">VLOOKUP(A712,'Team Data'!$A$1:$P$133,4,FALSE())</f>
        <v>76</v>
      </c>
      <c r="R712" s="0" t="n">
        <f aca="false">VLOOKUP(A712,'Team Data'!$A$1:$P$133,5,FALSE())</f>
        <v>196</v>
      </c>
      <c r="S712" s="0" t="n">
        <f aca="false">VLOOKUP(B712,'Team Data'!$A$1:$P$133,4,FALSE())</f>
        <v>88</v>
      </c>
      <c r="T712" s="0" t="n">
        <f aca="false">VLOOKUP(B712,'Team Data'!$A$1:$P$133,5,FALSE())</f>
        <v>185</v>
      </c>
      <c r="U712" s="0" t="n">
        <f aca="false">IF(K712=1,(MIN(35,(C712-D712)))*(O712/(O712+P712))*(S712/(S712+T712)),(MAX(-35,(C712-D712)))*(IF(P712=0,0.1,(P712/(O712+P712))))*(T712/(S712+T712)))</f>
        <v>-1.09467455621302</v>
      </c>
      <c r="V712" s="0" t="n">
        <f aca="false">IF(L712=1,(MIN(35,(D712-C712)))*(M712/(M712+N712))*(Q712/(Q712+R712)),(MAX(-35,(D712-C712)))*(IF(N712=0,0.1,(N712/(M712+N712))))*(R712/(R712+Q712)))</f>
        <v>0.515837104072398</v>
      </c>
    </row>
    <row r="713" customFormat="false" ht="15" hidden="false" customHeight="false" outlineLevel="0" collapsed="false">
      <c r="A713" s="0" t="s">
        <v>92</v>
      </c>
      <c r="B713" s="0" t="s">
        <v>45</v>
      </c>
      <c r="C713" s="0" t="n">
        <v>31</v>
      </c>
      <c r="D713" s="0" t="n">
        <v>24</v>
      </c>
      <c r="E713" s="0" t="n">
        <v>142</v>
      </c>
      <c r="F713" s="0" t="n">
        <v>102</v>
      </c>
      <c r="G713" s="0" t="n">
        <v>237</v>
      </c>
      <c r="H713" s="0" t="n">
        <v>201</v>
      </c>
      <c r="I713" s="0" t="n">
        <v>1</v>
      </c>
      <c r="J713" s="0" t="n">
        <v>1</v>
      </c>
      <c r="K713" s="0" t="n">
        <v>1</v>
      </c>
      <c r="L713" s="0" t="n">
        <v>0</v>
      </c>
      <c r="M713" s="0" t="n">
        <f aca="false">VLOOKUP(A713,'Team Data'!$A$1:$P$133,2,FALSE())</f>
        <v>8</v>
      </c>
      <c r="N713" s="0" t="n">
        <f aca="false">VLOOKUP(A713,'Team Data'!$A$1:$P$133,3,FALSE())</f>
        <v>6</v>
      </c>
      <c r="O713" s="0" t="n">
        <f aca="false">VLOOKUP(B713,'Team Data'!$A$1:$P$133,2,FALSE())</f>
        <v>8</v>
      </c>
      <c r="P713" s="0" t="n">
        <f aca="false">VLOOKUP(B713,'Team Data'!$A$1:$P$133,3,FALSE())</f>
        <v>5</v>
      </c>
      <c r="Q713" s="0" t="n">
        <f aca="false">VLOOKUP(A713,'Team Data'!$A$1:$P$133,4,FALSE())</f>
        <v>103</v>
      </c>
      <c r="R713" s="0" t="n">
        <f aca="false">VLOOKUP(A713,'Team Data'!$A$1:$P$133,5,FALSE())</f>
        <v>184</v>
      </c>
      <c r="S713" s="0" t="n">
        <f aca="false">VLOOKUP(B713,'Team Data'!$A$1:$P$133,4,FALSE())</f>
        <v>86</v>
      </c>
      <c r="T713" s="0" t="n">
        <f aca="false">VLOOKUP(B713,'Team Data'!$A$1:$P$133,5,FALSE())</f>
        <v>185</v>
      </c>
      <c r="U713" s="0" t="n">
        <f aca="false">IF(K713=1,(MIN(35,(C713-D713)))*(O713/(O713+P713))*(S713/(S713+T713)),(MAX(-35,(C713-D713)))*(IF(P713=0,0.1,(P713/(O713+P713))))*(T713/(S713+T713)))</f>
        <v>1.36701674709055</v>
      </c>
      <c r="V713" s="0" t="n">
        <f aca="false">IF(L713=1,(MIN(35,(D713-C713)))*(M713/(M713+N713))*(Q713/(Q713+R713)),(MAX(-35,(D713-C713)))*(IF(N713=0,0.1,(N713/(M713+N713))))*(R713/(R713+Q713)))</f>
        <v>-1.92334494773519</v>
      </c>
    </row>
    <row r="714" customFormat="false" ht="15" hidden="false" customHeight="false" outlineLevel="0" collapsed="false">
      <c r="A714" s="0" t="s">
        <v>135</v>
      </c>
      <c r="B714" s="0" t="s">
        <v>47</v>
      </c>
      <c r="C714" s="0" t="n">
        <v>10</v>
      </c>
      <c r="D714" s="0" t="n">
        <v>24</v>
      </c>
      <c r="E714" s="0" t="n">
        <v>51</v>
      </c>
      <c r="F714" s="0" t="n">
        <v>52</v>
      </c>
      <c r="G714" s="0" t="n">
        <v>176</v>
      </c>
      <c r="H714" s="0" t="n">
        <v>94</v>
      </c>
      <c r="I714" s="0" t="n">
        <v>3</v>
      </c>
      <c r="J714" s="0" t="n">
        <v>1</v>
      </c>
      <c r="K714" s="0" t="n">
        <v>0</v>
      </c>
      <c r="L714" s="0" t="n">
        <v>1</v>
      </c>
      <c r="M714" s="0" t="n">
        <f aca="false">VLOOKUP(A714,'Team Data'!$A$1:$P$133,2,FALSE())</f>
        <v>7</v>
      </c>
      <c r="N714" s="0" t="n">
        <f aca="false">VLOOKUP(A714,'Team Data'!$A$1:$P$133,3,FALSE())</f>
        <v>6</v>
      </c>
      <c r="O714" s="0" t="n">
        <f aca="false">VLOOKUP(B714,'Team Data'!$A$1:$P$133,2,FALSE())</f>
        <v>8</v>
      </c>
      <c r="P714" s="0" t="n">
        <f aca="false">VLOOKUP(B714,'Team Data'!$A$1:$P$133,3,FALSE())</f>
        <v>5</v>
      </c>
      <c r="Q714" s="0" t="n">
        <f aca="false">VLOOKUP(A714,'Team Data'!$A$1:$P$133,4,FALSE())</f>
        <v>91</v>
      </c>
      <c r="R714" s="0" t="n">
        <f aca="false">VLOOKUP(A714,'Team Data'!$A$1:$P$133,5,FALSE())</f>
        <v>183</v>
      </c>
      <c r="S714" s="0" t="n">
        <f aca="false">VLOOKUP(B714,'Team Data'!$A$1:$P$133,4,FALSE())</f>
        <v>86</v>
      </c>
      <c r="T714" s="0" t="n">
        <f aca="false">VLOOKUP(B714,'Team Data'!$A$1:$P$133,5,FALSE())</f>
        <v>187</v>
      </c>
      <c r="U714" s="0" t="n">
        <f aca="false">IF(K714=1,(MIN(35,(C714-D714)))*(O714/(O714+P714))*(S714/(S714+T714)),(MAX(-35,(C714-D714)))*(IF(P714=0,0.1,(P714/(O714+P714))))*(T714/(S714+T714)))</f>
        <v>-3.68836291913215</v>
      </c>
      <c r="V714" s="0" t="n">
        <f aca="false">IF(L714=1,(MIN(35,(D714-C714)))*(M714/(M714+N714))*(Q714/(Q714+R714)),(MAX(-35,(D714-C714)))*(IF(N714=0,0.1,(N714/(M714+N714))))*(R714/(R714+Q714)))</f>
        <v>2.5036496350365</v>
      </c>
    </row>
    <row r="715" customFormat="false" ht="15" hidden="false" customHeight="false" outlineLevel="0" collapsed="false">
      <c r="A715" s="0" t="s">
        <v>80</v>
      </c>
      <c r="B715" s="0" t="s">
        <v>68</v>
      </c>
      <c r="C715" s="0" t="n">
        <v>3</v>
      </c>
      <c r="D715" s="0" t="n">
        <v>31</v>
      </c>
      <c r="E715" s="0" t="n">
        <v>72</v>
      </c>
      <c r="F715" s="0" t="n">
        <v>302</v>
      </c>
      <c r="G715" s="0" t="n">
        <v>206</v>
      </c>
      <c r="H715" s="0" t="n">
        <v>64</v>
      </c>
      <c r="I715" s="0" t="n">
        <v>2</v>
      </c>
      <c r="J715" s="0" t="n">
        <v>1</v>
      </c>
      <c r="K715" s="0" t="n">
        <v>0</v>
      </c>
      <c r="L715" s="0" t="n">
        <v>1</v>
      </c>
      <c r="M715" s="0" t="n">
        <f aca="false">VLOOKUP(A715,'Team Data'!$A$1:$P$133,2,FALSE())</f>
        <v>1</v>
      </c>
      <c r="N715" s="0" t="n">
        <f aca="false">VLOOKUP(A715,'Team Data'!$A$1:$P$133,3,FALSE())</f>
        <v>11</v>
      </c>
      <c r="O715" s="0" t="n">
        <f aca="false">VLOOKUP(B715,'Team Data'!$A$1:$P$133,2,FALSE())</f>
        <v>9</v>
      </c>
      <c r="P715" s="0" t="n">
        <f aca="false">VLOOKUP(B715,'Team Data'!$A$1:$P$133,3,FALSE())</f>
        <v>4</v>
      </c>
      <c r="Q715" s="0" t="n">
        <f aca="false">VLOOKUP(A715,'Team Data'!$A$1:$P$133,4,FALSE())</f>
        <v>97</v>
      </c>
      <c r="R715" s="0" t="n">
        <f aca="false">VLOOKUP(A715,'Team Data'!$A$1:$P$133,5,FALSE())</f>
        <v>166</v>
      </c>
      <c r="S715" s="0" t="n">
        <f aca="false">VLOOKUP(B715,'Team Data'!$A$1:$P$133,4,FALSE())</f>
        <v>79</v>
      </c>
      <c r="T715" s="0" t="n">
        <f aca="false">VLOOKUP(B715,'Team Data'!$A$1:$P$133,5,FALSE())</f>
        <v>193</v>
      </c>
      <c r="U715" s="0" t="n">
        <f aca="false">IF(K715=1,(MIN(35,(C715-D715)))*(O715/(O715+P715))*(S715/(S715+T715)),(MAX(-35,(C715-D715)))*(IF(P715=0,0.1,(P715/(O715+P715))))*(T715/(S715+T715)))</f>
        <v>-6.1131221719457</v>
      </c>
      <c r="V715" s="0" t="n">
        <f aca="false">IF(L715=1,(MIN(35,(D715-C715)))*(M715/(M715+N715))*(Q715/(Q715+R715)),(MAX(-35,(D715-C715)))*(IF(N715=0,0.1,(N715/(M715+N715))))*(R715/(R715+Q715)))</f>
        <v>0.860583016476552</v>
      </c>
    </row>
    <row r="716" customFormat="false" ht="15" hidden="false" customHeight="false" outlineLevel="0" collapsed="false">
      <c r="A716" s="0" t="s">
        <v>73</v>
      </c>
      <c r="B716" s="0" t="s">
        <v>65</v>
      </c>
      <c r="C716" s="0" t="n">
        <v>3</v>
      </c>
      <c r="D716" s="0" t="n">
        <v>34</v>
      </c>
      <c r="E716" s="0" t="n">
        <v>75</v>
      </c>
      <c r="F716" s="0" t="n">
        <v>264</v>
      </c>
      <c r="G716" s="0" t="n">
        <v>71</v>
      </c>
      <c r="H716" s="0" t="n">
        <v>148</v>
      </c>
      <c r="I716" s="0" t="n">
        <v>0</v>
      </c>
      <c r="J716" s="0" t="n">
        <v>0</v>
      </c>
      <c r="K716" s="0" t="n">
        <v>0</v>
      </c>
      <c r="L716" s="0" t="n">
        <v>1</v>
      </c>
      <c r="M716" s="0" t="n">
        <f aca="false">VLOOKUP(A716,'Team Data'!$A$1:$P$133,2,FALSE())</f>
        <v>4</v>
      </c>
      <c r="N716" s="0" t="n">
        <f aca="false">VLOOKUP(A716,'Team Data'!$A$1:$P$133,3,FALSE())</f>
        <v>8</v>
      </c>
      <c r="O716" s="0" t="n">
        <f aca="false">VLOOKUP(B716,'Team Data'!$A$1:$P$133,2,FALSE())</f>
        <v>13</v>
      </c>
      <c r="P716" s="0" t="n">
        <f aca="false">VLOOKUP(B716,'Team Data'!$A$1:$P$133,3,FALSE())</f>
        <v>1</v>
      </c>
      <c r="Q716" s="0" t="n">
        <f aca="false">VLOOKUP(A716,'Team Data'!$A$1:$P$133,4,FALSE())</f>
        <v>82</v>
      </c>
      <c r="R716" s="0" t="n">
        <f aca="false">VLOOKUP(A716,'Team Data'!$A$1:$P$133,5,FALSE())</f>
        <v>180</v>
      </c>
      <c r="S716" s="0" t="n">
        <f aca="false">VLOOKUP(B716,'Team Data'!$A$1:$P$133,4,FALSE())</f>
        <v>96</v>
      </c>
      <c r="T716" s="0" t="n">
        <f aca="false">VLOOKUP(B716,'Team Data'!$A$1:$P$133,5,FALSE())</f>
        <v>84</v>
      </c>
      <c r="U716" s="0" t="n">
        <f aca="false">IF(K716=1,(MIN(35,(C716-D716)))*(O716/(O716+P716))*(S716/(S716+T716)),(MAX(-35,(C716-D716)))*(IF(P716=0,0.1,(P716/(O716+P716))))*(T716/(S716+T716)))</f>
        <v>-1.03333333333333</v>
      </c>
      <c r="V716" s="0" t="n">
        <f aca="false">IF(L716=1,(MIN(35,(D716-C716)))*(M716/(M716+N716))*(Q716/(Q716+R716)),(MAX(-35,(D716-C716)))*(IF(N716=0,0.1,(N716/(M716+N716))))*(R716/(R716+Q716)))</f>
        <v>3.23409669211196</v>
      </c>
    </row>
    <row r="717" customFormat="false" ht="15" hidden="false" customHeight="false" outlineLevel="0" collapsed="false">
      <c r="A717" s="0" t="s">
        <v>94</v>
      </c>
      <c r="B717" s="0" t="s">
        <v>66</v>
      </c>
      <c r="C717" s="0" t="n">
        <v>21</v>
      </c>
      <c r="D717" s="0" t="n">
        <v>27</v>
      </c>
      <c r="E717" s="0" t="n">
        <v>224</v>
      </c>
      <c r="F717" s="0" t="n">
        <v>197</v>
      </c>
      <c r="G717" s="0" t="n">
        <v>236</v>
      </c>
      <c r="H717" s="0" t="n">
        <v>256</v>
      </c>
      <c r="I717" s="0" t="n">
        <v>0</v>
      </c>
      <c r="J717" s="0" t="n">
        <v>0</v>
      </c>
      <c r="K717" s="0" t="n">
        <v>0</v>
      </c>
      <c r="L717" s="0" t="n">
        <v>1</v>
      </c>
      <c r="M717" s="0" t="n">
        <f aca="false">VLOOKUP(A717,'Team Data'!$A$1:$P$133,2,FALSE())</f>
        <v>4</v>
      </c>
      <c r="N717" s="0" t="n">
        <f aca="false">VLOOKUP(A717,'Team Data'!$A$1:$P$133,3,FALSE())</f>
        <v>8</v>
      </c>
      <c r="O717" s="0" t="n">
        <f aca="false">VLOOKUP(B717,'Team Data'!$A$1:$P$133,2,FALSE())</f>
        <v>5</v>
      </c>
      <c r="P717" s="0" t="n">
        <f aca="false">VLOOKUP(B717,'Team Data'!$A$1:$P$133,3,FALSE())</f>
        <v>7</v>
      </c>
      <c r="Q717" s="0" t="n">
        <f aca="false">VLOOKUP(A717,'Team Data'!$A$1:$P$133,4,FALSE())</f>
        <v>87</v>
      </c>
      <c r="R717" s="0" t="n">
        <f aca="false">VLOOKUP(A717,'Team Data'!$A$1:$P$133,5,FALSE())</f>
        <v>172</v>
      </c>
      <c r="S717" s="0" t="n">
        <f aca="false">VLOOKUP(B717,'Team Data'!$A$1:$P$133,4,FALSE())</f>
        <v>93</v>
      </c>
      <c r="T717" s="0" t="n">
        <f aca="false">VLOOKUP(B717,'Team Data'!$A$1:$P$133,5,FALSE())</f>
        <v>60</v>
      </c>
      <c r="U717" s="0" t="n">
        <f aca="false">IF(K717=1,(MIN(35,(C717-D717)))*(O717/(O717+P717))*(S717/(S717+T717)),(MAX(-35,(C717-D717)))*(IF(P717=0,0.1,(P717/(O717+P717))))*(T717/(S717+T717)))</f>
        <v>-1.37254901960784</v>
      </c>
      <c r="V717" s="0" t="n">
        <f aca="false">IF(L717=1,(MIN(35,(D717-C717)))*(M717/(M717+N717))*(Q717/(Q717+R717)),(MAX(-35,(D717-C717)))*(IF(N717=0,0.1,(N717/(M717+N717))))*(R717/(R717+Q717)))</f>
        <v>0.671814671814672</v>
      </c>
    </row>
    <row r="718" customFormat="false" ht="15" hidden="false" customHeight="false" outlineLevel="0" collapsed="false">
      <c r="A718" s="0" t="s">
        <v>46</v>
      </c>
      <c r="B718" s="0" t="s">
        <v>83</v>
      </c>
      <c r="C718" s="0" t="n">
        <v>14</v>
      </c>
      <c r="D718" s="0" t="n">
        <v>56</v>
      </c>
      <c r="E718" s="0" t="n">
        <v>150</v>
      </c>
      <c r="F718" s="0" t="n">
        <v>340</v>
      </c>
      <c r="G718" s="0" t="n">
        <v>119</v>
      </c>
      <c r="H718" s="0" t="n">
        <v>322</v>
      </c>
      <c r="I718" s="0" t="n">
        <v>0</v>
      </c>
      <c r="J718" s="0" t="n">
        <v>1</v>
      </c>
      <c r="K718" s="0" t="n">
        <v>0</v>
      </c>
      <c r="L718" s="0" t="n">
        <v>1</v>
      </c>
      <c r="M718" s="0" t="n">
        <f aca="false">VLOOKUP(A718,'Team Data'!$A$1:$P$133,2,FALSE())</f>
        <v>4</v>
      </c>
      <c r="N718" s="0" t="n">
        <f aca="false">VLOOKUP(A718,'Team Data'!$A$1:$P$133,3,FALSE())</f>
        <v>8</v>
      </c>
      <c r="O718" s="0" t="n">
        <f aca="false">VLOOKUP(B718,'Team Data'!$A$1:$P$133,2,FALSE())</f>
        <v>11</v>
      </c>
      <c r="P718" s="0" t="n">
        <f aca="false">VLOOKUP(B718,'Team Data'!$A$1:$P$133,3,FALSE())</f>
        <v>2</v>
      </c>
      <c r="Q718" s="0" t="n">
        <f aca="false">VLOOKUP(A718,'Team Data'!$A$1:$P$133,4,FALSE())</f>
        <v>98</v>
      </c>
      <c r="R718" s="0" t="n">
        <f aca="false">VLOOKUP(A718,'Team Data'!$A$1:$P$133,5,FALSE())</f>
        <v>165</v>
      </c>
      <c r="S718" s="0" t="n">
        <f aca="false">VLOOKUP(B718,'Team Data'!$A$1:$P$133,4,FALSE())</f>
        <v>97</v>
      </c>
      <c r="T718" s="0" t="n">
        <f aca="false">VLOOKUP(B718,'Team Data'!$A$1:$P$133,5,FALSE())</f>
        <v>71</v>
      </c>
      <c r="U718" s="0" t="n">
        <f aca="false">IF(K718=1,(MIN(35,(C718-D718)))*(O718/(O718+P718))*(S718/(S718+T718)),(MAX(-35,(C718-D718)))*(IF(P718=0,0.1,(P718/(O718+P718))))*(T718/(S718+T718)))</f>
        <v>-2.27564102564103</v>
      </c>
      <c r="V718" s="0" t="n">
        <f aca="false">IF(L718=1,(MIN(35,(D718-C718)))*(M718/(M718+N718))*(Q718/(Q718+R718)),(MAX(-35,(D718-C718)))*(IF(N718=0,0.1,(N718/(M718+N718))))*(R718/(R718+Q718)))</f>
        <v>4.34727503168568</v>
      </c>
    </row>
    <row r="719" customFormat="false" ht="15" hidden="false" customHeight="false" outlineLevel="0" collapsed="false">
      <c r="A719" s="0" t="s">
        <v>61</v>
      </c>
      <c r="B719" s="0" t="s">
        <v>90</v>
      </c>
      <c r="C719" s="0" t="n">
        <v>0</v>
      </c>
      <c r="D719" s="0" t="n">
        <v>30</v>
      </c>
      <c r="E719" s="0" t="n">
        <v>60</v>
      </c>
      <c r="F719" s="0" t="n">
        <v>249</v>
      </c>
      <c r="G719" s="0" t="n">
        <v>74</v>
      </c>
      <c r="H719" s="0" t="n">
        <v>164</v>
      </c>
      <c r="I719" s="0" t="n">
        <v>1</v>
      </c>
      <c r="J719" s="0" t="n">
        <v>1</v>
      </c>
      <c r="K719" s="0" t="n">
        <v>0</v>
      </c>
      <c r="L719" s="0" t="n">
        <v>1</v>
      </c>
      <c r="M719" s="0" t="n">
        <f aca="false">VLOOKUP(A719,'Team Data'!$A$1:$P$133,2,FALSE())</f>
        <v>8</v>
      </c>
      <c r="N719" s="0" t="n">
        <f aca="false">VLOOKUP(A719,'Team Data'!$A$1:$P$133,3,FALSE())</f>
        <v>5</v>
      </c>
      <c r="O719" s="0" t="n">
        <f aca="false">VLOOKUP(B719,'Team Data'!$A$1:$P$133,2,FALSE())</f>
        <v>11</v>
      </c>
      <c r="P719" s="0" t="n">
        <f aca="false">VLOOKUP(B719,'Team Data'!$A$1:$P$133,3,FALSE())</f>
        <v>2</v>
      </c>
      <c r="Q719" s="0" t="n">
        <f aca="false">VLOOKUP(A719,'Team Data'!$A$1:$P$133,4,FALSE())</f>
        <v>89</v>
      </c>
      <c r="R719" s="0" t="n">
        <f aca="false">VLOOKUP(A719,'Team Data'!$A$1:$P$133,5,FALSE())</f>
        <v>77</v>
      </c>
      <c r="S719" s="0" t="n">
        <f aca="false">VLOOKUP(B719,'Team Data'!$A$1:$P$133,4,FALSE())</f>
        <v>92</v>
      </c>
      <c r="T719" s="0" t="n">
        <f aca="false">VLOOKUP(B719,'Team Data'!$A$1:$P$133,5,FALSE())</f>
        <v>75</v>
      </c>
      <c r="U719" s="0" t="n">
        <f aca="false">IF(K719=1,(MIN(35,(C719-D719)))*(O719/(O719+P719))*(S719/(S719+T719)),(MAX(-35,(C719-D719)))*(IF(P719=0,0.1,(P719/(O719+P719))))*(T719/(S719+T719)))</f>
        <v>-2.07277752187932</v>
      </c>
      <c r="V719" s="0" t="n">
        <f aca="false">IF(L719=1,(MIN(35,(D719-C719)))*(M719/(M719+N719))*(Q719/(Q719+R719)),(MAX(-35,(D719-C719)))*(IF(N719=0,0.1,(N719/(M719+N719))))*(R719/(R719+Q719)))</f>
        <v>9.89805375347544</v>
      </c>
    </row>
    <row r="720" customFormat="false" ht="15" hidden="false" customHeight="false" outlineLevel="0" collapsed="false">
      <c r="A720" s="0" t="s">
        <v>198</v>
      </c>
      <c r="B720" s="0" t="s">
        <v>76</v>
      </c>
      <c r="C720" s="0" t="n">
        <v>14</v>
      </c>
      <c r="D720" s="0" t="n">
        <v>51</v>
      </c>
      <c r="E720" s="0" t="n">
        <v>125</v>
      </c>
      <c r="F720" s="0" t="n">
        <v>187</v>
      </c>
      <c r="G720" s="0" t="n">
        <v>122</v>
      </c>
      <c r="H720" s="0" t="n">
        <v>246</v>
      </c>
      <c r="I720" s="0" t="n">
        <v>3</v>
      </c>
      <c r="J720" s="0" t="n">
        <v>0</v>
      </c>
      <c r="K720" s="0" t="n">
        <v>0</v>
      </c>
      <c r="L720" s="0" t="n">
        <v>1</v>
      </c>
      <c r="M720" s="0" t="n">
        <f aca="false">VLOOKUP(A720,'Team Data'!$A$1:$P$133,2,FALSE())</f>
        <v>8</v>
      </c>
      <c r="N720" s="0" t="n">
        <f aca="false">VLOOKUP(A720,'Team Data'!$A$1:$P$133,3,FALSE())</f>
        <v>112</v>
      </c>
      <c r="O720" s="0" t="n">
        <f aca="false">VLOOKUP(B720,'Team Data'!$A$1:$P$133,2,FALSE())</f>
        <v>7</v>
      </c>
      <c r="P720" s="0" t="n">
        <f aca="false">VLOOKUP(B720,'Team Data'!$A$1:$P$133,3,FALSE())</f>
        <v>6</v>
      </c>
      <c r="Q720" s="0" t="n">
        <f aca="false">VLOOKUP(A720,'Team Data'!$A$1:$P$133,4,FALSE())</f>
        <v>805</v>
      </c>
      <c r="R720" s="0" t="n">
        <f aca="false">VLOOKUP(A720,'Team Data'!$A$1:$P$133,5,FALSE())</f>
        <v>725</v>
      </c>
      <c r="S720" s="0" t="n">
        <f aca="false">VLOOKUP(B720,'Team Data'!$A$1:$P$133,4,FALSE())</f>
        <v>69</v>
      </c>
      <c r="T720" s="0" t="n">
        <f aca="false">VLOOKUP(B720,'Team Data'!$A$1:$P$133,5,FALSE())</f>
        <v>309</v>
      </c>
      <c r="U720" s="0" t="n">
        <f aca="false">IF(K720=1,(MIN(35,(C720-D720)))*(O720/(O720+P720))*(S720/(S720+T720)),(MAX(-35,(C720-D720)))*(IF(P720=0,0.1,(P720/(O720+P720))))*(T720/(S720+T720)))</f>
        <v>-13.2051282051282</v>
      </c>
      <c r="V720" s="0" t="n">
        <f aca="false">IF(L720=1,(MIN(35,(D720-C720)))*(M720/(M720+N720))*(Q720/(Q720+R720)),(MAX(-35,(D720-C720)))*(IF(N720=0,0.1,(N720/(M720+N720))))*(R720/(R720+Q720)))</f>
        <v>1.2276688453159</v>
      </c>
    </row>
    <row r="721" customFormat="false" ht="15" hidden="false" customHeight="false" outlineLevel="0" collapsed="false">
      <c r="A721" s="0" t="s">
        <v>59</v>
      </c>
      <c r="B721" s="0" t="s">
        <v>27</v>
      </c>
      <c r="C721" s="0" t="n">
        <v>16</v>
      </c>
      <c r="D721" s="0" t="n">
        <v>31</v>
      </c>
      <c r="E721" s="0" t="n">
        <v>150</v>
      </c>
      <c r="F721" s="0" t="n">
        <v>248</v>
      </c>
      <c r="G721" s="0" t="n">
        <v>250</v>
      </c>
      <c r="H721" s="0" t="n">
        <v>191</v>
      </c>
      <c r="I721" s="0" t="n">
        <v>2</v>
      </c>
      <c r="J721" s="0" t="n">
        <v>3</v>
      </c>
      <c r="K721" s="0" t="n">
        <v>0</v>
      </c>
      <c r="L721" s="0" t="n">
        <v>1</v>
      </c>
      <c r="M721" s="0" t="n">
        <f aca="false">VLOOKUP(A721,'Team Data'!$A$1:$P$133,2,FALSE())</f>
        <v>8</v>
      </c>
      <c r="N721" s="0" t="n">
        <f aca="false">VLOOKUP(A721,'Team Data'!$A$1:$P$133,3,FALSE())</f>
        <v>5</v>
      </c>
      <c r="O721" s="0" t="n">
        <f aca="false">VLOOKUP(B721,'Team Data'!$A$1:$P$133,2,FALSE())</f>
        <v>11</v>
      </c>
      <c r="P721" s="0" t="n">
        <f aca="false">VLOOKUP(B721,'Team Data'!$A$1:$P$133,3,FALSE())</f>
        <v>3</v>
      </c>
      <c r="Q721" s="0" t="n">
        <f aca="false">VLOOKUP(A721,'Team Data'!$A$1:$P$133,4,FALSE())</f>
        <v>93</v>
      </c>
      <c r="R721" s="0" t="n">
        <f aca="false">VLOOKUP(A721,'Team Data'!$A$1:$P$133,5,FALSE())</f>
        <v>71</v>
      </c>
      <c r="S721" s="0" t="n">
        <f aca="false">VLOOKUP(B721,'Team Data'!$A$1:$P$133,4,FALSE())</f>
        <v>102</v>
      </c>
      <c r="T721" s="0" t="n">
        <f aca="false">VLOOKUP(B721,'Team Data'!$A$1:$P$133,5,FALSE())</f>
        <v>184</v>
      </c>
      <c r="U721" s="0" t="n">
        <f aca="false">IF(K721=1,(MIN(35,(C721-D721)))*(O721/(O721+P721))*(S721/(S721+T721)),(MAX(-35,(C721-D721)))*(IF(P721=0,0.1,(P721/(O721+P721))))*(T721/(S721+T721)))</f>
        <v>-2.06793206793207</v>
      </c>
      <c r="V721" s="0" t="n">
        <f aca="false">IF(L721=1,(MIN(35,(D721-C721)))*(M721/(M721+N721))*(Q721/(Q721+R721)),(MAX(-35,(D721-C721)))*(IF(N721=0,0.1,(N721/(M721+N721))))*(R721/(R721+Q721)))</f>
        <v>5.23452157598499</v>
      </c>
    </row>
    <row r="722" customFormat="false" ht="15" hidden="false" customHeight="false" outlineLevel="0" collapsed="false">
      <c r="A722" s="0" t="s">
        <v>128</v>
      </c>
      <c r="B722" s="0" t="s">
        <v>31</v>
      </c>
      <c r="C722" s="0" t="n">
        <v>7</v>
      </c>
      <c r="D722" s="0" t="n">
        <v>24</v>
      </c>
      <c r="E722" s="0" t="n">
        <v>104</v>
      </c>
      <c r="F722" s="0" t="n">
        <v>165</v>
      </c>
      <c r="G722" s="0" t="n">
        <v>177</v>
      </c>
      <c r="H722" s="0" t="n">
        <v>262</v>
      </c>
      <c r="I722" s="0" t="n">
        <v>1</v>
      </c>
      <c r="J722" s="0" t="n">
        <v>1</v>
      </c>
      <c r="K722" s="0" t="n">
        <v>0</v>
      </c>
      <c r="L722" s="0" t="n">
        <v>1</v>
      </c>
      <c r="M722" s="0" t="n">
        <f aca="false">VLOOKUP(A722,'Team Data'!$A$1:$P$133,2,FALSE())</f>
        <v>3</v>
      </c>
      <c r="N722" s="0" t="n">
        <f aca="false">VLOOKUP(A722,'Team Data'!$A$1:$P$133,3,FALSE())</f>
        <v>8</v>
      </c>
      <c r="O722" s="0" t="n">
        <f aca="false">VLOOKUP(B722,'Team Data'!$A$1:$P$133,2,FALSE())</f>
        <v>9</v>
      </c>
      <c r="P722" s="0" t="n">
        <f aca="false">VLOOKUP(B722,'Team Data'!$A$1:$P$133,3,FALSE())</f>
        <v>4</v>
      </c>
      <c r="Q722" s="0" t="n">
        <f aca="false">VLOOKUP(A722,'Team Data'!$A$1:$P$133,4,FALSE())</f>
        <v>72</v>
      </c>
      <c r="R722" s="0" t="n">
        <f aca="false">VLOOKUP(A722,'Team Data'!$A$1:$P$133,5,FALSE())</f>
        <v>174</v>
      </c>
      <c r="S722" s="0" t="n">
        <f aca="false">VLOOKUP(B722,'Team Data'!$A$1:$P$133,4,FALSE())</f>
        <v>72</v>
      </c>
      <c r="T722" s="0" t="n">
        <f aca="false">VLOOKUP(B722,'Team Data'!$A$1:$P$133,5,FALSE())</f>
        <v>196</v>
      </c>
      <c r="U722" s="0" t="n">
        <f aca="false">IF(K722=1,(MIN(35,(C722-D722)))*(O722/(O722+P722))*(S722/(S722+T722)),(MAX(-35,(C722-D722)))*(IF(P722=0,0.1,(P722/(O722+P722))))*(T722/(S722+T722)))</f>
        <v>-3.82548794489093</v>
      </c>
      <c r="V722" s="0" t="n">
        <f aca="false">IF(L722=1,(MIN(35,(D722-C722)))*(M722/(M722+N722))*(Q722/(Q722+R722)),(MAX(-35,(D722-C722)))*(IF(N722=0,0.1,(N722/(M722+N722))))*(R722/(R722+Q722)))</f>
        <v>1.3569844789357</v>
      </c>
    </row>
    <row r="723" customFormat="false" ht="15" hidden="false" customHeight="false" outlineLevel="0" collapsed="false">
      <c r="A723" s="0" t="s">
        <v>63</v>
      </c>
      <c r="B723" s="0" t="s">
        <v>42</v>
      </c>
      <c r="C723" s="0" t="n">
        <v>35</v>
      </c>
      <c r="D723" s="0" t="n">
        <v>14</v>
      </c>
      <c r="E723" s="0" t="n">
        <v>217</v>
      </c>
      <c r="F723" s="0" t="n">
        <v>129</v>
      </c>
      <c r="G723" s="0" t="n">
        <v>136</v>
      </c>
      <c r="H723" s="0" t="n">
        <v>234</v>
      </c>
      <c r="I723" s="0" t="n">
        <v>0</v>
      </c>
      <c r="J723" s="0" t="n">
        <v>4</v>
      </c>
      <c r="K723" s="0" t="n">
        <v>1</v>
      </c>
      <c r="L723" s="0" t="n">
        <v>0</v>
      </c>
      <c r="M723" s="0" t="n">
        <f aca="false">VLOOKUP(A723,'Team Data'!$A$1:$P$133,2,FALSE())</f>
        <v>5</v>
      </c>
      <c r="N723" s="0" t="n">
        <f aca="false">VLOOKUP(A723,'Team Data'!$A$1:$P$133,3,FALSE())</f>
        <v>7</v>
      </c>
      <c r="O723" s="0" t="n">
        <f aca="false">VLOOKUP(B723,'Team Data'!$A$1:$P$133,2,FALSE())</f>
        <v>5</v>
      </c>
      <c r="P723" s="0" t="n">
        <f aca="false">VLOOKUP(B723,'Team Data'!$A$1:$P$133,3,FALSE())</f>
        <v>7</v>
      </c>
      <c r="Q723" s="0" t="n">
        <f aca="false">VLOOKUP(A723,'Team Data'!$A$1:$P$133,4,FALSE())</f>
        <v>87</v>
      </c>
      <c r="R723" s="0" t="n">
        <f aca="false">VLOOKUP(A723,'Team Data'!$A$1:$P$133,5,FALSE())</f>
        <v>171</v>
      </c>
      <c r="S723" s="0" t="n">
        <f aca="false">VLOOKUP(B723,'Team Data'!$A$1:$P$133,4,FALSE())</f>
        <v>99</v>
      </c>
      <c r="T723" s="0" t="n">
        <f aca="false">VLOOKUP(B723,'Team Data'!$A$1:$P$133,5,FALSE())</f>
        <v>163</v>
      </c>
      <c r="U723" s="0" t="n">
        <f aca="false">IF(K723=1,(MIN(35,(C723-D723)))*(O723/(O723+P723))*(S723/(S723+T723)),(MAX(-35,(C723-D723)))*(IF(P723=0,0.1,(P723/(O723+P723))))*(T723/(S723+T723)))</f>
        <v>3.30629770992366</v>
      </c>
      <c r="V723" s="0" t="n">
        <f aca="false">IF(L723=1,(MIN(35,(D723-C723)))*(M723/(M723+N723))*(Q723/(Q723+R723)),(MAX(-35,(D723-C723)))*(IF(N723=0,0.1,(N723/(M723+N723))))*(R723/(R723+Q723)))</f>
        <v>-8.11918604651163</v>
      </c>
    </row>
    <row r="724" customFormat="false" ht="15" hidden="false" customHeight="false" outlineLevel="0" collapsed="false">
      <c r="A724" s="0" t="s">
        <v>20</v>
      </c>
      <c r="B724" s="0" t="s">
        <v>71</v>
      </c>
      <c r="C724" s="0" t="n">
        <v>21</v>
      </c>
      <c r="D724" s="0" t="n">
        <v>20</v>
      </c>
      <c r="E724" s="0" t="n">
        <v>-1</v>
      </c>
      <c r="F724" s="0" t="n">
        <v>200</v>
      </c>
      <c r="G724" s="0" t="n">
        <v>330</v>
      </c>
      <c r="H724" s="0" t="n">
        <v>135</v>
      </c>
      <c r="I724" s="0" t="n">
        <v>3</v>
      </c>
      <c r="J724" s="0" t="n">
        <v>4</v>
      </c>
      <c r="K724" s="0" t="n">
        <v>1</v>
      </c>
      <c r="L724" s="0" t="n">
        <v>0</v>
      </c>
      <c r="M724" s="0" t="n">
        <f aca="false">VLOOKUP(A724,'Team Data'!$A$1:$P$133,2,FALSE())</f>
        <v>3</v>
      </c>
      <c r="N724" s="0" t="n">
        <f aca="false">VLOOKUP(A724,'Team Data'!$A$1:$P$133,3,FALSE())</f>
        <v>9</v>
      </c>
      <c r="O724" s="0" t="n">
        <f aca="false">VLOOKUP(B724,'Team Data'!$A$1:$P$133,2,FALSE())</f>
        <v>8</v>
      </c>
      <c r="P724" s="0" t="n">
        <f aca="false">VLOOKUP(B724,'Team Data'!$A$1:$P$133,3,FALSE())</f>
        <v>5</v>
      </c>
      <c r="Q724" s="0" t="n">
        <f aca="false">VLOOKUP(A724,'Team Data'!$A$1:$P$133,4,FALSE())</f>
        <v>91</v>
      </c>
      <c r="R724" s="0" t="n">
        <f aca="false">VLOOKUP(A724,'Team Data'!$A$1:$P$133,5,FALSE())</f>
        <v>170</v>
      </c>
      <c r="S724" s="0" t="n">
        <f aca="false">VLOOKUP(B724,'Team Data'!$A$1:$P$133,4,FALSE())</f>
        <v>97</v>
      </c>
      <c r="T724" s="0" t="n">
        <f aca="false">VLOOKUP(B724,'Team Data'!$A$1:$P$133,5,FALSE())</f>
        <v>178</v>
      </c>
      <c r="U724" s="0" t="n">
        <f aca="false">IF(K724=1,(MIN(35,(C724-D724)))*(O724/(O724+P724))*(S724/(S724+T724)),(MAX(-35,(C724-D724)))*(IF(P724=0,0.1,(P724/(O724+P724))))*(T724/(S724+T724)))</f>
        <v>0.217062937062937</v>
      </c>
      <c r="V724" s="0" t="n">
        <f aca="false">IF(L724=1,(MIN(35,(D724-C724)))*(M724/(M724+N724))*(Q724/(Q724+R724)),(MAX(-35,(D724-C724)))*(IF(N724=0,0.1,(N724/(M724+N724))))*(R724/(R724+Q724)))</f>
        <v>-0.488505747126437</v>
      </c>
    </row>
    <row r="725" customFormat="false" ht="15" hidden="false" customHeight="false" outlineLevel="0" collapsed="false">
      <c r="A725" s="0" t="s">
        <v>37</v>
      </c>
      <c r="B725" s="0" t="s">
        <v>102</v>
      </c>
      <c r="C725" s="0" t="n">
        <v>38</v>
      </c>
      <c r="D725" s="0" t="n">
        <v>3</v>
      </c>
      <c r="E725" s="0" t="n">
        <v>230</v>
      </c>
      <c r="F725" s="0" t="n">
        <v>95</v>
      </c>
      <c r="G725" s="0" t="n">
        <v>190</v>
      </c>
      <c r="H725" s="0" t="n">
        <v>65</v>
      </c>
      <c r="I725" s="0" t="n">
        <v>1</v>
      </c>
      <c r="J725" s="0" t="n">
        <v>1</v>
      </c>
      <c r="K725" s="0" t="n">
        <v>1</v>
      </c>
      <c r="L725" s="0" t="n">
        <v>0</v>
      </c>
      <c r="M725" s="0" t="n">
        <f aca="false">VLOOKUP(A725,'Team Data'!$A$1:$P$133,2,FALSE())</f>
        <v>10</v>
      </c>
      <c r="N725" s="0" t="n">
        <f aca="false">VLOOKUP(A725,'Team Data'!$A$1:$P$133,3,FALSE())</f>
        <v>3</v>
      </c>
      <c r="O725" s="0" t="n">
        <f aca="false">VLOOKUP(B725,'Team Data'!$A$1:$P$133,2,FALSE())</f>
        <v>7</v>
      </c>
      <c r="P725" s="0" t="n">
        <f aca="false">VLOOKUP(B725,'Team Data'!$A$1:$P$133,3,FALSE())</f>
        <v>6</v>
      </c>
      <c r="Q725" s="0" t="n">
        <f aca="false">VLOOKUP(A725,'Team Data'!$A$1:$P$133,4,FALSE())</f>
        <v>91</v>
      </c>
      <c r="R725" s="0" t="n">
        <f aca="false">VLOOKUP(A725,'Team Data'!$A$1:$P$133,5,FALSE())</f>
        <v>184</v>
      </c>
      <c r="S725" s="0" t="n">
        <f aca="false">VLOOKUP(B725,'Team Data'!$A$1:$P$133,4,FALSE())</f>
        <v>100</v>
      </c>
      <c r="T725" s="0" t="n">
        <f aca="false">VLOOKUP(B725,'Team Data'!$A$1:$P$133,5,FALSE())</f>
        <v>174</v>
      </c>
      <c r="U725" s="0" t="n">
        <f aca="false">IF(K725=1,(MIN(35,(C725-D725)))*(O725/(O725+P725))*(S725/(S725+T725)),(MAX(-35,(C725-D725)))*(IF(P725=0,0.1,(P725/(O725+P725))))*(T725/(S725+T725)))</f>
        <v>6.87815833801235</v>
      </c>
      <c r="V725" s="0" t="n">
        <f aca="false">IF(L725=1,(MIN(35,(D725-C725)))*(M725/(M725+N725))*(Q725/(Q725+R725)),(MAX(-35,(D725-C725)))*(IF(N725=0,0.1,(N725/(M725+N725))))*(R725/(R725+Q725)))</f>
        <v>-5.4041958041958</v>
      </c>
    </row>
    <row r="726" customFormat="false" ht="15" hidden="false" customHeight="false" outlineLevel="0" collapsed="false">
      <c r="A726" s="0" t="s">
        <v>91</v>
      </c>
      <c r="B726" s="0" t="s">
        <v>127</v>
      </c>
      <c r="C726" s="0" t="n">
        <v>37</v>
      </c>
      <c r="D726" s="0" t="n">
        <v>7</v>
      </c>
      <c r="E726" s="0" t="n">
        <v>189</v>
      </c>
      <c r="F726" s="0" t="n">
        <v>-8</v>
      </c>
      <c r="G726" s="0" t="n">
        <v>208</v>
      </c>
      <c r="H726" s="0" t="n">
        <v>152</v>
      </c>
      <c r="I726" s="0" t="n">
        <v>0</v>
      </c>
      <c r="J726" s="0" t="n">
        <v>2</v>
      </c>
      <c r="K726" s="0" t="n">
        <v>1</v>
      </c>
      <c r="L726" s="0" t="n">
        <v>0</v>
      </c>
      <c r="M726" s="0" t="n">
        <f aca="false">VLOOKUP(A726,'Team Data'!$A$1:$P$133,2,FALSE())</f>
        <v>9</v>
      </c>
      <c r="N726" s="0" t="n">
        <f aca="false">VLOOKUP(A726,'Team Data'!$A$1:$P$133,3,FALSE())</f>
        <v>4</v>
      </c>
      <c r="O726" s="0" t="n">
        <f aca="false">VLOOKUP(B726,'Team Data'!$A$1:$P$133,2,FALSE())</f>
        <v>3</v>
      </c>
      <c r="P726" s="0" t="n">
        <f aca="false">VLOOKUP(B726,'Team Data'!$A$1:$P$133,3,FALSE())</f>
        <v>7</v>
      </c>
      <c r="Q726" s="0" t="n">
        <f aca="false">VLOOKUP(A726,'Team Data'!$A$1:$P$133,4,FALSE())</f>
        <v>87</v>
      </c>
      <c r="R726" s="0" t="n">
        <f aca="false">VLOOKUP(A726,'Team Data'!$A$1:$P$133,5,FALSE())</f>
        <v>181</v>
      </c>
      <c r="S726" s="0" t="n">
        <f aca="false">VLOOKUP(B726,'Team Data'!$A$1:$P$133,4,FALSE())</f>
        <v>71</v>
      </c>
      <c r="T726" s="0" t="n">
        <f aca="false">VLOOKUP(B726,'Team Data'!$A$1:$P$133,5,FALSE())</f>
        <v>164</v>
      </c>
      <c r="U726" s="0" t="n">
        <f aca="false">IF(K726=1,(MIN(35,(C726-D726)))*(O726/(O726+P726))*(S726/(S726+T726)),(MAX(-35,(C726-D726)))*(IF(P726=0,0.1,(P726/(O726+P726))))*(T726/(S726+T726)))</f>
        <v>2.71914893617021</v>
      </c>
      <c r="V726" s="0" t="n">
        <f aca="false">IF(L726=1,(MIN(35,(D726-C726)))*(M726/(M726+N726))*(Q726/(Q726+R726)),(MAX(-35,(D726-C726)))*(IF(N726=0,0.1,(N726/(M726+N726))))*(R726/(R726+Q726)))</f>
        <v>-6.23421354764638</v>
      </c>
    </row>
    <row r="727" customFormat="false" ht="15" hidden="false" customHeight="false" outlineLevel="0" collapsed="false">
      <c r="A727" s="0" t="s">
        <v>77</v>
      </c>
      <c r="B727" s="0" t="s">
        <v>129</v>
      </c>
      <c r="C727" s="0" t="n">
        <v>36</v>
      </c>
      <c r="D727" s="0" t="n">
        <v>34</v>
      </c>
      <c r="E727" s="0" t="n">
        <v>136</v>
      </c>
      <c r="F727" s="0" t="n">
        <v>170</v>
      </c>
      <c r="G727" s="0" t="n">
        <v>448</v>
      </c>
      <c r="H727" s="0" t="n">
        <v>320</v>
      </c>
      <c r="I727" s="0" t="n">
        <v>0</v>
      </c>
      <c r="J727" s="0" t="n">
        <v>1</v>
      </c>
      <c r="K727" s="0" t="n">
        <v>1</v>
      </c>
      <c r="L727" s="0" t="n">
        <v>0</v>
      </c>
      <c r="M727" s="0" t="n">
        <f aca="false">VLOOKUP(A727,'Team Data'!$A$1:$P$133,2,FALSE())</f>
        <v>9</v>
      </c>
      <c r="N727" s="0" t="n">
        <f aca="false">VLOOKUP(A727,'Team Data'!$A$1:$P$133,3,FALSE())</f>
        <v>5</v>
      </c>
      <c r="O727" s="0" t="n">
        <f aca="false">VLOOKUP(B727,'Team Data'!$A$1:$P$133,2,FALSE())</f>
        <v>8</v>
      </c>
      <c r="P727" s="0" t="n">
        <f aca="false">VLOOKUP(B727,'Team Data'!$A$1:$P$133,3,FALSE())</f>
        <v>5</v>
      </c>
      <c r="Q727" s="0" t="n">
        <f aca="false">VLOOKUP(A727,'Team Data'!$A$1:$P$133,4,FALSE())</f>
        <v>98</v>
      </c>
      <c r="R727" s="0" t="n">
        <f aca="false">VLOOKUP(A727,'Team Data'!$A$1:$P$133,5,FALSE())</f>
        <v>183</v>
      </c>
      <c r="S727" s="0" t="n">
        <f aca="false">VLOOKUP(B727,'Team Data'!$A$1:$P$133,4,FALSE())</f>
        <v>98</v>
      </c>
      <c r="T727" s="0" t="n">
        <f aca="false">VLOOKUP(B727,'Team Data'!$A$1:$P$133,5,FALSE())</f>
        <v>177</v>
      </c>
      <c r="U727" s="0" t="n">
        <f aca="false">IF(K727=1,(MIN(35,(C727-D727)))*(O727/(O727+P727))*(S727/(S727+T727)),(MAX(-35,(C727-D727)))*(IF(P727=0,0.1,(P727/(O727+P727))))*(T727/(S727+T727)))</f>
        <v>0.438601398601399</v>
      </c>
      <c r="V727" s="0" t="n">
        <f aca="false">IF(L727=1,(MIN(35,(D727-C727)))*(M727/(M727+N727))*(Q727/(Q727+R727)),(MAX(-35,(D727-C727)))*(IF(N727=0,0.1,(N727/(M727+N727))))*(R727/(R727+Q727)))</f>
        <v>-0.465175394001017</v>
      </c>
    </row>
    <row r="728" customFormat="false" ht="15" hidden="false" customHeight="false" outlineLevel="0" collapsed="false">
      <c r="A728" s="0" t="s">
        <v>118</v>
      </c>
      <c r="B728" s="0" t="s">
        <v>13</v>
      </c>
      <c r="C728" s="0" t="n">
        <v>33</v>
      </c>
      <c r="D728" s="0" t="n">
        <v>35</v>
      </c>
      <c r="E728" s="0" t="n">
        <v>168</v>
      </c>
      <c r="F728" s="0" t="n">
        <v>133</v>
      </c>
      <c r="G728" s="0" t="n">
        <v>307</v>
      </c>
      <c r="H728" s="0" t="n">
        <v>142</v>
      </c>
      <c r="I728" s="0" t="n">
        <v>2</v>
      </c>
      <c r="J728" s="0" t="n">
        <v>1</v>
      </c>
      <c r="K728" s="0" t="n">
        <v>0</v>
      </c>
      <c r="L728" s="0" t="n">
        <v>1</v>
      </c>
      <c r="M728" s="0" t="n">
        <f aca="false">VLOOKUP(A728,'Team Data'!$A$1:$P$133,2,FALSE())</f>
        <v>1</v>
      </c>
      <c r="N728" s="0" t="n">
        <f aca="false">VLOOKUP(A728,'Team Data'!$A$1:$P$133,3,FALSE())</f>
        <v>11</v>
      </c>
      <c r="O728" s="0" t="n">
        <f aca="false">VLOOKUP(B728,'Team Data'!$A$1:$P$133,2,FALSE())</f>
        <v>3</v>
      </c>
      <c r="P728" s="0" t="n">
        <f aca="false">VLOOKUP(B728,'Team Data'!$A$1:$P$133,3,FALSE())</f>
        <v>9</v>
      </c>
      <c r="Q728" s="0" t="n">
        <f aca="false">VLOOKUP(A728,'Team Data'!$A$1:$P$133,4,FALSE())</f>
        <v>83</v>
      </c>
      <c r="R728" s="0" t="n">
        <f aca="false">VLOOKUP(A728,'Team Data'!$A$1:$P$133,5,FALSE())</f>
        <v>178</v>
      </c>
      <c r="S728" s="0" t="n">
        <f aca="false">VLOOKUP(B728,'Team Data'!$A$1:$P$133,4,FALSE())</f>
        <v>81</v>
      </c>
      <c r="T728" s="0" t="n">
        <f aca="false">VLOOKUP(B728,'Team Data'!$A$1:$P$133,5,FALSE())</f>
        <v>177</v>
      </c>
      <c r="U728" s="0" t="n">
        <f aca="false">IF(K728=1,(MIN(35,(C728-D728)))*(O728/(O728+P728))*(S728/(S728+T728)),(MAX(-35,(C728-D728)))*(IF(P728=0,0.1,(P728/(O728+P728))))*(T728/(S728+T728)))</f>
        <v>-1.02906976744186</v>
      </c>
      <c r="V728" s="0" t="n">
        <f aca="false">IF(L728=1,(MIN(35,(D728-C728)))*(M728/(M728+N728))*(Q728/(Q728+R728)),(MAX(-35,(D728-C728)))*(IF(N728=0,0.1,(N728/(M728+N728))))*(R728/(R728+Q728)))</f>
        <v>0.0530012771392082</v>
      </c>
    </row>
    <row r="729" customFormat="false" ht="15" hidden="false" customHeight="false" outlineLevel="0" collapsed="false">
      <c r="A729" s="0" t="s">
        <v>19</v>
      </c>
      <c r="B729" s="0" t="s">
        <v>74</v>
      </c>
      <c r="C729" s="0" t="n">
        <v>41</v>
      </c>
      <c r="D729" s="0" t="n">
        <v>3</v>
      </c>
      <c r="E729" s="0" t="n">
        <v>267</v>
      </c>
      <c r="F729" s="0" t="n">
        <v>127</v>
      </c>
      <c r="G729" s="0" t="n">
        <v>261</v>
      </c>
      <c r="H729" s="0" t="n">
        <v>123</v>
      </c>
      <c r="I729" s="0" t="n">
        <v>1</v>
      </c>
      <c r="J729" s="0" t="n">
        <v>2</v>
      </c>
      <c r="K729" s="0" t="n">
        <v>1</v>
      </c>
      <c r="L729" s="0" t="n">
        <v>0</v>
      </c>
      <c r="M729" s="0" t="n">
        <f aca="false">VLOOKUP(A729,'Team Data'!$A$1:$P$133,2,FALSE())</f>
        <v>10</v>
      </c>
      <c r="N729" s="0" t="n">
        <f aca="false">VLOOKUP(A729,'Team Data'!$A$1:$P$133,3,FALSE())</f>
        <v>4</v>
      </c>
      <c r="O729" s="0" t="n">
        <f aca="false">VLOOKUP(B729,'Team Data'!$A$1:$P$133,2,FALSE())</f>
        <v>2</v>
      </c>
      <c r="P729" s="0" t="n">
        <f aca="false">VLOOKUP(B729,'Team Data'!$A$1:$P$133,3,FALSE())</f>
        <v>10</v>
      </c>
      <c r="Q729" s="0" t="n">
        <f aca="false">VLOOKUP(A729,'Team Data'!$A$1:$P$133,4,FALSE())</f>
        <v>95</v>
      </c>
      <c r="R729" s="0" t="n">
        <f aca="false">VLOOKUP(A729,'Team Data'!$A$1:$P$133,5,FALSE())</f>
        <v>193</v>
      </c>
      <c r="S729" s="0" t="n">
        <f aca="false">VLOOKUP(B729,'Team Data'!$A$1:$P$133,4,FALSE())</f>
        <v>82</v>
      </c>
      <c r="T729" s="0" t="n">
        <f aca="false">VLOOKUP(B729,'Team Data'!$A$1:$P$133,5,FALSE())</f>
        <v>179</v>
      </c>
      <c r="U729" s="0" t="n">
        <f aca="false">IF(K729=1,(MIN(35,(C729-D729)))*(O729/(O729+P729))*(S729/(S729+T729)),(MAX(-35,(C729-D729)))*(IF(P729=0,0.1,(P729/(O729+P729))))*(T729/(S729+T729)))</f>
        <v>1.83269476372925</v>
      </c>
      <c r="V729" s="0" t="n">
        <f aca="false">IF(L729=1,(MIN(35,(D729-C729)))*(M729/(M729+N729))*(Q729/(Q729+R729)),(MAX(-35,(D729-C729)))*(IF(N729=0,0.1,(N729/(M729+N729))))*(R729/(R729+Q729)))</f>
        <v>-6.70138888888889</v>
      </c>
    </row>
    <row r="730" customFormat="false" ht="15" hidden="false" customHeight="false" outlineLevel="0" collapsed="false">
      <c r="A730" s="0" t="s">
        <v>75</v>
      </c>
      <c r="B730" s="0" t="s">
        <v>6</v>
      </c>
      <c r="C730" s="0" t="n">
        <v>3</v>
      </c>
      <c r="D730" s="0" t="n">
        <v>35</v>
      </c>
      <c r="E730" s="0" t="n">
        <v>44</v>
      </c>
      <c r="F730" s="0" t="n">
        <v>428</v>
      </c>
      <c r="G730" s="0" t="n">
        <v>128</v>
      </c>
      <c r="H730" s="0" t="n">
        <v>42</v>
      </c>
      <c r="I730" s="0" t="n">
        <v>0</v>
      </c>
      <c r="J730" s="0" t="n">
        <v>1</v>
      </c>
      <c r="K730" s="0" t="n">
        <v>0</v>
      </c>
      <c r="L730" s="0" t="n">
        <v>1</v>
      </c>
      <c r="M730" s="0" t="n">
        <f aca="false">VLOOKUP(A730,'Team Data'!$A$1:$P$133,2,FALSE())</f>
        <v>2</v>
      </c>
      <c r="N730" s="0" t="n">
        <f aca="false">VLOOKUP(A730,'Team Data'!$A$1:$P$133,3,FALSE())</f>
        <v>10</v>
      </c>
      <c r="O730" s="0" t="n">
        <f aca="false">VLOOKUP(B730,'Team Data'!$A$1:$P$133,2,FALSE())</f>
        <v>10</v>
      </c>
      <c r="P730" s="0" t="n">
        <f aca="false">VLOOKUP(B730,'Team Data'!$A$1:$P$133,3,FALSE())</f>
        <v>3</v>
      </c>
      <c r="Q730" s="0" t="n">
        <f aca="false">VLOOKUP(A730,'Team Data'!$A$1:$P$133,4,FALSE())</f>
        <v>88</v>
      </c>
      <c r="R730" s="0" t="n">
        <f aca="false">VLOOKUP(A730,'Team Data'!$A$1:$P$133,5,FALSE())</f>
        <v>175</v>
      </c>
      <c r="S730" s="0" t="n">
        <f aca="false">VLOOKUP(B730,'Team Data'!$A$1:$P$133,4,FALSE())</f>
        <v>67</v>
      </c>
      <c r="T730" s="0" t="n">
        <f aca="false">VLOOKUP(B730,'Team Data'!$A$1:$P$133,5,FALSE())</f>
        <v>203</v>
      </c>
      <c r="U730" s="0" t="n">
        <f aca="false">IF(K730=1,(MIN(35,(C730-D730)))*(O730/(O730+P730))*(S730/(S730+T730)),(MAX(-35,(C730-D730)))*(IF(P730=0,0.1,(P730/(O730+P730))))*(T730/(S730+T730)))</f>
        <v>-5.55213675213675</v>
      </c>
      <c r="V730" s="0" t="n">
        <f aca="false">IF(L730=1,(MIN(35,(D730-C730)))*(M730/(M730+N730))*(Q730/(Q730+R730)),(MAX(-35,(D730-C730)))*(IF(N730=0,0.1,(N730/(M730+N730))))*(R730/(R730+Q730)))</f>
        <v>1.78453738910013</v>
      </c>
    </row>
    <row r="731" customFormat="false" ht="15" hidden="false" customHeight="false" outlineLevel="0" collapsed="false">
      <c r="A731" s="0" t="s">
        <v>125</v>
      </c>
      <c r="B731" s="0" t="s">
        <v>43</v>
      </c>
      <c r="C731" s="0" t="n">
        <v>41</v>
      </c>
      <c r="D731" s="0" t="n">
        <v>34</v>
      </c>
      <c r="E731" s="0" t="n">
        <v>136</v>
      </c>
      <c r="F731" s="0" t="n">
        <v>235</v>
      </c>
      <c r="G731" s="0" t="n">
        <v>238</v>
      </c>
      <c r="H731" s="0" t="n">
        <v>306</v>
      </c>
      <c r="I731" s="0" t="n">
        <v>0</v>
      </c>
      <c r="J731" s="0" t="n">
        <v>4</v>
      </c>
      <c r="K731" s="0" t="n">
        <v>1</v>
      </c>
      <c r="L731" s="0" t="n">
        <v>0</v>
      </c>
      <c r="M731" s="0" t="n">
        <f aca="false">VLOOKUP(A731,'Team Data'!$A$1:$P$133,2,FALSE())</f>
        <v>6</v>
      </c>
      <c r="N731" s="0" t="n">
        <f aca="false">VLOOKUP(A731,'Team Data'!$A$1:$P$133,3,FALSE())</f>
        <v>7</v>
      </c>
      <c r="O731" s="0" t="n">
        <f aca="false">VLOOKUP(B731,'Team Data'!$A$1:$P$133,2,FALSE())</f>
        <v>3</v>
      </c>
      <c r="P731" s="0" t="n">
        <f aca="false">VLOOKUP(B731,'Team Data'!$A$1:$P$133,3,FALSE())</f>
        <v>10</v>
      </c>
      <c r="Q731" s="0" t="n">
        <f aca="false">VLOOKUP(A731,'Team Data'!$A$1:$P$133,4,FALSE())</f>
        <v>87</v>
      </c>
      <c r="R731" s="0" t="n">
        <f aca="false">VLOOKUP(A731,'Team Data'!$A$1:$P$133,5,FALSE())</f>
        <v>186</v>
      </c>
      <c r="S731" s="0" t="n">
        <f aca="false">VLOOKUP(B731,'Team Data'!$A$1:$P$133,4,FALSE())</f>
        <v>89</v>
      </c>
      <c r="T731" s="0" t="n">
        <f aca="false">VLOOKUP(B731,'Team Data'!$A$1:$P$133,5,FALSE())</f>
        <v>185</v>
      </c>
      <c r="U731" s="0" t="n">
        <f aca="false">IF(K731=1,(MIN(35,(C731-D731)))*(O731/(O731+P731))*(S731/(S731+T731)),(MAX(-35,(C731-D731)))*(IF(P731=0,0.1,(P731/(O731+P731))))*(T731/(S731+T731)))</f>
        <v>0.524705221785514</v>
      </c>
      <c r="V731" s="0" t="n">
        <f aca="false">IF(L731=1,(MIN(35,(D731-C731)))*(M731/(M731+N731))*(Q731/(Q731+R731)),(MAX(-35,(D731-C731)))*(IF(N731=0,0.1,(N731/(M731+N731))))*(R731/(R731+Q731)))</f>
        <v>-2.56804733727811</v>
      </c>
    </row>
    <row r="732" customFormat="false" ht="15" hidden="false" customHeight="false" outlineLevel="0" collapsed="false">
      <c r="A732" s="0" t="s">
        <v>136</v>
      </c>
      <c r="B732" s="0" t="s">
        <v>30</v>
      </c>
      <c r="C732" s="0" t="n">
        <v>14</v>
      </c>
      <c r="D732" s="0" t="n">
        <v>13</v>
      </c>
      <c r="E732" s="0" t="n">
        <v>142</v>
      </c>
      <c r="F732" s="0" t="n">
        <v>121</v>
      </c>
      <c r="G732" s="0" t="n">
        <v>94</v>
      </c>
      <c r="H732" s="0" t="n">
        <v>251</v>
      </c>
      <c r="I732" s="0" t="n">
        <v>1</v>
      </c>
      <c r="J732" s="0" t="n">
        <v>2</v>
      </c>
      <c r="K732" s="0" t="n">
        <v>1</v>
      </c>
      <c r="L732" s="0" t="n">
        <v>0</v>
      </c>
      <c r="M732" s="0" t="n">
        <f aca="false">VLOOKUP(A732,'Team Data'!$A$1:$P$133,2,FALSE())</f>
        <v>7</v>
      </c>
      <c r="N732" s="0" t="n">
        <f aca="false">VLOOKUP(A732,'Team Data'!$A$1:$P$133,3,FALSE())</f>
        <v>6</v>
      </c>
      <c r="O732" s="0" t="n">
        <f aca="false">VLOOKUP(B732,'Team Data'!$A$1:$P$133,2,FALSE())</f>
        <v>3</v>
      </c>
      <c r="P732" s="0" t="n">
        <f aca="false">VLOOKUP(B732,'Team Data'!$A$1:$P$133,3,FALSE())</f>
        <v>9</v>
      </c>
      <c r="Q732" s="0" t="n">
        <f aca="false">VLOOKUP(A732,'Team Data'!$A$1:$P$133,4,FALSE())</f>
        <v>90</v>
      </c>
      <c r="R732" s="0" t="n">
        <f aca="false">VLOOKUP(A732,'Team Data'!$A$1:$P$133,5,FALSE())</f>
        <v>185</v>
      </c>
      <c r="S732" s="0" t="n">
        <f aca="false">VLOOKUP(B732,'Team Data'!$A$1:$P$133,4,FALSE())</f>
        <v>83</v>
      </c>
      <c r="T732" s="0" t="n">
        <f aca="false">VLOOKUP(B732,'Team Data'!$A$1:$P$133,5,FALSE())</f>
        <v>179</v>
      </c>
      <c r="U732" s="0" t="n">
        <f aca="false">IF(K732=1,(MIN(35,(C732-D732)))*(O732/(O732+P732))*(S732/(S732+T732)),(MAX(-35,(C732-D732)))*(IF(P732=0,0.1,(P732/(O732+P732))))*(T732/(S732+T732)))</f>
        <v>0.0791984732824427</v>
      </c>
      <c r="V732" s="0" t="n">
        <f aca="false">IF(L732=1,(MIN(35,(D732-C732)))*(M732/(M732+N732))*(Q732/(Q732+R732)),(MAX(-35,(D732-C732)))*(IF(N732=0,0.1,(N732/(M732+N732))))*(R732/(R732+Q732)))</f>
        <v>-0.310489510489511</v>
      </c>
    </row>
    <row r="733" customFormat="false" ht="15" hidden="false" customHeight="false" outlineLevel="0" collapsed="false">
      <c r="A733" s="0" t="s">
        <v>38</v>
      </c>
      <c r="B733" s="0" t="s">
        <v>119</v>
      </c>
      <c r="C733" s="0" t="n">
        <v>37</v>
      </c>
      <c r="D733" s="0" t="n">
        <v>30</v>
      </c>
      <c r="E733" s="0" t="n">
        <v>68</v>
      </c>
      <c r="F733" s="0" t="n">
        <v>219</v>
      </c>
      <c r="G733" s="0" t="n">
        <v>313</v>
      </c>
      <c r="H733" s="0" t="n">
        <v>172</v>
      </c>
      <c r="I733" s="0" t="n">
        <v>1</v>
      </c>
      <c r="J733" s="0" t="n">
        <v>0</v>
      </c>
      <c r="K733" s="0" t="n">
        <v>1</v>
      </c>
      <c r="L733" s="0" t="n">
        <v>0</v>
      </c>
      <c r="M733" s="0" t="n">
        <f aca="false">VLOOKUP(A733,'Team Data'!$A$1:$P$133,2,FALSE())</f>
        <v>10</v>
      </c>
      <c r="N733" s="0" t="n">
        <f aca="false">VLOOKUP(A733,'Team Data'!$A$1:$P$133,3,FALSE())</f>
        <v>4</v>
      </c>
      <c r="O733" s="0" t="n">
        <f aca="false">VLOOKUP(B733,'Team Data'!$A$1:$P$133,2,FALSE())</f>
        <v>5</v>
      </c>
      <c r="P733" s="0" t="n">
        <f aca="false">VLOOKUP(B733,'Team Data'!$A$1:$P$133,3,FALSE())</f>
        <v>7</v>
      </c>
      <c r="Q733" s="0" t="n">
        <f aca="false">VLOOKUP(A733,'Team Data'!$A$1:$P$133,4,FALSE())</f>
        <v>95</v>
      </c>
      <c r="R733" s="0" t="n">
        <f aca="false">VLOOKUP(A733,'Team Data'!$A$1:$P$133,5,FALSE())</f>
        <v>193</v>
      </c>
      <c r="S733" s="0" t="n">
        <f aca="false">VLOOKUP(B733,'Team Data'!$A$1:$P$133,4,FALSE())</f>
        <v>75</v>
      </c>
      <c r="T733" s="0" t="n">
        <f aca="false">VLOOKUP(B733,'Team Data'!$A$1:$P$133,5,FALSE())</f>
        <v>186</v>
      </c>
      <c r="U733" s="0" t="n">
        <f aca="false">IF(K733=1,(MIN(35,(C733-D733)))*(O733/(O733+P733))*(S733/(S733+T733)),(MAX(-35,(C733-D733)))*(IF(P733=0,0.1,(P733/(O733+P733))))*(T733/(S733+T733)))</f>
        <v>0.838122605363985</v>
      </c>
      <c r="V733" s="0" t="n">
        <f aca="false">IF(L733=1,(MIN(35,(D733-C733)))*(M733/(M733+N733))*(Q733/(Q733+R733)),(MAX(-35,(D733-C733)))*(IF(N733=0,0.1,(N733/(M733+N733))))*(R733/(R733+Q733)))</f>
        <v>-1.34027777777778</v>
      </c>
    </row>
    <row r="734" customFormat="false" ht="15" hidden="false" customHeight="false" outlineLevel="0" collapsed="false">
      <c r="A734" s="0" t="s">
        <v>97</v>
      </c>
      <c r="B734" s="0" t="s">
        <v>96</v>
      </c>
      <c r="C734" s="0" t="n">
        <v>27</v>
      </c>
      <c r="D734" s="0" t="n">
        <v>43</v>
      </c>
      <c r="E734" s="0" t="n">
        <v>28</v>
      </c>
      <c r="F734" s="0" t="n">
        <v>157</v>
      </c>
      <c r="G734" s="0" t="n">
        <v>195</v>
      </c>
      <c r="H734" s="0" t="n">
        <v>268</v>
      </c>
      <c r="I734" s="0" t="n">
        <v>1</v>
      </c>
      <c r="J734" s="0" t="n">
        <v>1</v>
      </c>
      <c r="K734" s="0" t="n">
        <v>0</v>
      </c>
      <c r="L734" s="0" t="n">
        <v>1</v>
      </c>
      <c r="M734" s="0" t="n">
        <f aca="false">VLOOKUP(A734,'Team Data'!$A$1:$P$133,2,FALSE())</f>
        <v>7</v>
      </c>
      <c r="N734" s="0" t="n">
        <f aca="false">VLOOKUP(A734,'Team Data'!$A$1:$P$133,3,FALSE())</f>
        <v>5</v>
      </c>
      <c r="O734" s="0" t="n">
        <f aca="false">VLOOKUP(B734,'Team Data'!$A$1:$P$133,2,FALSE())</f>
        <v>7</v>
      </c>
      <c r="P734" s="0" t="n">
        <f aca="false">VLOOKUP(B734,'Team Data'!$A$1:$P$133,3,FALSE())</f>
        <v>6</v>
      </c>
      <c r="Q734" s="0" t="n">
        <f aca="false">VLOOKUP(A734,'Team Data'!$A$1:$P$133,4,FALSE())</f>
        <v>70</v>
      </c>
      <c r="R734" s="0" t="n">
        <f aca="false">VLOOKUP(A734,'Team Data'!$A$1:$P$133,5,FALSE())</f>
        <v>189</v>
      </c>
      <c r="S734" s="0" t="n">
        <f aca="false">VLOOKUP(B734,'Team Data'!$A$1:$P$133,4,FALSE())</f>
        <v>89</v>
      </c>
      <c r="T734" s="0" t="n">
        <f aca="false">VLOOKUP(B734,'Team Data'!$A$1:$P$133,5,FALSE())</f>
        <v>186</v>
      </c>
      <c r="U734" s="0" t="n">
        <f aca="false">IF(K734=1,(MIN(35,(C734-D734)))*(O734/(O734+P734))*(S734/(S734+T734)),(MAX(-35,(C734-D734)))*(IF(P734=0,0.1,(P734/(O734+P734))))*(T734/(S734+T734)))</f>
        <v>-4.99468531468532</v>
      </c>
      <c r="V734" s="0" t="n">
        <f aca="false">IF(L734=1,(MIN(35,(D734-C734)))*(M734/(M734+N734))*(Q734/(Q734+R734)),(MAX(-35,(D734-C734)))*(IF(N734=0,0.1,(N734/(M734+N734))))*(R734/(R734+Q734)))</f>
        <v>2.52252252252252</v>
      </c>
    </row>
    <row r="735" customFormat="false" ht="15" hidden="false" customHeight="false" outlineLevel="0" collapsed="false">
      <c r="A735" s="0" t="s">
        <v>113</v>
      </c>
      <c r="B735" s="0" t="s">
        <v>62</v>
      </c>
      <c r="C735" s="0" t="n">
        <v>10</v>
      </c>
      <c r="D735" s="0" t="n">
        <v>26</v>
      </c>
      <c r="E735" s="0" t="n">
        <v>31</v>
      </c>
      <c r="F735" s="0" t="n">
        <v>79</v>
      </c>
      <c r="G735" s="0" t="n">
        <v>176</v>
      </c>
      <c r="H735" s="0" t="n">
        <v>262</v>
      </c>
      <c r="I735" s="0" t="n">
        <v>2</v>
      </c>
      <c r="J735" s="0" t="n">
        <v>2</v>
      </c>
      <c r="K735" s="0" t="n">
        <v>0</v>
      </c>
      <c r="L735" s="0" t="n">
        <v>1</v>
      </c>
      <c r="M735" s="0" t="n">
        <f aca="false">VLOOKUP(A735,'Team Data'!$A$1:$P$133,2,FALSE())</f>
        <v>5</v>
      </c>
      <c r="N735" s="0" t="n">
        <f aca="false">VLOOKUP(A735,'Team Data'!$A$1:$P$133,3,FALSE())</f>
        <v>7</v>
      </c>
      <c r="O735" s="0" t="n">
        <f aca="false">VLOOKUP(B735,'Team Data'!$A$1:$P$133,2,FALSE())</f>
        <v>7</v>
      </c>
      <c r="P735" s="0" t="n">
        <f aca="false">VLOOKUP(B735,'Team Data'!$A$1:$P$133,3,FALSE())</f>
        <v>6</v>
      </c>
      <c r="Q735" s="0" t="n">
        <f aca="false">VLOOKUP(A735,'Team Data'!$A$1:$P$133,4,FALSE())</f>
        <v>77</v>
      </c>
      <c r="R735" s="0" t="n">
        <f aca="false">VLOOKUP(A735,'Team Data'!$A$1:$P$133,5,FALSE())</f>
        <v>183</v>
      </c>
      <c r="S735" s="0" t="n">
        <f aca="false">VLOOKUP(B735,'Team Data'!$A$1:$P$133,4,FALSE())</f>
        <v>89</v>
      </c>
      <c r="T735" s="0" t="n">
        <f aca="false">VLOOKUP(B735,'Team Data'!$A$1:$P$133,5,FALSE())</f>
        <v>186</v>
      </c>
      <c r="U735" s="0" t="n">
        <f aca="false">IF(K735=1,(MIN(35,(C735-D735)))*(O735/(O735+P735))*(S735/(S735+T735)),(MAX(-35,(C735-D735)))*(IF(P735=0,0.1,(P735/(O735+P735))))*(T735/(S735+T735)))</f>
        <v>-4.99468531468532</v>
      </c>
      <c r="V735" s="0" t="n">
        <f aca="false">IF(L735=1,(MIN(35,(D735-C735)))*(M735/(M735+N735))*(Q735/(Q735+R735)),(MAX(-35,(D735-C735)))*(IF(N735=0,0.1,(N735/(M735+N735))))*(R735/(R735+Q735)))</f>
        <v>1.97435897435897</v>
      </c>
    </row>
    <row r="736" customFormat="false" ht="15" hidden="false" customHeight="false" outlineLevel="0" collapsed="false">
      <c r="A736" s="0" t="s">
        <v>32</v>
      </c>
      <c r="B736" s="0" t="s">
        <v>26</v>
      </c>
      <c r="C736" s="0" t="n">
        <v>25</v>
      </c>
      <c r="D736" s="0" t="n">
        <v>27</v>
      </c>
      <c r="E736" s="0" t="n">
        <v>174</v>
      </c>
      <c r="F736" s="0" t="n">
        <v>66</v>
      </c>
      <c r="G736" s="0" t="n">
        <v>280</v>
      </c>
      <c r="H736" s="0" t="n">
        <v>244</v>
      </c>
      <c r="I736" s="0" t="n">
        <v>0</v>
      </c>
      <c r="J736" s="0" t="n">
        <v>1</v>
      </c>
      <c r="K736" s="0" t="n">
        <v>0</v>
      </c>
      <c r="L736" s="0" t="n">
        <v>1</v>
      </c>
      <c r="M736" s="0" t="n">
        <f aca="false">VLOOKUP(A736,'Team Data'!$A$1:$P$133,2,FALSE())</f>
        <v>8</v>
      </c>
      <c r="N736" s="0" t="n">
        <f aca="false">VLOOKUP(A736,'Team Data'!$A$1:$P$133,3,FALSE())</f>
        <v>5</v>
      </c>
      <c r="O736" s="0" t="n">
        <f aca="false">VLOOKUP(B736,'Team Data'!$A$1:$P$133,2,FALSE())</f>
        <v>9</v>
      </c>
      <c r="P736" s="0" t="n">
        <f aca="false">VLOOKUP(B736,'Team Data'!$A$1:$P$133,3,FALSE())</f>
        <v>4</v>
      </c>
      <c r="Q736" s="0" t="n">
        <f aca="false">VLOOKUP(A736,'Team Data'!$A$1:$P$133,4,FALSE())</f>
        <v>89</v>
      </c>
      <c r="R736" s="0" t="n">
        <f aca="false">VLOOKUP(A736,'Team Data'!$A$1:$P$133,5,FALSE())</f>
        <v>185</v>
      </c>
      <c r="S736" s="0" t="n">
        <f aca="false">VLOOKUP(B736,'Team Data'!$A$1:$P$133,4,FALSE())</f>
        <v>82</v>
      </c>
      <c r="T736" s="0" t="n">
        <f aca="false">VLOOKUP(B736,'Team Data'!$A$1:$P$133,5,FALSE())</f>
        <v>191</v>
      </c>
      <c r="U736" s="0" t="n">
        <f aca="false">IF(K736=1,(MIN(35,(C736-D736)))*(O736/(O736+P736))*(S736/(S736+T736)),(MAX(-35,(C736-D736)))*(IF(P736=0,0.1,(P736/(O736+P736))))*(T736/(S736+T736)))</f>
        <v>-0.4305438151592</v>
      </c>
      <c r="V736" s="0" t="n">
        <f aca="false">IF(L736=1,(MIN(35,(D736-C736)))*(M736/(M736+N736))*(Q736/(Q736+R736)),(MAX(-35,(D736-C736)))*(IF(N736=0,0.1,(N736/(M736+N736))))*(R736/(R736+Q736)))</f>
        <v>0.399775407074677</v>
      </c>
    </row>
    <row r="737" customFormat="false" ht="15" hidden="false" customHeight="false" outlineLevel="0" collapsed="false">
      <c r="A737" s="0" t="s">
        <v>104</v>
      </c>
      <c r="B737" s="0" t="s">
        <v>44</v>
      </c>
      <c r="C737" s="0" t="n">
        <v>36</v>
      </c>
      <c r="D737" s="0" t="n">
        <v>43</v>
      </c>
      <c r="E737" s="0" t="n">
        <v>47</v>
      </c>
      <c r="F737" s="0" t="n">
        <v>196</v>
      </c>
      <c r="G737" s="0" t="n">
        <v>486</v>
      </c>
      <c r="H737" s="0" t="n">
        <v>289</v>
      </c>
      <c r="I737" s="0" t="n">
        <v>1</v>
      </c>
      <c r="J737" s="0" t="n">
        <v>2</v>
      </c>
      <c r="K737" s="0" t="n">
        <v>0</v>
      </c>
      <c r="L737" s="0" t="n">
        <v>1</v>
      </c>
      <c r="M737" s="0" t="n">
        <f aca="false">VLOOKUP(A737,'Team Data'!$A$1:$P$133,2,FALSE())</f>
        <v>3</v>
      </c>
      <c r="N737" s="0" t="n">
        <f aca="false">VLOOKUP(A737,'Team Data'!$A$1:$P$133,3,FALSE())</f>
        <v>9</v>
      </c>
      <c r="O737" s="0" t="n">
        <f aca="false">VLOOKUP(B737,'Team Data'!$A$1:$P$133,2,FALSE())</f>
        <v>8</v>
      </c>
      <c r="P737" s="0" t="n">
        <f aca="false">VLOOKUP(B737,'Team Data'!$A$1:$P$133,3,FALSE())</f>
        <v>5</v>
      </c>
      <c r="Q737" s="0" t="n">
        <f aca="false">VLOOKUP(A737,'Team Data'!$A$1:$P$133,4,FALSE())</f>
        <v>73</v>
      </c>
      <c r="R737" s="0" t="n">
        <f aca="false">VLOOKUP(A737,'Team Data'!$A$1:$P$133,5,FALSE())</f>
        <v>186</v>
      </c>
      <c r="S737" s="0" t="n">
        <f aca="false">VLOOKUP(B737,'Team Data'!$A$1:$P$133,4,FALSE())</f>
        <v>83</v>
      </c>
      <c r="T737" s="0" t="n">
        <f aca="false">VLOOKUP(B737,'Team Data'!$A$1:$P$133,5,FALSE())</f>
        <v>84</v>
      </c>
      <c r="U737" s="0" t="n">
        <f aca="false">IF(K737=1,(MIN(35,(C737-D737)))*(O737/(O737+P737))*(S737/(S737+T737)),(MAX(-35,(C737-D737)))*(IF(P737=0,0.1,(P737/(O737+P737))))*(T737/(S737+T737)))</f>
        <v>-1.35421464762782</v>
      </c>
      <c r="V737" s="0" t="n">
        <f aca="false">IF(L737=1,(MIN(35,(D737-C737)))*(M737/(M737+N737))*(Q737/(Q737+R737)),(MAX(-35,(D737-C737)))*(IF(N737=0,0.1,(N737/(M737+N737))))*(R737/(R737+Q737)))</f>
        <v>0.493243243243243</v>
      </c>
    </row>
    <row r="738" customFormat="false" ht="15" hidden="false" customHeight="false" outlineLevel="0" collapsed="false">
      <c r="A738" s="0" t="s">
        <v>95</v>
      </c>
      <c r="B738" s="0" t="s">
        <v>121</v>
      </c>
      <c r="C738" s="0" t="n">
        <v>41</v>
      </c>
      <c r="D738" s="0" t="n">
        <v>23</v>
      </c>
      <c r="E738" s="0" t="n">
        <v>273</v>
      </c>
      <c r="F738" s="0" t="n">
        <v>179</v>
      </c>
      <c r="G738" s="0" t="n">
        <v>280</v>
      </c>
      <c r="H738" s="0" t="n">
        <v>202</v>
      </c>
      <c r="I738" s="0" t="n">
        <v>0</v>
      </c>
      <c r="J738" s="0" t="n">
        <v>1</v>
      </c>
      <c r="K738" s="0" t="n">
        <v>1</v>
      </c>
      <c r="L738" s="0" t="n">
        <v>0</v>
      </c>
      <c r="M738" s="0" t="n">
        <f aca="false">VLOOKUP(A738,'Team Data'!$A$1:$P$133,2,FALSE())</f>
        <v>7</v>
      </c>
      <c r="N738" s="0" t="n">
        <f aca="false">VLOOKUP(A738,'Team Data'!$A$1:$P$133,3,FALSE())</f>
        <v>6</v>
      </c>
      <c r="O738" s="0" t="n">
        <f aca="false">VLOOKUP(B738,'Team Data'!$A$1:$P$133,2,FALSE())</f>
        <v>1</v>
      </c>
      <c r="P738" s="0" t="n">
        <f aca="false">VLOOKUP(B738,'Team Data'!$A$1:$P$133,3,FALSE())</f>
        <v>11</v>
      </c>
      <c r="Q738" s="0" t="n">
        <f aca="false">VLOOKUP(A738,'Team Data'!$A$1:$P$133,4,FALSE())</f>
        <v>99</v>
      </c>
      <c r="R738" s="0" t="n">
        <f aca="false">VLOOKUP(A738,'Team Data'!$A$1:$P$133,5,FALSE())</f>
        <v>179</v>
      </c>
      <c r="S738" s="0" t="n">
        <f aca="false">VLOOKUP(B738,'Team Data'!$A$1:$P$133,4,FALSE())</f>
        <v>91</v>
      </c>
      <c r="T738" s="0" t="n">
        <f aca="false">VLOOKUP(B738,'Team Data'!$A$1:$P$133,5,FALSE())</f>
        <v>172</v>
      </c>
      <c r="U738" s="0" t="n">
        <f aca="false">IF(K738=1,(MIN(35,(C738-D738)))*(O738/(O738+P738))*(S738/(S738+T738)),(MAX(-35,(C738-D738)))*(IF(P738=0,0.1,(P738/(O738+P738))))*(T738/(S738+T738)))</f>
        <v>0.519011406844107</v>
      </c>
      <c r="V738" s="0" t="n">
        <f aca="false">IF(L738=1,(MIN(35,(D738-C738)))*(M738/(M738+N738))*(Q738/(Q738+R738)),(MAX(-35,(D738-C738)))*(IF(N738=0,0.1,(N738/(M738+N738))))*(R738/(R738+Q738)))</f>
        <v>-5.3491975650249</v>
      </c>
    </row>
    <row r="739" customFormat="false" ht="15" hidden="false" customHeight="false" outlineLevel="0" collapsed="false">
      <c r="A739" s="0" t="s">
        <v>115</v>
      </c>
      <c r="B739" s="0" t="s">
        <v>112</v>
      </c>
      <c r="C739" s="0" t="n">
        <v>38</v>
      </c>
      <c r="D739" s="0" t="n">
        <v>31</v>
      </c>
      <c r="E739" s="0" t="n">
        <v>336</v>
      </c>
      <c r="F739" s="0" t="n">
        <v>155</v>
      </c>
      <c r="G739" s="0" t="n">
        <v>132</v>
      </c>
      <c r="H739" s="0" t="n">
        <v>236</v>
      </c>
      <c r="I739" s="0" t="n">
        <v>0</v>
      </c>
      <c r="J739" s="0" t="n">
        <v>2</v>
      </c>
      <c r="K739" s="0" t="n">
        <v>1</v>
      </c>
      <c r="L739" s="0" t="n">
        <v>0</v>
      </c>
      <c r="M739" s="0" t="n">
        <f aca="false">VLOOKUP(A739,'Team Data'!$A$1:$P$133,2,FALSE())</f>
        <v>9</v>
      </c>
      <c r="N739" s="0" t="n">
        <f aca="false">VLOOKUP(A739,'Team Data'!$A$1:$P$133,3,FALSE())</f>
        <v>5</v>
      </c>
      <c r="O739" s="0" t="n">
        <f aca="false">VLOOKUP(B739,'Team Data'!$A$1:$P$133,2,FALSE())</f>
        <v>12</v>
      </c>
      <c r="P739" s="0" t="n">
        <f aca="false">VLOOKUP(B739,'Team Data'!$A$1:$P$133,3,FALSE())</f>
        <v>2</v>
      </c>
      <c r="Q739" s="0" t="n">
        <f aca="false">VLOOKUP(A739,'Team Data'!$A$1:$P$133,4,FALSE())</f>
        <v>98</v>
      </c>
      <c r="R739" s="0" t="n">
        <f aca="false">VLOOKUP(A739,'Team Data'!$A$1:$P$133,5,FALSE())</f>
        <v>188</v>
      </c>
      <c r="S739" s="0" t="n">
        <f aca="false">VLOOKUP(B739,'Team Data'!$A$1:$P$133,4,FALSE())</f>
        <v>100</v>
      </c>
      <c r="T739" s="0" t="n">
        <f aca="false">VLOOKUP(B739,'Team Data'!$A$1:$P$133,5,FALSE())</f>
        <v>190</v>
      </c>
      <c r="U739" s="0" t="n">
        <f aca="false">IF(K739=1,(MIN(35,(C739-D739)))*(O739/(O739+P739))*(S739/(S739+T739)),(MAX(-35,(C739-D739)))*(IF(P739=0,0.1,(P739/(O739+P739))))*(T739/(S739+T739)))</f>
        <v>2.06896551724138</v>
      </c>
      <c r="V739" s="0" t="n">
        <f aca="false">IF(L739=1,(MIN(35,(D739-C739)))*(M739/(M739+N739))*(Q739/(Q739+R739)),(MAX(-35,(D739-C739)))*(IF(N739=0,0.1,(N739/(M739+N739))))*(R739/(R739+Q739)))</f>
        <v>-1.64335664335664</v>
      </c>
    </row>
    <row r="740" customFormat="false" ht="15" hidden="false" customHeight="false" outlineLevel="0" collapsed="false">
      <c r="A740" s="0" t="s">
        <v>17</v>
      </c>
      <c r="B740" s="0" t="s">
        <v>110</v>
      </c>
      <c r="C740" s="0" t="n">
        <v>21</v>
      </c>
      <c r="D740" s="0" t="n">
        <v>28</v>
      </c>
      <c r="E740" s="0" t="n">
        <v>187</v>
      </c>
      <c r="F740" s="0" t="n">
        <v>136</v>
      </c>
      <c r="G740" s="0" t="n">
        <v>94</v>
      </c>
      <c r="H740" s="0" t="n">
        <v>301</v>
      </c>
      <c r="I740" s="0" t="n">
        <v>1</v>
      </c>
      <c r="J740" s="0" t="n">
        <v>1</v>
      </c>
      <c r="K740" s="0" t="n">
        <v>0</v>
      </c>
      <c r="L740" s="0" t="n">
        <v>1</v>
      </c>
      <c r="M740" s="0" t="n">
        <f aca="false">VLOOKUP(A740,'Team Data'!$A$1:$P$133,2,FALSE())</f>
        <v>5</v>
      </c>
      <c r="N740" s="0" t="n">
        <f aca="false">VLOOKUP(A740,'Team Data'!$A$1:$P$133,3,FALSE())</f>
        <v>7</v>
      </c>
      <c r="O740" s="0" t="n">
        <f aca="false">VLOOKUP(B740,'Team Data'!$A$1:$P$133,2,FALSE())</f>
        <v>9</v>
      </c>
      <c r="P740" s="0" t="n">
        <f aca="false">VLOOKUP(B740,'Team Data'!$A$1:$P$133,3,FALSE())</f>
        <v>5</v>
      </c>
      <c r="Q740" s="0" t="n">
        <f aca="false">VLOOKUP(A740,'Team Data'!$A$1:$P$133,4,FALSE())</f>
        <v>82</v>
      </c>
      <c r="R740" s="0" t="n">
        <f aca="false">VLOOKUP(A740,'Team Data'!$A$1:$P$133,5,FALSE())</f>
        <v>179</v>
      </c>
      <c r="S740" s="0" t="n">
        <f aca="false">VLOOKUP(B740,'Team Data'!$A$1:$P$133,4,FALSE())</f>
        <v>89</v>
      </c>
      <c r="T740" s="0" t="n">
        <f aca="false">VLOOKUP(B740,'Team Data'!$A$1:$P$133,5,FALSE())</f>
        <v>195</v>
      </c>
      <c r="U740" s="0" t="n">
        <f aca="false">IF(K740=1,(MIN(35,(C740-D740)))*(O740/(O740+P740))*(S740/(S740+T740)),(MAX(-35,(C740-D740)))*(IF(P740=0,0.1,(P740/(O740+P740))))*(T740/(S740+T740)))</f>
        <v>-1.71654929577465</v>
      </c>
      <c r="V740" s="0" t="n">
        <f aca="false">IF(L740=1,(MIN(35,(D740-C740)))*(M740/(M740+N740))*(Q740/(Q740+R740)),(MAX(-35,(D740-C740)))*(IF(N740=0,0.1,(N740/(M740+N740))))*(R740/(R740+Q740)))</f>
        <v>0.916347381864623</v>
      </c>
    </row>
    <row r="741" customFormat="false" ht="15" hidden="false" customHeight="false" outlineLevel="0" collapsed="false">
      <c r="A741" s="0" t="s">
        <v>33</v>
      </c>
      <c r="B741" s="0" t="s">
        <v>7</v>
      </c>
      <c r="C741" s="0" t="n">
        <v>34</v>
      </c>
      <c r="D741" s="0" t="n">
        <v>28</v>
      </c>
      <c r="E741" s="0" t="n">
        <v>155</v>
      </c>
      <c r="F741" s="0" t="n">
        <v>163</v>
      </c>
      <c r="G741" s="0" t="n">
        <v>190</v>
      </c>
      <c r="H741" s="0" t="n">
        <v>223</v>
      </c>
      <c r="I741" s="0" t="n">
        <v>1</v>
      </c>
      <c r="J741" s="0" t="n">
        <v>3</v>
      </c>
      <c r="K741" s="0" t="n">
        <v>1</v>
      </c>
      <c r="L741" s="0" t="n">
        <v>0</v>
      </c>
      <c r="M741" s="0" t="n">
        <f aca="false">VLOOKUP(A741,'Team Data'!$A$1:$P$133,2,FALSE())</f>
        <v>9</v>
      </c>
      <c r="N741" s="0" t="n">
        <f aca="false">VLOOKUP(A741,'Team Data'!$A$1:$P$133,3,FALSE())</f>
        <v>4</v>
      </c>
      <c r="O741" s="0" t="n">
        <f aca="false">VLOOKUP(B741,'Team Data'!$A$1:$P$133,2,FALSE())</f>
        <v>2</v>
      </c>
      <c r="P741" s="0" t="n">
        <f aca="false">VLOOKUP(B741,'Team Data'!$A$1:$P$133,3,FALSE())</f>
        <v>10</v>
      </c>
      <c r="Q741" s="0" t="n">
        <f aca="false">VLOOKUP(A741,'Team Data'!$A$1:$P$133,4,FALSE())</f>
        <v>65</v>
      </c>
      <c r="R741" s="0" t="n">
        <f aca="false">VLOOKUP(A741,'Team Data'!$A$1:$P$133,5,FALSE())</f>
        <v>203</v>
      </c>
      <c r="S741" s="0" t="n">
        <f aca="false">VLOOKUP(B741,'Team Data'!$A$1:$P$133,4,FALSE())</f>
        <v>82</v>
      </c>
      <c r="T741" s="0" t="n">
        <f aca="false">VLOOKUP(B741,'Team Data'!$A$1:$P$133,5,FALSE())</f>
        <v>178</v>
      </c>
      <c r="U741" s="0" t="n">
        <f aca="false">IF(K741=1,(MIN(35,(C741-D741)))*(O741/(O741+P741))*(S741/(S741+T741)),(MAX(-35,(C741-D741)))*(IF(P741=0,0.1,(P741/(O741+P741))))*(T741/(S741+T741)))</f>
        <v>0.315384615384615</v>
      </c>
      <c r="V741" s="0" t="n">
        <f aca="false">IF(L741=1,(MIN(35,(D741-C741)))*(M741/(M741+N741))*(Q741/(Q741+R741)),(MAX(-35,(D741-C741)))*(IF(N741=0,0.1,(N741/(M741+N741))))*(R741/(R741+Q741)))</f>
        <v>-1.398392652124</v>
      </c>
    </row>
    <row r="742" customFormat="false" ht="15" hidden="false" customHeight="false" outlineLevel="0" collapsed="false">
      <c r="A742" s="0" t="s">
        <v>82</v>
      </c>
      <c r="B742" s="0" t="s">
        <v>64</v>
      </c>
      <c r="C742" s="0" t="n">
        <v>37</v>
      </c>
      <c r="D742" s="0" t="n">
        <v>21</v>
      </c>
      <c r="E742" s="0" t="n">
        <v>194</v>
      </c>
      <c r="F742" s="0" t="n">
        <v>69</v>
      </c>
      <c r="G742" s="0" t="n">
        <v>362</v>
      </c>
      <c r="H742" s="0" t="n">
        <v>244</v>
      </c>
      <c r="I742" s="0" t="n">
        <v>0</v>
      </c>
      <c r="J742" s="0" t="n">
        <v>0</v>
      </c>
      <c r="K742" s="0" t="n">
        <v>1</v>
      </c>
      <c r="L742" s="0" t="n">
        <v>0</v>
      </c>
      <c r="M742" s="0" t="n">
        <f aca="false">VLOOKUP(A742,'Team Data'!$A$1:$P$133,2,FALSE())</f>
        <v>10</v>
      </c>
      <c r="N742" s="0" t="n">
        <f aca="false">VLOOKUP(A742,'Team Data'!$A$1:$P$133,3,FALSE())</f>
        <v>4</v>
      </c>
      <c r="O742" s="0" t="n">
        <f aca="false">VLOOKUP(B742,'Team Data'!$A$1:$P$133,2,FALSE())</f>
        <v>6</v>
      </c>
      <c r="P742" s="0" t="n">
        <f aca="false">VLOOKUP(B742,'Team Data'!$A$1:$P$133,3,FALSE())</f>
        <v>7</v>
      </c>
      <c r="Q742" s="0" t="n">
        <f aca="false">VLOOKUP(A742,'Team Data'!$A$1:$P$133,4,FALSE())</f>
        <v>83</v>
      </c>
      <c r="R742" s="0" t="n">
        <f aca="false">VLOOKUP(A742,'Team Data'!$A$1:$P$133,5,FALSE())</f>
        <v>200</v>
      </c>
      <c r="S742" s="0" t="n">
        <f aca="false">VLOOKUP(B742,'Team Data'!$A$1:$P$133,4,FALSE())</f>
        <v>75</v>
      </c>
      <c r="T742" s="0" t="n">
        <f aca="false">VLOOKUP(B742,'Team Data'!$A$1:$P$133,5,FALSE())</f>
        <v>196</v>
      </c>
      <c r="U742" s="0" t="n">
        <f aca="false">IF(K742=1,(MIN(35,(C742-D742)))*(O742/(O742+P742))*(S742/(S742+T742)),(MAX(-35,(C742-D742)))*(IF(P742=0,0.1,(P742/(O742+P742))))*(T742/(S742+T742)))</f>
        <v>2.04371274481976</v>
      </c>
      <c r="V742" s="0" t="n">
        <f aca="false">IF(L742=1,(MIN(35,(D742-C742)))*(M742/(M742+N742))*(Q742/(Q742+R742)),(MAX(-35,(D742-C742)))*(IF(N742=0,0.1,(N742/(M742+N742))))*(R742/(R742+Q742)))</f>
        <v>-3.23069156991418</v>
      </c>
    </row>
    <row r="743" customFormat="false" ht="15" hidden="false" customHeight="false" outlineLevel="0" collapsed="false">
      <c r="A743" s="0" t="s">
        <v>79</v>
      </c>
      <c r="B743" s="0" t="s">
        <v>134</v>
      </c>
      <c r="C743" s="0" t="n">
        <v>24</v>
      </c>
      <c r="D743" s="0" t="n">
        <v>21</v>
      </c>
      <c r="E743" s="0" t="n">
        <v>220</v>
      </c>
      <c r="F743" s="0" t="n">
        <v>131</v>
      </c>
      <c r="G743" s="0" t="n">
        <v>133</v>
      </c>
      <c r="H743" s="0" t="n">
        <v>185</v>
      </c>
      <c r="I743" s="0" t="n">
        <v>3</v>
      </c>
      <c r="J743" s="0" t="n">
        <v>2</v>
      </c>
      <c r="K743" s="0" t="n">
        <v>1</v>
      </c>
      <c r="L743" s="0" t="n">
        <v>0</v>
      </c>
      <c r="M743" s="0" t="n">
        <f aca="false">VLOOKUP(A743,'Team Data'!$A$1:$P$133,2,FALSE())</f>
        <v>3</v>
      </c>
      <c r="N743" s="0" t="n">
        <f aca="false">VLOOKUP(A743,'Team Data'!$A$1:$P$133,3,FALSE())</f>
        <v>9</v>
      </c>
      <c r="O743" s="0" t="n">
        <f aca="false">VLOOKUP(B743,'Team Data'!$A$1:$P$133,2,FALSE())</f>
        <v>5</v>
      </c>
      <c r="P743" s="0" t="n">
        <f aca="false">VLOOKUP(B743,'Team Data'!$A$1:$P$133,3,FALSE())</f>
        <v>7</v>
      </c>
      <c r="Q743" s="0" t="n">
        <f aca="false">VLOOKUP(A743,'Team Data'!$A$1:$P$133,4,FALSE())</f>
        <v>75</v>
      </c>
      <c r="R743" s="0" t="n">
        <f aca="false">VLOOKUP(A743,'Team Data'!$A$1:$P$133,5,FALSE())</f>
        <v>184</v>
      </c>
      <c r="S743" s="0" t="n">
        <f aca="false">VLOOKUP(B743,'Team Data'!$A$1:$P$133,4,FALSE())</f>
        <v>81</v>
      </c>
      <c r="T743" s="0" t="n">
        <f aca="false">VLOOKUP(B743,'Team Data'!$A$1:$P$133,5,FALSE())</f>
        <v>179</v>
      </c>
      <c r="U743" s="0" t="n">
        <f aca="false">IF(K743=1,(MIN(35,(C743-D743)))*(O743/(O743+P743))*(S743/(S743+T743)),(MAX(-35,(C743-D743)))*(IF(P743=0,0.1,(P743/(O743+P743))))*(T743/(S743+T743)))</f>
        <v>0.389423076923077</v>
      </c>
      <c r="V743" s="0" t="n">
        <f aca="false">IF(L743=1,(MIN(35,(D743-C743)))*(M743/(M743+N743))*(Q743/(Q743+R743)),(MAX(-35,(D743-C743)))*(IF(N743=0,0.1,(N743/(M743+N743))))*(R743/(R743+Q743)))</f>
        <v>-1.5984555984556</v>
      </c>
    </row>
    <row r="744" customFormat="false" ht="15" hidden="false" customHeight="false" outlineLevel="0" collapsed="false">
      <c r="A744" s="0" t="s">
        <v>22</v>
      </c>
      <c r="B744" s="0" t="s">
        <v>24</v>
      </c>
      <c r="C744" s="0" t="n">
        <v>27</v>
      </c>
      <c r="D744" s="0" t="n">
        <v>31</v>
      </c>
      <c r="E744" s="0" t="n">
        <v>240</v>
      </c>
      <c r="F744" s="0" t="n">
        <v>303</v>
      </c>
      <c r="G744" s="0" t="n">
        <v>191</v>
      </c>
      <c r="H744" s="0" t="n">
        <v>117</v>
      </c>
      <c r="I744" s="0" t="n">
        <v>1</v>
      </c>
      <c r="J744" s="0" t="n">
        <v>1</v>
      </c>
      <c r="K744" s="0" t="n">
        <v>0</v>
      </c>
      <c r="L744" s="0" t="n">
        <v>1</v>
      </c>
      <c r="M744" s="0" t="n">
        <f aca="false">VLOOKUP(A744,'Team Data'!$A$1:$P$133,2,FALSE())</f>
        <v>7</v>
      </c>
      <c r="N744" s="0" t="n">
        <f aca="false">VLOOKUP(A744,'Team Data'!$A$1:$P$133,3,FALSE())</f>
        <v>6</v>
      </c>
      <c r="O744" s="0" t="n">
        <f aca="false">VLOOKUP(B744,'Team Data'!$A$1:$P$133,2,FALSE())</f>
        <v>4</v>
      </c>
      <c r="P744" s="0" t="n">
        <f aca="false">VLOOKUP(B744,'Team Data'!$A$1:$P$133,3,FALSE())</f>
        <v>8</v>
      </c>
      <c r="Q744" s="0" t="n">
        <f aca="false">VLOOKUP(A744,'Team Data'!$A$1:$P$133,4,FALSE())</f>
        <v>83</v>
      </c>
      <c r="R744" s="0" t="n">
        <f aca="false">VLOOKUP(A744,'Team Data'!$A$1:$P$133,5,FALSE())</f>
        <v>191</v>
      </c>
      <c r="S744" s="0" t="n">
        <f aca="false">VLOOKUP(B744,'Team Data'!$A$1:$P$133,4,FALSE())</f>
        <v>82</v>
      </c>
      <c r="T744" s="0" t="n">
        <f aca="false">VLOOKUP(B744,'Team Data'!$A$1:$P$133,5,FALSE())</f>
        <v>178</v>
      </c>
      <c r="U744" s="0" t="n">
        <f aca="false">IF(K744=1,(MIN(35,(C744-D744)))*(O744/(O744+P744))*(S744/(S744+T744)),(MAX(-35,(C744-D744)))*(IF(P744=0,0.1,(P744/(O744+P744))))*(T744/(S744+T744)))</f>
        <v>-1.82564102564103</v>
      </c>
      <c r="V744" s="0" t="n">
        <f aca="false">IF(L744=1,(MIN(35,(D744-C744)))*(M744/(M744+N744))*(Q744/(Q744+R744)),(MAX(-35,(D744-C744)))*(IF(N744=0,0.1,(N744/(M744+N744))))*(R744/(R744+Q744)))</f>
        <v>0.652442448062886</v>
      </c>
    </row>
    <row r="745" customFormat="false" ht="15" hidden="false" customHeight="false" outlineLevel="0" collapsed="false">
      <c r="A745" s="0" t="s">
        <v>52</v>
      </c>
      <c r="B745" s="0" t="s">
        <v>21</v>
      </c>
      <c r="C745" s="0" t="n">
        <v>40</v>
      </c>
      <c r="D745" s="0" t="n">
        <v>6</v>
      </c>
      <c r="E745" s="0" t="n">
        <v>201</v>
      </c>
      <c r="F745" s="0" t="n">
        <v>65</v>
      </c>
      <c r="G745" s="0" t="n">
        <v>214</v>
      </c>
      <c r="H745" s="0" t="n">
        <v>246</v>
      </c>
      <c r="I745" s="0" t="n">
        <v>1</v>
      </c>
      <c r="J745" s="0" t="n">
        <v>3</v>
      </c>
      <c r="K745" s="0" t="n">
        <v>1</v>
      </c>
      <c r="L745" s="0" t="n">
        <v>0</v>
      </c>
      <c r="M745" s="0" t="n">
        <f aca="false">VLOOKUP(A745,'Team Data'!$A$1:$P$133,2,FALSE())</f>
        <v>5</v>
      </c>
      <c r="N745" s="0" t="n">
        <f aca="false">VLOOKUP(A745,'Team Data'!$A$1:$P$133,3,FALSE())</f>
        <v>7</v>
      </c>
      <c r="O745" s="0" t="n">
        <f aca="false">VLOOKUP(B745,'Team Data'!$A$1:$P$133,2,FALSE())</f>
        <v>6</v>
      </c>
      <c r="P745" s="0" t="n">
        <f aca="false">VLOOKUP(B745,'Team Data'!$A$1:$P$133,3,FALSE())</f>
        <v>7</v>
      </c>
      <c r="Q745" s="0" t="n">
        <f aca="false">VLOOKUP(A745,'Team Data'!$A$1:$P$133,4,FALSE())</f>
        <v>94</v>
      </c>
      <c r="R745" s="0" t="n">
        <f aca="false">VLOOKUP(A745,'Team Data'!$A$1:$P$133,5,FALSE())</f>
        <v>171</v>
      </c>
      <c r="S745" s="0" t="n">
        <f aca="false">VLOOKUP(B745,'Team Data'!$A$1:$P$133,4,FALSE())</f>
        <v>90</v>
      </c>
      <c r="T745" s="0" t="n">
        <f aca="false">VLOOKUP(B745,'Team Data'!$A$1:$P$133,5,FALSE())</f>
        <v>184</v>
      </c>
      <c r="U745" s="0" t="n">
        <f aca="false">IF(K745=1,(MIN(35,(C745-D745)))*(O745/(O745+P745))*(S745/(S745+T745)),(MAX(-35,(C745-D745)))*(IF(P745=0,0.1,(P745/(O745+P745))))*(T745/(S745+T745)))</f>
        <v>5.15440763615946</v>
      </c>
      <c r="V745" s="0" t="n">
        <f aca="false">IF(L745=1,(MIN(35,(D745-C745)))*(M745/(M745+N745))*(Q745/(Q745+R745)),(MAX(-35,(D745-C745)))*(IF(N745=0,0.1,(N745/(M745+N745))))*(R745/(R745+Q745)))</f>
        <v>-12.7981132075472</v>
      </c>
    </row>
    <row r="746" customFormat="false" ht="15" hidden="false" customHeight="false" outlineLevel="0" collapsed="false">
      <c r="A746" s="0" t="s">
        <v>40</v>
      </c>
      <c r="B746" s="0" t="s">
        <v>56</v>
      </c>
      <c r="C746" s="0" t="n">
        <v>17</v>
      </c>
      <c r="D746" s="0" t="n">
        <v>36</v>
      </c>
      <c r="E746" s="0" t="n">
        <v>72</v>
      </c>
      <c r="F746" s="0" t="n">
        <v>242</v>
      </c>
      <c r="G746" s="0" t="n">
        <v>358</v>
      </c>
      <c r="H746" s="0" t="n">
        <v>193</v>
      </c>
      <c r="I746" s="0" t="n">
        <v>1</v>
      </c>
      <c r="J746" s="0" t="n">
        <v>1</v>
      </c>
      <c r="K746" s="0" t="n">
        <v>0</v>
      </c>
      <c r="L746" s="0" t="n">
        <v>1</v>
      </c>
      <c r="M746" s="0" t="n">
        <f aca="false">VLOOKUP(A746,'Team Data'!$A$1:$P$133,2,FALSE())</f>
        <v>6</v>
      </c>
      <c r="N746" s="0" t="n">
        <f aca="false">VLOOKUP(A746,'Team Data'!$A$1:$P$133,3,FALSE())</f>
        <v>7</v>
      </c>
      <c r="O746" s="0" t="n">
        <f aca="false">VLOOKUP(B746,'Team Data'!$A$1:$P$133,2,FALSE())</f>
        <v>6</v>
      </c>
      <c r="P746" s="0" t="n">
        <f aca="false">VLOOKUP(B746,'Team Data'!$A$1:$P$133,3,FALSE())</f>
        <v>7</v>
      </c>
      <c r="Q746" s="0" t="n">
        <f aca="false">VLOOKUP(A746,'Team Data'!$A$1:$P$133,4,FALSE())</f>
        <v>86</v>
      </c>
      <c r="R746" s="0" t="n">
        <f aca="false">VLOOKUP(A746,'Team Data'!$A$1:$P$133,5,FALSE())</f>
        <v>183</v>
      </c>
      <c r="S746" s="0" t="n">
        <f aca="false">VLOOKUP(B746,'Team Data'!$A$1:$P$133,4,FALSE())</f>
        <v>95</v>
      </c>
      <c r="T746" s="0" t="n">
        <f aca="false">VLOOKUP(B746,'Team Data'!$A$1:$P$133,5,FALSE())</f>
        <v>179</v>
      </c>
      <c r="U746" s="0" t="n">
        <f aca="false">IF(K746=1,(MIN(35,(C746-D746)))*(O746/(O746+P746))*(S746/(S746+T746)),(MAX(-35,(C746-D746)))*(IF(P746=0,0.1,(P746/(O746+P746))))*(T746/(S746+T746)))</f>
        <v>-6.68360471645143</v>
      </c>
      <c r="V746" s="0" t="n">
        <f aca="false">IF(L746=1,(MIN(35,(D746-C746)))*(M746/(M746+N746))*(Q746/(Q746+R746)),(MAX(-35,(D746-C746)))*(IF(N746=0,0.1,(N746/(M746+N746))))*(R746/(R746+Q746)))</f>
        <v>2.8035458964827</v>
      </c>
    </row>
    <row r="747" customFormat="false" ht="15" hidden="false" customHeight="false" outlineLevel="0" collapsed="false">
      <c r="A747" s="0" t="s">
        <v>100</v>
      </c>
      <c r="B747" s="0" t="s">
        <v>28</v>
      </c>
      <c r="C747" s="0" t="n">
        <v>23</v>
      </c>
      <c r="D747" s="0" t="n">
        <v>26</v>
      </c>
      <c r="E747" s="0" t="n">
        <v>52</v>
      </c>
      <c r="F747" s="0" t="n">
        <v>170</v>
      </c>
      <c r="G747" s="0" t="n">
        <v>313</v>
      </c>
      <c r="H747" s="0" t="n">
        <v>191</v>
      </c>
      <c r="I747" s="0" t="n">
        <v>1</v>
      </c>
      <c r="J747" s="0" t="n">
        <v>2</v>
      </c>
      <c r="K747" s="0" t="n">
        <v>0</v>
      </c>
      <c r="L747" s="0" t="n">
        <v>1</v>
      </c>
      <c r="M747" s="0" t="n">
        <f aca="false">VLOOKUP(A747,'Team Data'!$A$1:$P$133,2,FALSE())</f>
        <v>7</v>
      </c>
      <c r="N747" s="0" t="n">
        <f aca="false">VLOOKUP(A747,'Team Data'!$A$1:$P$133,3,FALSE())</f>
        <v>6</v>
      </c>
      <c r="O747" s="0" t="n">
        <f aca="false">VLOOKUP(B747,'Team Data'!$A$1:$P$133,2,FALSE())</f>
        <v>9</v>
      </c>
      <c r="P747" s="0" t="n">
        <f aca="false">VLOOKUP(B747,'Team Data'!$A$1:$P$133,3,FALSE())</f>
        <v>4</v>
      </c>
      <c r="Q747" s="0" t="n">
        <f aca="false">VLOOKUP(A747,'Team Data'!$A$1:$P$133,4,FALSE())</f>
        <v>90</v>
      </c>
      <c r="R747" s="0" t="n">
        <f aca="false">VLOOKUP(A747,'Team Data'!$A$1:$P$133,5,FALSE())</f>
        <v>183</v>
      </c>
      <c r="S747" s="0" t="n">
        <f aca="false">VLOOKUP(B747,'Team Data'!$A$1:$P$133,4,FALSE())</f>
        <v>88</v>
      </c>
      <c r="T747" s="0" t="n">
        <f aca="false">VLOOKUP(B747,'Team Data'!$A$1:$P$133,5,FALSE())</f>
        <v>182</v>
      </c>
      <c r="U747" s="0" t="n">
        <f aca="false">IF(K747=1,(MIN(35,(C747-D747)))*(O747/(O747+P747))*(S747/(S747+T747)),(MAX(-35,(C747-D747)))*(IF(P747=0,0.1,(P747/(O747+P747))))*(T747/(S747+T747)))</f>
        <v>-0.622222222222222</v>
      </c>
      <c r="V747" s="0" t="n">
        <f aca="false">IF(L747=1,(MIN(35,(D747-C747)))*(M747/(M747+N747))*(Q747/(Q747+R747)),(MAX(-35,(D747-C747)))*(IF(N747=0,0.1,(N747/(M747+N747))))*(R747/(R747+Q747)))</f>
        <v>0.532544378698225</v>
      </c>
    </row>
    <row r="748" customFormat="false" ht="15" hidden="false" customHeight="false" outlineLevel="0" collapsed="false">
      <c r="A748" s="0" t="s">
        <v>58</v>
      </c>
      <c r="B748" s="0" t="s">
        <v>41</v>
      </c>
      <c r="C748" s="0" t="n">
        <v>31</v>
      </c>
      <c r="D748" s="0" t="n">
        <v>28</v>
      </c>
      <c r="E748" s="0" t="n">
        <v>75</v>
      </c>
      <c r="F748" s="0" t="n">
        <v>186</v>
      </c>
      <c r="G748" s="0" t="n">
        <v>225</v>
      </c>
      <c r="H748" s="0" t="n">
        <v>349</v>
      </c>
      <c r="I748" s="0" t="n">
        <v>1</v>
      </c>
      <c r="J748" s="0" t="n">
        <v>2</v>
      </c>
      <c r="K748" s="0" t="n">
        <v>1</v>
      </c>
      <c r="L748" s="0" t="n">
        <v>0</v>
      </c>
      <c r="M748" s="0" t="n">
        <f aca="false">VLOOKUP(A748,'Team Data'!$A$1:$P$133,2,FALSE())</f>
        <v>4</v>
      </c>
      <c r="N748" s="0" t="n">
        <f aca="false">VLOOKUP(A748,'Team Data'!$A$1:$P$133,3,FALSE())</f>
        <v>8</v>
      </c>
      <c r="O748" s="0" t="n">
        <f aca="false">VLOOKUP(B748,'Team Data'!$A$1:$P$133,2,FALSE())</f>
        <v>4</v>
      </c>
      <c r="P748" s="0" t="n">
        <f aca="false">VLOOKUP(B748,'Team Data'!$A$1:$P$133,3,FALSE())</f>
        <v>8</v>
      </c>
      <c r="Q748" s="0" t="n">
        <f aca="false">VLOOKUP(A748,'Team Data'!$A$1:$P$133,4,FALSE())</f>
        <v>88</v>
      </c>
      <c r="R748" s="0" t="n">
        <f aca="false">VLOOKUP(A748,'Team Data'!$A$1:$P$133,5,FALSE())</f>
        <v>172</v>
      </c>
      <c r="S748" s="0" t="n">
        <f aca="false">VLOOKUP(B748,'Team Data'!$A$1:$P$133,4,FALSE())</f>
        <v>78</v>
      </c>
      <c r="T748" s="0" t="n">
        <f aca="false">VLOOKUP(B748,'Team Data'!$A$1:$P$133,5,FALSE())</f>
        <v>72</v>
      </c>
      <c r="U748" s="0" t="n">
        <f aca="false">IF(K748=1,(MIN(35,(C748-D748)))*(O748/(O748+P748))*(S748/(S748+T748)),(MAX(-35,(C748-D748)))*(IF(P748=0,0.1,(P748/(O748+P748))))*(T748/(S748+T748)))</f>
        <v>0.52</v>
      </c>
      <c r="V748" s="0" t="n">
        <f aca="false">IF(L748=1,(MIN(35,(D748-C748)))*(M748/(M748+N748))*(Q748/(Q748+R748)),(MAX(-35,(D748-C748)))*(IF(N748=0,0.1,(N748/(M748+N748))))*(R748/(R748+Q748)))</f>
        <v>-1.32307692307692</v>
      </c>
    </row>
    <row r="749" customFormat="false" ht="15" hidden="false" customHeight="false" outlineLevel="0" collapsed="false">
      <c r="A749" s="0" t="s">
        <v>9</v>
      </c>
      <c r="B749" s="0" t="s">
        <v>60</v>
      </c>
      <c r="C749" s="0" t="n">
        <v>21</v>
      </c>
      <c r="D749" s="0" t="n">
        <v>28</v>
      </c>
      <c r="E749" s="0" t="n">
        <v>116</v>
      </c>
      <c r="F749" s="0" t="n">
        <v>121</v>
      </c>
      <c r="G749" s="0" t="n">
        <v>177</v>
      </c>
      <c r="H749" s="0" t="n">
        <v>220</v>
      </c>
      <c r="I749" s="0" t="n">
        <v>2</v>
      </c>
      <c r="J749" s="0" t="n">
        <v>2</v>
      </c>
      <c r="K749" s="0" t="n">
        <v>0</v>
      </c>
      <c r="L749" s="0" t="n">
        <v>1</v>
      </c>
      <c r="M749" s="0" t="n">
        <f aca="false">VLOOKUP(A749,'Team Data'!$A$1:$P$133,2,FALSE())</f>
        <v>6</v>
      </c>
      <c r="N749" s="0" t="n">
        <f aca="false">VLOOKUP(A749,'Team Data'!$A$1:$P$133,3,FALSE())</f>
        <v>6</v>
      </c>
      <c r="O749" s="0" t="n">
        <f aca="false">VLOOKUP(B749,'Team Data'!$A$1:$P$133,2,FALSE())</f>
        <v>9</v>
      </c>
      <c r="P749" s="0" t="n">
        <f aca="false">VLOOKUP(B749,'Team Data'!$A$1:$P$133,3,FALSE())</f>
        <v>4</v>
      </c>
      <c r="Q749" s="0" t="n">
        <f aca="false">VLOOKUP(A749,'Team Data'!$A$1:$P$133,4,FALSE())</f>
        <v>85</v>
      </c>
      <c r="R749" s="0" t="n">
        <f aca="false">VLOOKUP(A749,'Team Data'!$A$1:$P$133,5,FALSE())</f>
        <v>281</v>
      </c>
      <c r="S749" s="0" t="n">
        <f aca="false">VLOOKUP(B749,'Team Data'!$A$1:$P$133,4,FALSE())</f>
        <v>91</v>
      </c>
      <c r="T749" s="0" t="n">
        <f aca="false">VLOOKUP(B749,'Team Data'!$A$1:$P$133,5,FALSE())</f>
        <v>288</v>
      </c>
      <c r="U749" s="0" t="n">
        <f aca="false">IF(K749=1,(MIN(35,(C749-D749)))*(O749/(O749+P749))*(S749/(S749+T749)),(MAX(-35,(C749-D749)))*(IF(P749=0,0.1,(P749/(O749+P749))))*(T749/(S749+T749)))</f>
        <v>-1.63669575806779</v>
      </c>
      <c r="V749" s="0" t="n">
        <f aca="false">IF(L749=1,(MIN(35,(D749-C749)))*(M749/(M749+N749))*(Q749/(Q749+R749)),(MAX(-35,(D749-C749)))*(IF(N749=0,0.1,(N749/(M749+N749))))*(R749/(R749+Q749)))</f>
        <v>0.812841530054645</v>
      </c>
    </row>
    <row r="750" customFormat="false" ht="15" hidden="false" customHeight="false" outlineLevel="0" collapsed="false">
      <c r="A750" s="0" t="s">
        <v>49</v>
      </c>
      <c r="B750" s="0" t="s">
        <v>86</v>
      </c>
      <c r="C750" s="0" t="n">
        <v>37</v>
      </c>
      <c r="D750" s="0" t="n">
        <v>3</v>
      </c>
      <c r="E750" s="0" t="n">
        <v>187</v>
      </c>
      <c r="F750" s="0" t="n">
        <v>78</v>
      </c>
      <c r="G750" s="0" t="n">
        <v>304</v>
      </c>
      <c r="H750" s="0" t="n">
        <v>149</v>
      </c>
      <c r="I750" s="0" t="n">
        <v>2</v>
      </c>
      <c r="J750" s="0" t="n">
        <v>4</v>
      </c>
      <c r="K750" s="0" t="n">
        <v>1</v>
      </c>
      <c r="L750" s="0" t="n">
        <v>0</v>
      </c>
      <c r="M750" s="0" t="n">
        <f aca="false">VLOOKUP(A750,'Team Data'!$A$1:$P$133,2,FALSE())</f>
        <v>8</v>
      </c>
      <c r="N750" s="0" t="n">
        <f aca="false">VLOOKUP(A750,'Team Data'!$A$1:$P$133,3,FALSE())</f>
        <v>3</v>
      </c>
      <c r="O750" s="0" t="n">
        <f aca="false">VLOOKUP(B750,'Team Data'!$A$1:$P$133,2,FALSE())</f>
        <v>3</v>
      </c>
      <c r="P750" s="0" t="n">
        <f aca="false">VLOOKUP(B750,'Team Data'!$A$1:$P$133,3,FALSE())</f>
        <v>9</v>
      </c>
      <c r="Q750" s="0" t="n">
        <f aca="false">VLOOKUP(A750,'Team Data'!$A$1:$P$133,4,FALSE())</f>
        <v>68</v>
      </c>
      <c r="R750" s="0" t="n">
        <f aca="false">VLOOKUP(A750,'Team Data'!$A$1:$P$133,5,FALSE())</f>
        <v>177</v>
      </c>
      <c r="S750" s="0" t="n">
        <f aca="false">VLOOKUP(B750,'Team Data'!$A$1:$P$133,4,FALSE())</f>
        <v>77</v>
      </c>
      <c r="T750" s="0" t="n">
        <f aca="false">VLOOKUP(B750,'Team Data'!$A$1:$P$133,5,FALSE())</f>
        <v>69</v>
      </c>
      <c r="U750" s="0" t="n">
        <f aca="false">IF(K750=1,(MIN(35,(C750-D750)))*(O750/(O750+P750))*(S750/(S750+T750)),(MAX(-35,(C750-D750)))*(IF(P750=0,0.1,(P750/(O750+P750))))*(T750/(S750+T750)))</f>
        <v>4.48287671232877</v>
      </c>
      <c r="V750" s="0" t="n">
        <f aca="false">IF(L750=1,(MIN(35,(D750-C750)))*(M750/(M750+N750))*(Q750/(Q750+R750)),(MAX(-35,(D750-C750)))*(IF(N750=0,0.1,(N750/(M750+N750))))*(R750/(R750+Q750)))</f>
        <v>-6.69907235621521</v>
      </c>
    </row>
    <row r="751" customFormat="false" ht="15" hidden="false" customHeight="false" outlineLevel="0" collapsed="false">
      <c r="A751" s="0" t="s">
        <v>108</v>
      </c>
      <c r="B751" s="0" t="s">
        <v>98</v>
      </c>
      <c r="C751" s="0" t="n">
        <v>21</v>
      </c>
      <c r="D751" s="0" t="n">
        <v>38</v>
      </c>
      <c r="E751" s="0" t="n">
        <v>87</v>
      </c>
      <c r="F751" s="0" t="n">
        <v>106</v>
      </c>
      <c r="G751" s="0" t="n">
        <v>143</v>
      </c>
      <c r="H751" s="0" t="n">
        <v>274</v>
      </c>
      <c r="I751" s="0" t="n">
        <v>1</v>
      </c>
      <c r="J751" s="0" t="n">
        <v>0</v>
      </c>
      <c r="K751" s="0" t="n">
        <v>0</v>
      </c>
      <c r="L751" s="0" t="n">
        <v>1</v>
      </c>
      <c r="M751" s="0" t="n">
        <f aca="false">VLOOKUP(A751,'Team Data'!$A$1:$P$133,2,FALSE())</f>
        <v>4</v>
      </c>
      <c r="N751" s="0" t="n">
        <f aca="false">VLOOKUP(A751,'Team Data'!$A$1:$P$133,3,FALSE())</f>
        <v>8</v>
      </c>
      <c r="O751" s="0" t="n">
        <f aca="false">VLOOKUP(B751,'Team Data'!$A$1:$P$133,2,FALSE())</f>
        <v>10</v>
      </c>
      <c r="P751" s="0" t="n">
        <f aca="false">VLOOKUP(B751,'Team Data'!$A$1:$P$133,3,FALSE())</f>
        <v>3</v>
      </c>
      <c r="Q751" s="0" t="n">
        <f aca="false">VLOOKUP(A751,'Team Data'!$A$1:$P$133,4,FALSE())</f>
        <v>76</v>
      </c>
      <c r="R751" s="0" t="n">
        <f aca="false">VLOOKUP(A751,'Team Data'!$A$1:$P$133,5,FALSE())</f>
        <v>181</v>
      </c>
      <c r="S751" s="0" t="n">
        <f aca="false">VLOOKUP(B751,'Team Data'!$A$1:$P$133,4,FALSE())</f>
        <v>78</v>
      </c>
      <c r="T751" s="0" t="n">
        <f aca="false">VLOOKUP(B751,'Team Data'!$A$1:$P$133,5,FALSE())</f>
        <v>194</v>
      </c>
      <c r="U751" s="0" t="n">
        <f aca="false">IF(K751=1,(MIN(35,(C751-D751)))*(O751/(O751+P751))*(S751/(S751+T751)),(MAX(-35,(C751-D751)))*(IF(P751=0,0.1,(P751/(O751+P751))))*(T751/(S751+T751)))</f>
        <v>-2.79807692307692</v>
      </c>
      <c r="V751" s="0" t="n">
        <f aca="false">IF(L751=1,(MIN(35,(D751-C751)))*(M751/(M751+N751))*(Q751/(Q751+R751)),(MAX(-35,(D751-C751)))*(IF(N751=0,0.1,(N751/(M751+N751))))*(R751/(R751+Q751)))</f>
        <v>1.6757457846952</v>
      </c>
    </row>
    <row r="752" customFormat="false" ht="15" hidden="false" customHeight="false" outlineLevel="0" collapsed="false">
      <c r="A752" s="0" t="s">
        <v>25</v>
      </c>
      <c r="B752" s="0" t="s">
        <v>67</v>
      </c>
      <c r="C752" s="0" t="n">
        <v>14</v>
      </c>
      <c r="D752" s="0" t="n">
        <v>24</v>
      </c>
      <c r="E752" s="0" t="n">
        <v>106</v>
      </c>
      <c r="F752" s="0" t="n">
        <v>103</v>
      </c>
      <c r="G752" s="0" t="n">
        <v>277</v>
      </c>
      <c r="H752" s="0" t="n">
        <v>203</v>
      </c>
      <c r="I752" s="0" t="n">
        <v>2</v>
      </c>
      <c r="J752" s="0" t="n">
        <v>2</v>
      </c>
      <c r="K752" s="0" t="n">
        <v>0</v>
      </c>
      <c r="L752" s="0" t="n">
        <v>1</v>
      </c>
      <c r="M752" s="0" t="n">
        <f aca="false">VLOOKUP(A752,'Team Data'!$A$1:$P$133,2,FALSE())</f>
        <v>3</v>
      </c>
      <c r="N752" s="0" t="n">
        <f aca="false">VLOOKUP(A752,'Team Data'!$A$1:$P$133,3,FALSE())</f>
        <v>9</v>
      </c>
      <c r="O752" s="0" t="n">
        <f aca="false">VLOOKUP(B752,'Team Data'!$A$1:$P$133,2,FALSE())</f>
        <v>8</v>
      </c>
      <c r="P752" s="0" t="n">
        <f aca="false">VLOOKUP(B752,'Team Data'!$A$1:$P$133,3,FALSE())</f>
        <v>5</v>
      </c>
      <c r="Q752" s="0" t="n">
        <f aca="false">VLOOKUP(A752,'Team Data'!$A$1:$P$133,4,FALSE())</f>
        <v>74</v>
      </c>
      <c r="R752" s="0" t="n">
        <f aca="false">VLOOKUP(A752,'Team Data'!$A$1:$P$133,5,FALSE())</f>
        <v>185</v>
      </c>
      <c r="S752" s="0" t="n">
        <f aca="false">VLOOKUP(B752,'Team Data'!$A$1:$P$133,4,FALSE())</f>
        <v>78</v>
      </c>
      <c r="T752" s="0" t="n">
        <f aca="false">VLOOKUP(B752,'Team Data'!$A$1:$P$133,5,FALSE())</f>
        <v>191</v>
      </c>
      <c r="U752" s="0" t="n">
        <f aca="false">IF(K752=1,(MIN(35,(C752-D752)))*(O752/(O752+P752))*(S752/(S752+T752)),(MAX(-35,(C752-D752)))*(IF(P752=0,0.1,(P752/(O752+P752))))*(T752/(S752+T752)))</f>
        <v>-2.73091221046611</v>
      </c>
      <c r="V752" s="0" t="n">
        <f aca="false">IF(L752=1,(MIN(35,(D752-C752)))*(M752/(M752+N752))*(Q752/(Q752+R752)),(MAX(-35,(D752-C752)))*(IF(N752=0,0.1,(N752/(M752+N752))))*(R752/(R752+Q752)))</f>
        <v>0.714285714285714</v>
      </c>
    </row>
    <row r="753" customFormat="false" ht="15" hidden="false" customHeight="false" outlineLevel="0" collapsed="false">
      <c r="A753" s="0" t="s">
        <v>36</v>
      </c>
      <c r="B753" s="0" t="s">
        <v>34</v>
      </c>
      <c r="C753" s="0" t="n">
        <v>52</v>
      </c>
      <c r="D753" s="0" t="n">
        <v>7</v>
      </c>
      <c r="E753" s="0" t="n">
        <v>281</v>
      </c>
      <c r="F753" s="0" t="n">
        <v>203</v>
      </c>
      <c r="G753" s="0" t="n">
        <v>104</v>
      </c>
      <c r="H753" s="0" t="n">
        <v>74</v>
      </c>
      <c r="I753" s="0" t="n">
        <v>0</v>
      </c>
      <c r="J753" s="0" t="n">
        <v>4</v>
      </c>
      <c r="K753" s="0" t="n">
        <v>1</v>
      </c>
      <c r="L753" s="0" t="n">
        <v>0</v>
      </c>
      <c r="M753" s="0" t="n">
        <f aca="false">VLOOKUP(A753,'Team Data'!$A$1:$P$133,2,FALSE())</f>
        <v>5</v>
      </c>
      <c r="N753" s="0" t="n">
        <f aca="false">VLOOKUP(A753,'Team Data'!$A$1:$P$133,3,FALSE())</f>
        <v>7</v>
      </c>
      <c r="O753" s="0" t="n">
        <f aca="false">VLOOKUP(B753,'Team Data'!$A$1:$P$133,2,FALSE())</f>
        <v>4</v>
      </c>
      <c r="P753" s="0" t="n">
        <f aca="false">VLOOKUP(B753,'Team Data'!$A$1:$P$133,3,FALSE())</f>
        <v>8</v>
      </c>
      <c r="Q753" s="0" t="n">
        <f aca="false">VLOOKUP(A753,'Team Data'!$A$1:$P$133,4,FALSE())</f>
        <v>83</v>
      </c>
      <c r="R753" s="0" t="n">
        <f aca="false">VLOOKUP(A753,'Team Data'!$A$1:$P$133,5,FALSE())</f>
        <v>182</v>
      </c>
      <c r="S753" s="0" t="n">
        <f aca="false">VLOOKUP(B753,'Team Data'!$A$1:$P$133,4,FALSE())</f>
        <v>76</v>
      </c>
      <c r="T753" s="0" t="n">
        <f aca="false">VLOOKUP(B753,'Team Data'!$A$1:$P$133,5,FALSE())</f>
        <v>185</v>
      </c>
      <c r="U753" s="0" t="n">
        <f aca="false">IF(K753=1,(MIN(35,(C753-D753)))*(O753/(O753+P753))*(S753/(S753+T753)),(MAX(-35,(C753-D753)))*(IF(P753=0,0.1,(P753/(O753+P753))))*(T753/(S753+T753)))</f>
        <v>3.39719029374202</v>
      </c>
      <c r="V753" s="0" t="n">
        <f aca="false">IF(L753=1,(MIN(35,(D753-C753)))*(M753/(M753+N753))*(Q753/(Q753+R753)),(MAX(-35,(D753-C753)))*(IF(N753=0,0.1,(N753/(M753+N753))))*(R753/(R753+Q753)))</f>
        <v>-14.0220125786164</v>
      </c>
    </row>
    <row r="754" customFormat="false" ht="15" hidden="false" customHeight="false" outlineLevel="0" collapsed="false">
      <c r="A754" s="0" t="s">
        <v>57</v>
      </c>
      <c r="B754" s="0" t="s">
        <v>123</v>
      </c>
      <c r="C754" s="0" t="n">
        <v>7</v>
      </c>
      <c r="D754" s="0" t="n">
        <v>51</v>
      </c>
      <c r="E754" s="0" t="n">
        <v>112</v>
      </c>
      <c r="F754" s="0" t="n">
        <v>258</v>
      </c>
      <c r="G754" s="0" t="n">
        <v>147</v>
      </c>
      <c r="H754" s="0" t="n">
        <v>226</v>
      </c>
      <c r="I754" s="0" t="n">
        <v>5</v>
      </c>
      <c r="J754" s="0" t="n">
        <v>1</v>
      </c>
      <c r="K754" s="0" t="n">
        <v>0</v>
      </c>
      <c r="L754" s="0" t="n">
        <v>1</v>
      </c>
      <c r="M754" s="0" t="n">
        <f aca="false">VLOOKUP(A754,'Team Data'!$A$1:$P$133,2,FALSE())</f>
        <v>3</v>
      </c>
      <c r="N754" s="0" t="n">
        <f aca="false">VLOOKUP(A754,'Team Data'!$A$1:$P$133,3,FALSE())</f>
        <v>9</v>
      </c>
      <c r="O754" s="0" t="n">
        <f aca="false">VLOOKUP(B754,'Team Data'!$A$1:$P$133,2,FALSE())</f>
        <v>11</v>
      </c>
      <c r="P754" s="0" t="n">
        <f aca="false">VLOOKUP(B754,'Team Data'!$A$1:$P$133,3,FALSE())</f>
        <v>3</v>
      </c>
      <c r="Q754" s="0" t="n">
        <f aca="false">VLOOKUP(A754,'Team Data'!$A$1:$P$133,4,FALSE())</f>
        <v>85</v>
      </c>
      <c r="R754" s="0" t="n">
        <f aca="false">VLOOKUP(A754,'Team Data'!$A$1:$P$133,5,FALSE())</f>
        <v>178</v>
      </c>
      <c r="S754" s="0" t="n">
        <f aca="false">VLOOKUP(B754,'Team Data'!$A$1:$P$133,4,FALSE())</f>
        <v>97</v>
      </c>
      <c r="T754" s="0" t="n">
        <f aca="false">VLOOKUP(B754,'Team Data'!$A$1:$P$133,5,FALSE())</f>
        <v>192</v>
      </c>
      <c r="U754" s="0" t="n">
        <f aca="false">IF(K754=1,(MIN(35,(C754-D754)))*(O754/(O754+P754))*(S754/(S754+T754)),(MAX(-35,(C754-D754)))*(IF(P754=0,0.1,(P754/(O754+P754))))*(T754/(S754+T754)))</f>
        <v>-4.98269896193772</v>
      </c>
      <c r="V754" s="0" t="n">
        <f aca="false">IF(L754=1,(MIN(35,(D754-C754)))*(M754/(M754+N754))*(Q754/(Q754+R754)),(MAX(-35,(D754-C754)))*(IF(N754=0,0.1,(N754/(M754+N754))))*(R754/(R754+Q754)))</f>
        <v>2.82794676806084</v>
      </c>
    </row>
    <row r="755" customFormat="false" ht="15" hidden="false" customHeight="false" outlineLevel="0" collapsed="false">
      <c r="A755" s="0" t="s">
        <v>78</v>
      </c>
      <c r="B755" s="0" t="s">
        <v>114</v>
      </c>
      <c r="C755" s="0" t="n">
        <v>21</v>
      </c>
      <c r="D755" s="0" t="n">
        <v>41</v>
      </c>
      <c r="E755" s="0" t="n">
        <v>105</v>
      </c>
      <c r="F755" s="0" t="n">
        <v>271</v>
      </c>
      <c r="G755" s="0" t="n">
        <v>159</v>
      </c>
      <c r="H755" s="0" t="n">
        <v>234</v>
      </c>
      <c r="I755" s="0" t="n">
        <v>1</v>
      </c>
      <c r="J755" s="0" t="n">
        <v>1</v>
      </c>
      <c r="K755" s="0" t="n">
        <v>0</v>
      </c>
      <c r="L755" s="0" t="n">
        <v>1</v>
      </c>
      <c r="M755" s="0" t="n">
        <f aca="false">VLOOKUP(A755,'Team Data'!$A$1:$P$133,2,FALSE())</f>
        <v>7</v>
      </c>
      <c r="N755" s="0" t="n">
        <f aca="false">VLOOKUP(A755,'Team Data'!$A$1:$P$133,3,FALSE())</f>
        <v>7</v>
      </c>
      <c r="O755" s="0" t="n">
        <f aca="false">VLOOKUP(B755,'Team Data'!$A$1:$P$133,2,FALSE())</f>
        <v>7</v>
      </c>
      <c r="P755" s="0" t="n">
        <f aca="false">VLOOKUP(B755,'Team Data'!$A$1:$P$133,3,FALSE())</f>
        <v>6</v>
      </c>
      <c r="Q755" s="0" t="n">
        <f aca="false">VLOOKUP(A755,'Team Data'!$A$1:$P$133,4,FALSE())</f>
        <v>97</v>
      </c>
      <c r="R755" s="0" t="n">
        <f aca="false">VLOOKUP(A755,'Team Data'!$A$1:$P$133,5,FALSE())</f>
        <v>191</v>
      </c>
      <c r="S755" s="0" t="n">
        <f aca="false">VLOOKUP(B755,'Team Data'!$A$1:$P$133,4,FALSE())</f>
        <v>89</v>
      </c>
      <c r="T755" s="0" t="n">
        <f aca="false">VLOOKUP(B755,'Team Data'!$A$1:$P$133,5,FALSE())</f>
        <v>188</v>
      </c>
      <c r="U755" s="0" t="n">
        <f aca="false">IF(K755=1,(MIN(35,(C755-D755)))*(O755/(O755+P755))*(S755/(S755+T755)),(MAX(-35,(C755-D755)))*(IF(P755=0,0.1,(P755/(O755+P755))))*(T755/(S755+T755)))</f>
        <v>-6.26492640933074</v>
      </c>
      <c r="V755" s="0" t="n">
        <f aca="false">IF(L755=1,(MIN(35,(D755-C755)))*(M755/(M755+N755))*(Q755/(Q755+R755)),(MAX(-35,(D755-C755)))*(IF(N755=0,0.1,(N755/(M755+N755))))*(R755/(R755+Q755)))</f>
        <v>3.36805555555556</v>
      </c>
    </row>
    <row r="756" customFormat="false" ht="15" hidden="false" customHeight="false" outlineLevel="0" collapsed="false">
      <c r="A756" s="0" t="s">
        <v>93</v>
      </c>
      <c r="B756" s="0" t="s">
        <v>133</v>
      </c>
      <c r="C756" s="0" t="n">
        <v>10</v>
      </c>
      <c r="D756" s="0" t="n">
        <v>45</v>
      </c>
      <c r="E756" s="0" t="n">
        <v>165</v>
      </c>
      <c r="F756" s="0" t="n">
        <v>118</v>
      </c>
      <c r="G756" s="0" t="n">
        <v>161</v>
      </c>
      <c r="H756" s="0" t="n">
        <v>377</v>
      </c>
      <c r="I756" s="0" t="n">
        <v>6</v>
      </c>
      <c r="J756" s="0" t="n">
        <v>2</v>
      </c>
      <c r="K756" s="0" t="n">
        <v>0</v>
      </c>
      <c r="L756" s="0" t="n">
        <v>1</v>
      </c>
      <c r="M756" s="0" t="n">
        <f aca="false">VLOOKUP(A756,'Team Data'!$A$1:$P$133,2,FALSE())</f>
        <v>5</v>
      </c>
      <c r="N756" s="0" t="n">
        <f aca="false">VLOOKUP(A756,'Team Data'!$A$1:$P$133,3,FALSE())</f>
        <v>8</v>
      </c>
      <c r="O756" s="0" t="n">
        <f aca="false">VLOOKUP(B756,'Team Data'!$A$1:$P$133,2,FALSE())</f>
        <v>9</v>
      </c>
      <c r="P756" s="0" t="n">
        <f aca="false">VLOOKUP(B756,'Team Data'!$A$1:$P$133,3,FALSE())</f>
        <v>5</v>
      </c>
      <c r="Q756" s="0" t="n">
        <f aca="false">VLOOKUP(A756,'Team Data'!$A$1:$P$133,4,FALSE())</f>
        <v>90</v>
      </c>
      <c r="R756" s="0" t="n">
        <f aca="false">VLOOKUP(A756,'Team Data'!$A$1:$P$133,5,FALSE())</f>
        <v>186</v>
      </c>
      <c r="S756" s="0" t="n">
        <f aca="false">VLOOKUP(B756,'Team Data'!$A$1:$P$133,4,FALSE())</f>
        <v>92</v>
      </c>
      <c r="T756" s="0" t="n">
        <f aca="false">VLOOKUP(B756,'Team Data'!$A$1:$P$133,5,FALSE())</f>
        <v>195</v>
      </c>
      <c r="U756" s="0" t="n">
        <f aca="false">IF(K756=1,(MIN(35,(C756-D756)))*(O756/(O756+P756))*(S756/(S756+T756)),(MAX(-35,(C756-D756)))*(IF(P756=0,0.1,(P756/(O756+P756))))*(T756/(S756+T756)))</f>
        <v>-8.49303135888502</v>
      </c>
      <c r="V756" s="0" t="n">
        <f aca="false">IF(L756=1,(MIN(35,(D756-C756)))*(M756/(M756+N756))*(Q756/(Q756+R756)),(MAX(-35,(D756-C756)))*(IF(N756=0,0.1,(N756/(M756+N756))))*(R756/(R756+Q756)))</f>
        <v>4.38963210702341</v>
      </c>
    </row>
    <row r="757" customFormat="false" ht="15" hidden="false" customHeight="false" outlineLevel="0" collapsed="false">
      <c r="A757" s="0" t="s">
        <v>198</v>
      </c>
      <c r="B757" s="0" t="s">
        <v>8</v>
      </c>
      <c r="C757" s="0" t="n">
        <v>0</v>
      </c>
      <c r="D757" s="0" t="n">
        <v>34</v>
      </c>
      <c r="E757" s="0" t="n">
        <v>59</v>
      </c>
      <c r="F757" s="0" t="n">
        <v>263</v>
      </c>
      <c r="G757" s="0" t="n">
        <v>147</v>
      </c>
      <c r="H757" s="0" t="n">
        <v>264</v>
      </c>
      <c r="I757" s="0" t="n">
        <v>3</v>
      </c>
      <c r="J757" s="0" t="n">
        <v>3</v>
      </c>
      <c r="K757" s="0" t="n">
        <v>0</v>
      </c>
      <c r="L757" s="0" t="n">
        <v>1</v>
      </c>
      <c r="M757" s="0" t="n">
        <f aca="false">VLOOKUP(A757,'Team Data'!$A$1:$P$133,2,FALSE())</f>
        <v>8</v>
      </c>
      <c r="N757" s="0" t="n">
        <f aca="false">VLOOKUP(A757,'Team Data'!$A$1:$P$133,3,FALSE())</f>
        <v>112</v>
      </c>
      <c r="O757" s="0" t="n">
        <f aca="false">VLOOKUP(B757,'Team Data'!$A$1:$P$133,2,FALSE())</f>
        <v>11</v>
      </c>
      <c r="P757" s="0" t="n">
        <f aca="false">VLOOKUP(B757,'Team Data'!$A$1:$P$133,3,FALSE())</f>
        <v>2</v>
      </c>
      <c r="Q757" s="0" t="n">
        <f aca="false">VLOOKUP(A757,'Team Data'!$A$1:$P$133,4,FALSE())</f>
        <v>805</v>
      </c>
      <c r="R757" s="0" t="n">
        <f aca="false">VLOOKUP(A757,'Team Data'!$A$1:$P$133,5,FALSE())</f>
        <v>725</v>
      </c>
      <c r="S757" s="0" t="n">
        <f aca="false">VLOOKUP(B757,'Team Data'!$A$1:$P$133,4,FALSE())</f>
        <v>96</v>
      </c>
      <c r="T757" s="0" t="n">
        <f aca="false">VLOOKUP(B757,'Team Data'!$A$1:$P$133,5,FALSE())</f>
        <v>178</v>
      </c>
      <c r="U757" s="0" t="n">
        <f aca="false">IF(K757=1,(MIN(35,(C757-D757)))*(O757/(O757+P757))*(S757/(S757+T757)),(MAX(-35,(C757-D757)))*(IF(P757=0,0.1,(P757/(O757+P757))))*(T757/(S757+T757)))</f>
        <v>-3.39809096013476</v>
      </c>
      <c r="V757" s="0" t="n">
        <f aca="false">IF(L757=1,(MIN(35,(D757-C757)))*(M757/(M757+N757))*(Q757/(Q757+R757)),(MAX(-35,(D757-C757)))*(IF(N757=0,0.1,(N757/(M757+N757))))*(R757/(R757+Q757)))</f>
        <v>1.19259259259259</v>
      </c>
    </row>
    <row r="758" customFormat="false" ht="15" hidden="false" customHeight="false" outlineLevel="0" collapsed="false">
      <c r="A758" s="0" t="s">
        <v>87</v>
      </c>
      <c r="B758" s="0" t="s">
        <v>12</v>
      </c>
      <c r="C758" s="0" t="n">
        <v>27</v>
      </c>
      <c r="D758" s="0" t="n">
        <v>42</v>
      </c>
      <c r="E758" s="0" t="n">
        <v>463</v>
      </c>
      <c r="F758" s="0" t="n">
        <v>335</v>
      </c>
      <c r="G758" s="0" t="n">
        <v>240</v>
      </c>
      <c r="H758" s="0" t="n">
        <v>168</v>
      </c>
      <c r="I758" s="0" t="n">
        <v>3</v>
      </c>
      <c r="J758" s="0" t="n">
        <v>0</v>
      </c>
      <c r="K758" s="0" t="n">
        <v>0</v>
      </c>
      <c r="L758" s="0" t="n">
        <v>1</v>
      </c>
      <c r="M758" s="0" t="n">
        <f aca="false">VLOOKUP(A758,'Team Data'!$A$1:$P$133,2,FALSE())</f>
        <v>8</v>
      </c>
      <c r="N758" s="0" t="n">
        <f aca="false">VLOOKUP(A758,'Team Data'!$A$1:$P$133,3,FALSE())</f>
        <v>5</v>
      </c>
      <c r="O758" s="0" t="n">
        <f aca="false">VLOOKUP(B758,'Team Data'!$A$1:$P$133,2,FALSE())</f>
        <v>7</v>
      </c>
      <c r="P758" s="0" t="n">
        <f aca="false">VLOOKUP(B758,'Team Data'!$A$1:$P$133,3,FALSE())</f>
        <v>6</v>
      </c>
      <c r="Q758" s="0" t="n">
        <f aca="false">VLOOKUP(A758,'Team Data'!$A$1:$P$133,4,FALSE())</f>
        <v>97</v>
      </c>
      <c r="R758" s="0" t="n">
        <f aca="false">VLOOKUP(A758,'Team Data'!$A$1:$P$133,5,FALSE())</f>
        <v>176</v>
      </c>
      <c r="S758" s="0" t="n">
        <f aca="false">VLOOKUP(B758,'Team Data'!$A$1:$P$133,4,FALSE())</f>
        <v>101</v>
      </c>
      <c r="T758" s="0" t="n">
        <f aca="false">VLOOKUP(B758,'Team Data'!$A$1:$P$133,5,FALSE())</f>
        <v>174</v>
      </c>
      <c r="U758" s="0" t="n">
        <f aca="false">IF(K758=1,(MIN(35,(C758-D758)))*(O758/(O758+P758))*(S758/(S758+T758)),(MAX(-35,(C758-D758)))*(IF(P758=0,0.1,(P758/(O758+P758))))*(T758/(S758+T758)))</f>
        <v>-4.38041958041958</v>
      </c>
      <c r="V758" s="0" t="n">
        <f aca="false">IF(L758=1,(MIN(35,(D758-C758)))*(M758/(M758+N758))*(Q758/(Q758+R758)),(MAX(-35,(D758-C758)))*(IF(N758=0,0.1,(N758/(M758+N758))))*(R758/(R758+Q758)))</f>
        <v>3.27979712595097</v>
      </c>
    </row>
    <row r="759" customFormat="false" ht="15" hidden="false" customHeight="false" outlineLevel="0" collapsed="false">
      <c r="A759" s="0" t="s">
        <v>39</v>
      </c>
      <c r="B759" s="0" t="s">
        <v>53</v>
      </c>
      <c r="C759" s="0" t="n">
        <v>16</v>
      </c>
      <c r="D759" s="0" t="n">
        <v>6</v>
      </c>
      <c r="E759" s="0" t="n">
        <v>247</v>
      </c>
      <c r="F759" s="0" t="n">
        <v>89</v>
      </c>
      <c r="G759" s="0" t="n">
        <v>116</v>
      </c>
      <c r="H759" s="0" t="n">
        <v>206</v>
      </c>
      <c r="I759" s="0" t="n">
        <v>1</v>
      </c>
      <c r="J759" s="0" t="n">
        <v>1</v>
      </c>
      <c r="K759" s="0" t="n">
        <v>1</v>
      </c>
      <c r="L759" s="0" t="n">
        <v>0</v>
      </c>
      <c r="M759" s="0" t="n">
        <f aca="false">VLOOKUP(A759,'Team Data'!$A$1:$P$133,2,FALSE())</f>
        <v>15</v>
      </c>
      <c r="N759" s="0" t="n">
        <f aca="false">VLOOKUP(A759,'Team Data'!$A$1:$P$133,3,FALSE())</f>
        <v>0</v>
      </c>
      <c r="O759" s="0" t="n">
        <f aca="false">VLOOKUP(B759,'Team Data'!$A$1:$P$133,2,FALSE())</f>
        <v>7</v>
      </c>
      <c r="P759" s="0" t="n">
        <f aca="false">VLOOKUP(B759,'Team Data'!$A$1:$P$133,3,FALSE())</f>
        <v>6</v>
      </c>
      <c r="Q759" s="0" t="n">
        <f aca="false">VLOOKUP(A759,'Team Data'!$A$1:$P$133,4,FALSE())</f>
        <v>119</v>
      </c>
      <c r="R759" s="0" t="n">
        <f aca="false">VLOOKUP(A759,'Team Data'!$A$1:$P$133,5,FALSE())</f>
        <v>182</v>
      </c>
      <c r="S759" s="0" t="n">
        <f aca="false">VLOOKUP(B759,'Team Data'!$A$1:$P$133,4,FALSE())</f>
        <v>101</v>
      </c>
      <c r="T759" s="0" t="n">
        <f aca="false">VLOOKUP(B759,'Team Data'!$A$1:$P$133,5,FALSE())</f>
        <v>175</v>
      </c>
      <c r="U759" s="0" t="n">
        <f aca="false">IF(K759=1,(MIN(35,(C759-D759)))*(O759/(O759+P759))*(S759/(S759+T759)),(MAX(-35,(C759-D759)))*(IF(P759=0,0.1,(P759/(O759+P759))))*(T759/(S759+T759)))</f>
        <v>1.97045707915273</v>
      </c>
      <c r="V759" s="0" t="n">
        <f aca="false">IF(L759=1,(MIN(35,(D759-C759)))*(M759/(M759+N759))*(Q759/(Q759+R759)),(MAX(-35,(D759-C759)))*(IF(N759=0,0.1,(N759/(M759+N759))))*(R759/(R759+Q759)))</f>
        <v>-0.604651162790698</v>
      </c>
    </row>
    <row r="760" customFormat="false" ht="15" hidden="false" customHeight="false" outlineLevel="0" collapsed="false">
      <c r="A760" s="0" t="s">
        <v>198</v>
      </c>
      <c r="B760" s="0" t="s">
        <v>69</v>
      </c>
      <c r="C760" s="0" t="n">
        <v>7</v>
      </c>
      <c r="D760" s="0" t="n">
        <v>56</v>
      </c>
      <c r="E760" s="0" t="n">
        <v>111</v>
      </c>
      <c r="F760" s="0" t="n">
        <v>76</v>
      </c>
      <c r="G760" s="0" t="n">
        <v>43</v>
      </c>
      <c r="H760" s="0" t="n">
        <v>342</v>
      </c>
      <c r="I760" s="0" t="n">
        <v>3</v>
      </c>
      <c r="J760" s="0" t="n">
        <v>1</v>
      </c>
      <c r="K760" s="0" t="n">
        <v>0</v>
      </c>
      <c r="L760" s="0" t="n">
        <v>1</v>
      </c>
      <c r="M760" s="0" t="n">
        <f aca="false">VLOOKUP(A760,'Team Data'!$A$1:$P$133,2,FALSE())</f>
        <v>8</v>
      </c>
      <c r="N760" s="0" t="n">
        <f aca="false">VLOOKUP(A760,'Team Data'!$A$1:$P$133,3,FALSE())</f>
        <v>112</v>
      </c>
      <c r="O760" s="0" t="n">
        <f aca="false">VLOOKUP(B760,'Team Data'!$A$1:$P$133,2,FALSE())</f>
        <v>9</v>
      </c>
      <c r="P760" s="0" t="n">
        <f aca="false">VLOOKUP(B760,'Team Data'!$A$1:$P$133,3,FALSE())</f>
        <v>4</v>
      </c>
      <c r="Q760" s="0" t="n">
        <f aca="false">VLOOKUP(A760,'Team Data'!$A$1:$P$133,4,FALSE())</f>
        <v>805</v>
      </c>
      <c r="R760" s="0" t="n">
        <f aca="false">VLOOKUP(A760,'Team Data'!$A$1:$P$133,5,FALSE())</f>
        <v>725</v>
      </c>
      <c r="S760" s="0" t="n">
        <f aca="false">VLOOKUP(B760,'Team Data'!$A$1:$P$133,4,FALSE())</f>
        <v>102</v>
      </c>
      <c r="T760" s="0" t="n">
        <f aca="false">VLOOKUP(B760,'Team Data'!$A$1:$P$133,5,FALSE())</f>
        <v>174</v>
      </c>
      <c r="U760" s="0" t="n">
        <f aca="false">IF(K760=1,(MIN(35,(C760-D760)))*(O760/(O760+P760))*(S760/(S760+T760)),(MAX(-35,(C760-D760)))*(IF(P760=0,0.1,(P760/(O760+P760))))*(T760/(S760+T760)))</f>
        <v>-6.78929765886288</v>
      </c>
      <c r="V760" s="0" t="n">
        <f aca="false">IF(L760=1,(MIN(35,(D760-C760)))*(M760/(M760+N760))*(Q760/(Q760+R760)),(MAX(-35,(D760-C760)))*(IF(N760=0,0.1,(N760/(M760+N760))))*(R760/(R760+Q760)))</f>
        <v>1.2276688453159</v>
      </c>
    </row>
    <row r="761" customFormat="false" ht="15" hidden="false" customHeight="false" outlineLevel="0" collapsed="false">
      <c r="A761" s="0" t="s">
        <v>76</v>
      </c>
      <c r="B761" s="0" t="s">
        <v>70</v>
      </c>
      <c r="C761" s="0" t="n">
        <v>14</v>
      </c>
      <c r="D761" s="0" t="n">
        <v>45</v>
      </c>
      <c r="E761" s="0" t="n">
        <v>144</v>
      </c>
      <c r="F761" s="0" t="n">
        <v>182</v>
      </c>
      <c r="G761" s="0" t="n">
        <v>115</v>
      </c>
      <c r="H761" s="0" t="n">
        <v>261</v>
      </c>
      <c r="I761" s="0" t="n">
        <v>2</v>
      </c>
      <c r="J761" s="0" t="n">
        <v>1</v>
      </c>
      <c r="K761" s="0" t="n">
        <v>0</v>
      </c>
      <c r="L761" s="0" t="n">
        <v>1</v>
      </c>
      <c r="M761" s="0" t="n">
        <f aca="false">VLOOKUP(A761,'Team Data'!$A$1:$P$133,2,FALSE())</f>
        <v>7</v>
      </c>
      <c r="N761" s="0" t="n">
        <f aca="false">VLOOKUP(A761,'Team Data'!$A$1:$P$133,3,FALSE())</f>
        <v>6</v>
      </c>
      <c r="O761" s="0" t="n">
        <f aca="false">VLOOKUP(B761,'Team Data'!$A$1:$P$133,2,FALSE())</f>
        <v>6</v>
      </c>
      <c r="P761" s="0" t="n">
        <f aca="false">VLOOKUP(B761,'Team Data'!$A$1:$P$133,3,FALSE())</f>
        <v>7</v>
      </c>
      <c r="Q761" s="0" t="n">
        <f aca="false">VLOOKUP(A761,'Team Data'!$A$1:$P$133,4,FALSE())</f>
        <v>69</v>
      </c>
      <c r="R761" s="0" t="n">
        <f aca="false">VLOOKUP(A761,'Team Data'!$A$1:$P$133,5,FALSE())</f>
        <v>309</v>
      </c>
      <c r="S761" s="0" t="n">
        <f aca="false">VLOOKUP(B761,'Team Data'!$A$1:$P$133,4,FALSE())</f>
        <v>100</v>
      </c>
      <c r="T761" s="0" t="n">
        <f aca="false">VLOOKUP(B761,'Team Data'!$A$1:$P$133,5,FALSE())</f>
        <v>176</v>
      </c>
      <c r="U761" s="0" t="n">
        <f aca="false">IF(K761=1,(MIN(35,(C761-D761)))*(O761/(O761+P761))*(S761/(S761+T761)),(MAX(-35,(C761-D761)))*(IF(P761=0,0.1,(P761/(O761+P761))))*(T761/(S761+T761)))</f>
        <v>-10.644370122631</v>
      </c>
      <c r="V761" s="0" t="n">
        <f aca="false">IF(L761=1,(MIN(35,(D761-C761)))*(M761/(M761+N761))*(Q761/(Q761+R761)),(MAX(-35,(D761-C761)))*(IF(N761=0,0.1,(N761/(M761+N761))))*(R761/(R761+Q761)))</f>
        <v>3.04700854700855</v>
      </c>
    </row>
    <row r="762" customFormat="false" ht="15" hidden="false" customHeight="false" outlineLevel="0" collapsed="false">
      <c r="A762" s="0" t="s">
        <v>105</v>
      </c>
      <c r="B762" s="0" t="s">
        <v>99</v>
      </c>
      <c r="C762" s="0" t="n">
        <v>38</v>
      </c>
      <c r="D762" s="0" t="n">
        <v>63</v>
      </c>
      <c r="E762" s="0" t="n">
        <v>152</v>
      </c>
      <c r="F762" s="0" t="n">
        <v>153</v>
      </c>
      <c r="G762" s="0" t="n">
        <v>355</v>
      </c>
      <c r="H762" s="0" t="n">
        <v>453</v>
      </c>
      <c r="I762" s="0" t="n">
        <v>1</v>
      </c>
      <c r="J762" s="0" t="n">
        <v>0</v>
      </c>
      <c r="K762" s="0" t="n">
        <v>0</v>
      </c>
      <c r="L762" s="0" t="n">
        <v>1</v>
      </c>
      <c r="M762" s="0" t="n">
        <f aca="false">VLOOKUP(A762,'Team Data'!$A$1:$P$133,2,FALSE())</f>
        <v>11</v>
      </c>
      <c r="N762" s="0" t="n">
        <f aca="false">VLOOKUP(A762,'Team Data'!$A$1:$P$133,3,FALSE())</f>
        <v>2</v>
      </c>
      <c r="O762" s="0" t="n">
        <f aca="false">VLOOKUP(B762,'Team Data'!$A$1:$P$133,2,FALSE())</f>
        <v>8</v>
      </c>
      <c r="P762" s="0" t="n">
        <f aca="false">VLOOKUP(B762,'Team Data'!$A$1:$P$133,3,FALSE())</f>
        <v>5</v>
      </c>
      <c r="Q762" s="0" t="n">
        <f aca="false">VLOOKUP(A762,'Team Data'!$A$1:$P$133,4,FALSE())</f>
        <v>103</v>
      </c>
      <c r="R762" s="0" t="n">
        <f aca="false">VLOOKUP(A762,'Team Data'!$A$1:$P$133,5,FALSE())</f>
        <v>174</v>
      </c>
      <c r="S762" s="0" t="n">
        <f aca="false">VLOOKUP(B762,'Team Data'!$A$1:$P$133,4,FALSE())</f>
        <v>97</v>
      </c>
      <c r="T762" s="0" t="n">
        <f aca="false">VLOOKUP(B762,'Team Data'!$A$1:$P$133,5,FALSE())</f>
        <v>178</v>
      </c>
      <c r="U762" s="0" t="n">
        <f aca="false">IF(K762=1,(MIN(35,(C762-D762)))*(O762/(O762+P762))*(S762/(S762+T762)),(MAX(-35,(C762-D762)))*(IF(P762=0,0.1,(P762/(O762+P762))))*(T762/(S762+T762)))</f>
        <v>-6.22377622377622</v>
      </c>
      <c r="V762" s="0" t="n">
        <f aca="false">IF(L762=1,(MIN(35,(D762-C762)))*(M762/(M762+N762))*(Q762/(Q762+R762)),(MAX(-35,(D762-C762)))*(IF(N762=0,0.1,(N762/(M762+N762))))*(R762/(R762+Q762)))</f>
        <v>7.86587059150236</v>
      </c>
    </row>
    <row r="763" customFormat="false" ht="15" hidden="false" customHeight="false" outlineLevel="0" collapsed="false">
      <c r="A763" s="0" t="s">
        <v>118</v>
      </c>
      <c r="B763" s="0" t="s">
        <v>107</v>
      </c>
      <c r="C763" s="0" t="n">
        <v>3</v>
      </c>
      <c r="D763" s="0" t="n">
        <v>20</v>
      </c>
      <c r="E763" s="0" t="n">
        <v>113</v>
      </c>
      <c r="F763" s="0" t="n">
        <v>213</v>
      </c>
      <c r="G763" s="0" t="n">
        <v>55</v>
      </c>
      <c r="H763" s="0" t="n">
        <v>191</v>
      </c>
      <c r="I763" s="0" t="n">
        <v>1</v>
      </c>
      <c r="J763" s="0" t="n">
        <v>4</v>
      </c>
      <c r="K763" s="0" t="n">
        <v>0</v>
      </c>
      <c r="L763" s="0" t="n">
        <v>1</v>
      </c>
      <c r="M763" s="0" t="n">
        <f aca="false">VLOOKUP(A763,'Team Data'!$A$1:$P$133,2,FALSE())</f>
        <v>1</v>
      </c>
      <c r="N763" s="0" t="n">
        <f aca="false">VLOOKUP(A763,'Team Data'!$A$1:$P$133,3,FALSE())</f>
        <v>11</v>
      </c>
      <c r="O763" s="0" t="n">
        <f aca="false">VLOOKUP(B763,'Team Data'!$A$1:$P$133,2,FALSE())</f>
        <v>5</v>
      </c>
      <c r="P763" s="0" t="n">
        <f aca="false">VLOOKUP(B763,'Team Data'!$A$1:$P$133,3,FALSE())</f>
        <v>7</v>
      </c>
      <c r="Q763" s="0" t="n">
        <f aca="false">VLOOKUP(A763,'Team Data'!$A$1:$P$133,4,FALSE())</f>
        <v>83</v>
      </c>
      <c r="R763" s="0" t="n">
        <f aca="false">VLOOKUP(A763,'Team Data'!$A$1:$P$133,5,FALSE())</f>
        <v>178</v>
      </c>
      <c r="S763" s="0" t="n">
        <f aca="false">VLOOKUP(B763,'Team Data'!$A$1:$P$133,4,FALSE())</f>
        <v>84</v>
      </c>
      <c r="T763" s="0" t="n">
        <f aca="false">VLOOKUP(B763,'Team Data'!$A$1:$P$133,5,FALSE())</f>
        <v>176</v>
      </c>
      <c r="U763" s="0" t="n">
        <f aca="false">IF(K763=1,(MIN(35,(C763-D763)))*(O763/(O763+P763))*(S763/(S763+T763)),(MAX(-35,(C763-D763)))*(IF(P763=0,0.1,(P763/(O763+P763))))*(T763/(S763+T763)))</f>
        <v>-6.71282051282051</v>
      </c>
      <c r="V763" s="0" t="n">
        <f aca="false">IF(L763=1,(MIN(35,(D763-C763)))*(M763/(M763+N763))*(Q763/(Q763+R763)),(MAX(-35,(D763-C763)))*(IF(N763=0,0.1,(N763/(M763+N763))))*(R763/(R763+Q763)))</f>
        <v>0.450510855683269</v>
      </c>
    </row>
    <row r="764" customFormat="false" ht="15" hidden="false" customHeight="false" outlineLevel="0" collapsed="false">
      <c r="A764" s="0" t="s">
        <v>35</v>
      </c>
      <c r="B764" s="0" t="s">
        <v>126</v>
      </c>
      <c r="C764" s="0" t="n">
        <v>24</v>
      </c>
      <c r="D764" s="0" t="n">
        <v>31</v>
      </c>
      <c r="E764" s="0" t="n">
        <v>45</v>
      </c>
      <c r="F764" s="0" t="n">
        <v>175</v>
      </c>
      <c r="G764" s="0" t="n">
        <v>400</v>
      </c>
      <c r="H764" s="0" t="n">
        <v>108</v>
      </c>
      <c r="I764" s="0" t="n">
        <v>2</v>
      </c>
      <c r="J764" s="0" t="n">
        <v>2</v>
      </c>
      <c r="K764" s="0" t="n">
        <v>0</v>
      </c>
      <c r="L764" s="0" t="n">
        <v>1</v>
      </c>
      <c r="M764" s="0" t="n">
        <f aca="false">VLOOKUP(A764,'Team Data'!$A$1:$P$133,2,FALSE())</f>
        <v>6</v>
      </c>
      <c r="N764" s="0" t="n">
        <f aca="false">VLOOKUP(A764,'Team Data'!$A$1:$P$133,3,FALSE())</f>
        <v>7</v>
      </c>
      <c r="O764" s="0" t="n">
        <f aca="false">VLOOKUP(B764,'Team Data'!$A$1:$P$133,2,FALSE())</f>
        <v>5</v>
      </c>
      <c r="P764" s="0" t="n">
        <f aca="false">VLOOKUP(B764,'Team Data'!$A$1:$P$133,3,FALSE())</f>
        <v>7</v>
      </c>
      <c r="Q764" s="0" t="n">
        <f aca="false">VLOOKUP(A764,'Team Data'!$A$1:$P$133,4,FALSE())</f>
        <v>106</v>
      </c>
      <c r="R764" s="0" t="n">
        <f aca="false">VLOOKUP(A764,'Team Data'!$A$1:$P$133,5,FALSE())</f>
        <v>171</v>
      </c>
      <c r="S764" s="0" t="n">
        <f aca="false">VLOOKUP(B764,'Team Data'!$A$1:$P$133,4,FALSE())</f>
        <v>94</v>
      </c>
      <c r="T764" s="0" t="n">
        <f aca="false">VLOOKUP(B764,'Team Data'!$A$1:$P$133,5,FALSE())</f>
        <v>170</v>
      </c>
      <c r="U764" s="0" t="n">
        <f aca="false">IF(K764=1,(MIN(35,(C764-D764)))*(O764/(O764+P764))*(S764/(S764+T764)),(MAX(-35,(C764-D764)))*(IF(P764=0,0.1,(P764/(O764+P764))))*(T764/(S764+T764)))</f>
        <v>-2.62941919191919</v>
      </c>
      <c r="V764" s="0" t="n">
        <f aca="false">IF(L764=1,(MIN(35,(D764-C764)))*(M764/(M764+N764))*(Q764/(Q764+R764)),(MAX(-35,(D764-C764)))*(IF(N764=0,0.1,(N764/(M764+N764))))*(R764/(R764+Q764)))</f>
        <v>1.23632324354346</v>
      </c>
    </row>
    <row r="765" customFormat="false" ht="15" hidden="false" customHeight="false" outlineLevel="0" collapsed="false">
      <c r="A765" s="0" t="s">
        <v>131</v>
      </c>
      <c r="B765" s="0" t="s">
        <v>10</v>
      </c>
      <c r="C765" s="0" t="n">
        <v>31</v>
      </c>
      <c r="D765" s="0" t="n">
        <v>20</v>
      </c>
      <c r="E765" s="0" t="n">
        <v>161</v>
      </c>
      <c r="F765" s="0" t="n">
        <v>84</v>
      </c>
      <c r="G765" s="0" t="n">
        <v>193</v>
      </c>
      <c r="H765" s="0" t="n">
        <v>357</v>
      </c>
      <c r="I765" s="0" t="n">
        <v>1</v>
      </c>
      <c r="J765" s="0" t="n">
        <v>4</v>
      </c>
      <c r="K765" s="0" t="n">
        <v>1</v>
      </c>
      <c r="L765" s="0" t="n">
        <v>0</v>
      </c>
      <c r="M765" s="0" t="n">
        <f aca="false">VLOOKUP(A765,'Team Data'!$A$1:$P$133,2,FALSE())</f>
        <v>7</v>
      </c>
      <c r="N765" s="0" t="n">
        <f aca="false">VLOOKUP(A765,'Team Data'!$A$1:$P$133,3,FALSE())</f>
        <v>6</v>
      </c>
      <c r="O765" s="0" t="n">
        <f aca="false">VLOOKUP(B765,'Team Data'!$A$1:$P$133,2,FALSE())</f>
        <v>5</v>
      </c>
      <c r="P765" s="0" t="n">
        <f aca="false">VLOOKUP(B765,'Team Data'!$A$1:$P$133,3,FALSE())</f>
        <v>7</v>
      </c>
      <c r="Q765" s="0" t="n">
        <f aca="false">VLOOKUP(A765,'Team Data'!$A$1:$P$133,4,FALSE())</f>
        <v>95</v>
      </c>
      <c r="R765" s="0" t="n">
        <f aca="false">VLOOKUP(A765,'Team Data'!$A$1:$P$133,5,FALSE())</f>
        <v>179</v>
      </c>
      <c r="S765" s="0" t="n">
        <f aca="false">VLOOKUP(B765,'Team Data'!$A$1:$P$133,4,FALSE())</f>
        <v>90</v>
      </c>
      <c r="T765" s="0" t="n">
        <f aca="false">VLOOKUP(B765,'Team Data'!$A$1:$P$133,5,FALSE())</f>
        <v>172</v>
      </c>
      <c r="U765" s="0" t="n">
        <f aca="false">IF(K765=1,(MIN(35,(C765-D765)))*(O765/(O765+P765))*(S765/(S765+T765)),(MAX(-35,(C765-D765)))*(IF(P765=0,0.1,(P765/(O765+P765))))*(T765/(S765+T765)))</f>
        <v>1.57442748091603</v>
      </c>
      <c r="V765" s="0" t="n">
        <f aca="false">IF(L765=1,(MIN(35,(D765-C765)))*(M765/(M765+N765))*(Q765/(Q765+R765)),(MAX(-35,(D765-C765)))*(IF(N765=0,0.1,(N765/(M765+N765))))*(R765/(R765+Q765)))</f>
        <v>-3.31667602470522</v>
      </c>
    </row>
    <row r="766" customFormat="false" ht="15" hidden="false" customHeight="false" outlineLevel="0" collapsed="false">
      <c r="A766" s="0" t="s">
        <v>89</v>
      </c>
      <c r="B766" s="0" t="s">
        <v>11</v>
      </c>
      <c r="C766" s="0" t="n">
        <v>31</v>
      </c>
      <c r="D766" s="0" t="n">
        <v>7</v>
      </c>
      <c r="E766" s="0" t="n">
        <v>222</v>
      </c>
      <c r="F766" s="0" t="n">
        <v>154</v>
      </c>
      <c r="G766" s="0" t="n">
        <v>221</v>
      </c>
      <c r="H766" s="0" t="n">
        <v>122</v>
      </c>
      <c r="I766" s="0" t="n">
        <v>0</v>
      </c>
      <c r="J766" s="0" t="n">
        <v>1</v>
      </c>
      <c r="K766" s="0" t="n">
        <v>1</v>
      </c>
      <c r="L766" s="0" t="n">
        <v>0</v>
      </c>
      <c r="M766" s="0" t="n">
        <f aca="false">VLOOKUP(A766,'Team Data'!$A$1:$P$133,2,FALSE())</f>
        <v>10</v>
      </c>
      <c r="N766" s="0" t="n">
        <f aca="false">VLOOKUP(A766,'Team Data'!$A$1:$P$133,3,FALSE())</f>
        <v>3</v>
      </c>
      <c r="O766" s="0" t="n">
        <f aca="false">VLOOKUP(B766,'Team Data'!$A$1:$P$133,2,FALSE())</f>
        <v>3</v>
      </c>
      <c r="P766" s="0" t="n">
        <f aca="false">VLOOKUP(B766,'Team Data'!$A$1:$P$133,3,FALSE())</f>
        <v>9</v>
      </c>
      <c r="Q766" s="0" t="n">
        <f aca="false">VLOOKUP(A766,'Team Data'!$A$1:$P$133,4,FALSE())</f>
        <v>94</v>
      </c>
      <c r="R766" s="0" t="n">
        <f aca="false">VLOOKUP(A766,'Team Data'!$A$1:$P$133,5,FALSE())</f>
        <v>182</v>
      </c>
      <c r="S766" s="0" t="n">
        <f aca="false">VLOOKUP(B766,'Team Data'!$A$1:$P$133,4,FALSE())</f>
        <v>91</v>
      </c>
      <c r="T766" s="0" t="n">
        <f aca="false">VLOOKUP(B766,'Team Data'!$A$1:$P$133,5,FALSE())</f>
        <v>171</v>
      </c>
      <c r="U766" s="0" t="n">
        <f aca="false">IF(K766=1,(MIN(35,(C766-D766)))*(O766/(O766+P766))*(S766/(S766+T766)),(MAX(-35,(C766-D766)))*(IF(P766=0,0.1,(P766/(O766+P766))))*(T766/(S766+T766)))</f>
        <v>2.08396946564886</v>
      </c>
      <c r="V766" s="0" t="n">
        <f aca="false">IF(L766=1,(MIN(35,(D766-C766)))*(M766/(M766+N766))*(Q766/(Q766+R766)),(MAX(-35,(D766-C766)))*(IF(N766=0,0.1,(N766/(M766+N766))))*(R766/(R766+Q766)))</f>
        <v>-3.65217391304348</v>
      </c>
    </row>
    <row r="767" customFormat="false" ht="15" hidden="false" customHeight="false" outlineLevel="0" collapsed="false">
      <c r="A767" s="0" t="s">
        <v>101</v>
      </c>
      <c r="B767" s="0" t="s">
        <v>23</v>
      </c>
      <c r="C767" s="0" t="n">
        <v>20</v>
      </c>
      <c r="D767" s="0" t="n">
        <v>27</v>
      </c>
      <c r="E767" s="0" t="n">
        <v>129</v>
      </c>
      <c r="F767" s="0" t="n">
        <v>113</v>
      </c>
      <c r="G767" s="0" t="n">
        <v>271</v>
      </c>
      <c r="H767" s="0" t="n">
        <v>280</v>
      </c>
      <c r="I767" s="0" t="n">
        <v>2</v>
      </c>
      <c r="J767" s="0" t="n">
        <v>2</v>
      </c>
      <c r="K767" s="0" t="n">
        <v>0</v>
      </c>
      <c r="L767" s="0" t="n">
        <v>1</v>
      </c>
      <c r="M767" s="0" t="n">
        <f aca="false">VLOOKUP(A767,'Team Data'!$A$1:$P$133,2,FALSE())</f>
        <v>3</v>
      </c>
      <c r="N767" s="0" t="n">
        <f aca="false">VLOOKUP(A767,'Team Data'!$A$1:$P$133,3,FALSE())</f>
        <v>9</v>
      </c>
      <c r="O767" s="0" t="n">
        <f aca="false">VLOOKUP(B767,'Team Data'!$A$1:$P$133,2,FALSE())</f>
        <v>4</v>
      </c>
      <c r="P767" s="0" t="n">
        <f aca="false">VLOOKUP(B767,'Team Data'!$A$1:$P$133,3,FALSE())</f>
        <v>8</v>
      </c>
      <c r="Q767" s="0" t="n">
        <f aca="false">VLOOKUP(A767,'Team Data'!$A$1:$P$133,4,FALSE())</f>
        <v>100</v>
      </c>
      <c r="R767" s="0" t="n">
        <f aca="false">VLOOKUP(A767,'Team Data'!$A$1:$P$133,5,FALSE())</f>
        <v>163</v>
      </c>
      <c r="S767" s="0" t="n">
        <f aca="false">VLOOKUP(B767,'Team Data'!$A$1:$P$133,4,FALSE())</f>
        <v>89</v>
      </c>
      <c r="T767" s="0" t="n">
        <f aca="false">VLOOKUP(B767,'Team Data'!$A$1:$P$133,5,FALSE())</f>
        <v>171</v>
      </c>
      <c r="U767" s="0" t="n">
        <f aca="false">IF(K767=1,(MIN(35,(C767-D767)))*(O767/(O767+P767))*(S767/(S767+T767)),(MAX(-35,(C767-D767)))*(IF(P767=0,0.1,(P767/(O767+P767))))*(T767/(S767+T767)))</f>
        <v>-3.06923076923077</v>
      </c>
      <c r="V767" s="0" t="n">
        <f aca="false">IF(L767=1,(MIN(35,(D767-C767)))*(M767/(M767+N767))*(Q767/(Q767+R767)),(MAX(-35,(D767-C767)))*(IF(N767=0,0.1,(N767/(M767+N767))))*(R767/(R767+Q767)))</f>
        <v>0.665399239543726</v>
      </c>
    </row>
    <row r="768" customFormat="false" ht="15" hidden="false" customHeight="false" outlineLevel="0" collapsed="false">
      <c r="A768" s="0" t="s">
        <v>29</v>
      </c>
      <c r="B768" s="0" t="s">
        <v>130</v>
      </c>
      <c r="C768" s="0" t="n">
        <v>7</v>
      </c>
      <c r="D768" s="0" t="n">
        <v>54</v>
      </c>
      <c r="E768" s="0" t="n">
        <v>79</v>
      </c>
      <c r="F768" s="0" t="n">
        <v>280</v>
      </c>
      <c r="G768" s="0" t="n">
        <v>123</v>
      </c>
      <c r="H768" s="0" t="n">
        <v>295</v>
      </c>
      <c r="I768" s="0" t="n">
        <v>2</v>
      </c>
      <c r="J768" s="0" t="n">
        <v>1</v>
      </c>
      <c r="K768" s="0" t="n">
        <v>0</v>
      </c>
      <c r="L768" s="0" t="n">
        <v>1</v>
      </c>
      <c r="M768" s="0" t="n">
        <f aca="false">VLOOKUP(A768,'Team Data'!$A$1:$P$133,2,FALSE())</f>
        <v>1</v>
      </c>
      <c r="N768" s="0" t="n">
        <f aca="false">VLOOKUP(A768,'Team Data'!$A$1:$P$133,3,FALSE())</f>
        <v>11</v>
      </c>
      <c r="O768" s="0" t="n">
        <f aca="false">VLOOKUP(B768,'Team Data'!$A$1:$P$133,2,FALSE())</f>
        <v>11</v>
      </c>
      <c r="P768" s="0" t="n">
        <f aca="false">VLOOKUP(B768,'Team Data'!$A$1:$P$133,3,FALSE())</f>
        <v>2</v>
      </c>
      <c r="Q768" s="0" t="n">
        <f aca="false">VLOOKUP(A768,'Team Data'!$A$1:$P$133,4,FALSE())</f>
        <v>105</v>
      </c>
      <c r="R768" s="0" t="n">
        <f aca="false">VLOOKUP(A768,'Team Data'!$A$1:$P$133,5,FALSE())</f>
        <v>52</v>
      </c>
      <c r="S768" s="0" t="n">
        <f aca="false">VLOOKUP(B768,'Team Data'!$A$1:$P$133,4,FALSE())</f>
        <v>78</v>
      </c>
      <c r="T768" s="0" t="n">
        <f aca="false">VLOOKUP(B768,'Team Data'!$A$1:$P$133,5,FALSE())</f>
        <v>191</v>
      </c>
      <c r="U768" s="0" t="n">
        <f aca="false">IF(K768=1,(MIN(35,(C768-D768)))*(O768/(O768+P768))*(S768/(S768+T768)),(MAX(-35,(C768-D768)))*(IF(P768=0,0.1,(P768/(O768+P768))))*(T768/(S768+T768)))</f>
        <v>-3.82327709465256</v>
      </c>
      <c r="V768" s="0" t="n">
        <f aca="false">IF(L768=1,(MIN(35,(D768-C768)))*(M768/(M768+N768))*(Q768/(Q768+R768)),(MAX(-35,(D768-C768)))*(IF(N768=0,0.1,(N768/(M768+N768))))*(R768/(R768+Q768)))</f>
        <v>1.95063694267516</v>
      </c>
    </row>
    <row r="769" customFormat="false" ht="15" hidden="false" customHeight="false" outlineLevel="0" collapsed="false">
      <c r="A769" s="0" t="s">
        <v>124</v>
      </c>
      <c r="B769" s="0" t="s">
        <v>88</v>
      </c>
      <c r="C769" s="0" t="n">
        <v>17</v>
      </c>
      <c r="D769" s="0" t="n">
        <v>20</v>
      </c>
      <c r="E769" s="0" t="n">
        <v>156</v>
      </c>
      <c r="F769" s="0" t="n">
        <v>59</v>
      </c>
      <c r="G769" s="0" t="n">
        <v>170</v>
      </c>
      <c r="H769" s="0" t="n">
        <v>287</v>
      </c>
      <c r="I769" s="0" t="n">
        <v>3</v>
      </c>
      <c r="J769" s="0" t="n">
        <v>3</v>
      </c>
      <c r="K769" s="0" t="n">
        <v>0</v>
      </c>
      <c r="L769" s="0" t="n">
        <v>1</v>
      </c>
      <c r="M769" s="0" t="n">
        <f aca="false">VLOOKUP(A769,'Team Data'!$A$1:$P$133,2,FALSE())</f>
        <v>10</v>
      </c>
      <c r="N769" s="0" t="n">
        <f aca="false">VLOOKUP(A769,'Team Data'!$A$1:$P$133,3,FALSE())</f>
        <v>4</v>
      </c>
      <c r="O769" s="0" t="n">
        <f aca="false">VLOOKUP(B769,'Team Data'!$A$1:$P$133,2,FALSE())</f>
        <v>10</v>
      </c>
      <c r="P769" s="0" t="n">
        <f aca="false">VLOOKUP(B769,'Team Data'!$A$1:$P$133,3,FALSE())</f>
        <v>3</v>
      </c>
      <c r="Q769" s="0" t="n">
        <f aca="false">VLOOKUP(A769,'Team Data'!$A$1:$P$133,4,FALSE())</f>
        <v>102</v>
      </c>
      <c r="R769" s="0" t="n">
        <f aca="false">VLOOKUP(A769,'Team Data'!$A$1:$P$133,5,FALSE())</f>
        <v>185</v>
      </c>
      <c r="S769" s="0" t="n">
        <f aca="false">VLOOKUP(B769,'Team Data'!$A$1:$P$133,4,FALSE())</f>
        <v>100</v>
      </c>
      <c r="T769" s="0" t="n">
        <f aca="false">VLOOKUP(B769,'Team Data'!$A$1:$P$133,5,FALSE())</f>
        <v>176</v>
      </c>
      <c r="U769" s="0" t="n">
        <f aca="false">IF(K769=1,(MIN(35,(C769-D769)))*(O769/(O769+P769))*(S769/(S769+T769)),(MAX(-35,(C769-D769)))*(IF(P769=0,0.1,(P769/(O769+P769))))*(T769/(S769+T769)))</f>
        <v>-0.441471571906354</v>
      </c>
      <c r="V769" s="0" t="n">
        <f aca="false">IF(L769=1,(MIN(35,(D769-C769)))*(M769/(M769+N769))*(Q769/(Q769+R769)),(MAX(-35,(D769-C769)))*(IF(N769=0,0.1,(N769/(M769+N769))))*(R769/(R769+Q769)))</f>
        <v>0.761572921851668</v>
      </c>
    </row>
    <row r="770" customFormat="false" ht="15" hidden="false" customHeight="false" outlineLevel="0" collapsed="false">
      <c r="A770" s="0" t="s">
        <v>120</v>
      </c>
      <c r="B770" s="0" t="s">
        <v>116</v>
      </c>
      <c r="C770" s="0" t="n">
        <v>48</v>
      </c>
      <c r="D770" s="0" t="n">
        <v>45</v>
      </c>
      <c r="E770" s="0" t="n">
        <v>179</v>
      </c>
      <c r="F770" s="0" t="n">
        <v>204</v>
      </c>
      <c r="G770" s="0" t="n">
        <v>470</v>
      </c>
      <c r="H770" s="0" t="n">
        <v>309</v>
      </c>
      <c r="I770" s="0" t="n">
        <v>1</v>
      </c>
      <c r="J770" s="0" t="n">
        <v>4</v>
      </c>
      <c r="K770" s="0" t="n">
        <v>1</v>
      </c>
      <c r="L770" s="0" t="n">
        <v>0</v>
      </c>
      <c r="M770" s="0" t="n">
        <f aca="false">VLOOKUP(A770,'Team Data'!$A$1:$P$133,2,FALSE())</f>
        <v>11</v>
      </c>
      <c r="N770" s="0" t="n">
        <f aca="false">VLOOKUP(A770,'Team Data'!$A$1:$P$133,3,FALSE())</f>
        <v>3</v>
      </c>
      <c r="O770" s="0" t="n">
        <f aca="false">VLOOKUP(B770,'Team Data'!$A$1:$P$133,2,FALSE())</f>
        <v>9</v>
      </c>
      <c r="P770" s="0" t="n">
        <f aca="false">VLOOKUP(B770,'Team Data'!$A$1:$P$133,3,FALSE())</f>
        <v>4</v>
      </c>
      <c r="Q770" s="0" t="n">
        <f aca="false">VLOOKUP(A770,'Team Data'!$A$1:$P$133,4,FALSE())</f>
        <v>98</v>
      </c>
      <c r="R770" s="0" t="n">
        <f aca="false">VLOOKUP(A770,'Team Data'!$A$1:$P$133,5,FALSE())</f>
        <v>83</v>
      </c>
      <c r="S770" s="0" t="n">
        <f aca="false">VLOOKUP(B770,'Team Data'!$A$1:$P$133,4,FALSE())</f>
        <v>91</v>
      </c>
      <c r="T770" s="0" t="n">
        <f aca="false">VLOOKUP(B770,'Team Data'!$A$1:$P$133,5,FALSE())</f>
        <v>182</v>
      </c>
      <c r="U770" s="0" t="n">
        <f aca="false">IF(K770=1,(MIN(35,(C770-D770)))*(O770/(O770+P770))*(S770/(S770+T770)),(MAX(-35,(C770-D770)))*(IF(P770=0,0.1,(P770/(O770+P770))))*(T770/(S770+T770)))</f>
        <v>0.692307692307692</v>
      </c>
      <c r="V770" s="0" t="n">
        <f aca="false">IF(L770=1,(MIN(35,(D770-C770)))*(M770/(M770+N770))*(Q770/(Q770+R770)),(MAX(-35,(D770-C770)))*(IF(N770=0,0.1,(N770/(M770+N770))))*(R770/(R770+Q770)))</f>
        <v>-0.294790844514601</v>
      </c>
    </row>
    <row r="771" customFormat="false" ht="15" hidden="false" customHeight="false" outlineLevel="0" collapsed="false">
      <c r="A771" s="0" t="s">
        <v>103</v>
      </c>
      <c r="B771" s="0" t="s">
        <v>18</v>
      </c>
      <c r="C771" s="0" t="n">
        <v>29</v>
      </c>
      <c r="D771" s="0" t="n">
        <v>28</v>
      </c>
      <c r="E771" s="0" t="n">
        <v>115</v>
      </c>
      <c r="F771" s="0" t="n">
        <v>232</v>
      </c>
      <c r="G771" s="0" t="n">
        <v>327</v>
      </c>
      <c r="H771" s="0" t="n">
        <v>269</v>
      </c>
      <c r="I771" s="0" t="n">
        <v>1</v>
      </c>
      <c r="J771" s="0" t="n">
        <v>1</v>
      </c>
      <c r="K771" s="0" t="n">
        <v>1</v>
      </c>
      <c r="L771" s="0" t="n">
        <v>0</v>
      </c>
      <c r="M771" s="0" t="n">
        <f aca="false">VLOOKUP(A771,'Team Data'!$A$1:$P$133,2,FALSE())</f>
        <v>13</v>
      </c>
      <c r="N771" s="0" t="n">
        <f aca="false">VLOOKUP(A771,'Team Data'!$A$1:$P$133,3,FALSE())</f>
        <v>2</v>
      </c>
      <c r="O771" s="0" t="n">
        <f aca="false">VLOOKUP(B771,'Team Data'!$A$1:$P$133,2,FALSE())</f>
        <v>6</v>
      </c>
      <c r="P771" s="0" t="n">
        <f aca="false">VLOOKUP(B771,'Team Data'!$A$1:$P$133,3,FALSE())</f>
        <v>7</v>
      </c>
      <c r="Q771" s="0" t="n">
        <f aca="false">VLOOKUP(A771,'Team Data'!$A$1:$P$133,4,FALSE())</f>
        <v>114</v>
      </c>
      <c r="R771" s="0" t="n">
        <f aca="false">VLOOKUP(A771,'Team Data'!$A$1:$P$133,5,FALSE())</f>
        <v>190</v>
      </c>
      <c r="S771" s="0" t="n">
        <f aca="false">VLOOKUP(B771,'Team Data'!$A$1:$P$133,4,FALSE())</f>
        <v>97</v>
      </c>
      <c r="T771" s="0" t="n">
        <f aca="false">VLOOKUP(B771,'Team Data'!$A$1:$P$133,5,FALSE())</f>
        <v>179</v>
      </c>
      <c r="U771" s="0" t="n">
        <f aca="false">IF(K771=1,(MIN(35,(C771-D771)))*(O771/(O771+P771))*(S771/(S771+T771)),(MAX(-35,(C771-D771)))*(IF(P771=0,0.1,(P771/(O771+P771))))*(T771/(S771+T771)))</f>
        <v>0.162207357859532</v>
      </c>
      <c r="V771" s="0" t="n">
        <f aca="false">IF(L771=1,(MIN(35,(D771-C771)))*(M771/(M771+N771))*(Q771/(Q771+R771)),(MAX(-35,(D771-C771)))*(IF(N771=0,0.1,(N771/(M771+N771))))*(R771/(R771+Q771)))</f>
        <v>-0.0833333333333333</v>
      </c>
    </row>
    <row r="772" customFormat="false" ht="15" hidden="false" customHeight="false" outlineLevel="0" collapsed="false">
      <c r="A772" s="0" t="s">
        <v>109</v>
      </c>
      <c r="B772" s="0" t="s">
        <v>48</v>
      </c>
      <c r="C772" s="0" t="n">
        <v>14</v>
      </c>
      <c r="D772" s="0" t="n">
        <v>10</v>
      </c>
      <c r="E772" s="0" t="n">
        <v>105</v>
      </c>
      <c r="F772" s="0" t="n">
        <v>128</v>
      </c>
      <c r="G772" s="0" t="n">
        <v>141</v>
      </c>
      <c r="H772" s="0" t="n">
        <v>294</v>
      </c>
      <c r="I772" s="0" t="n">
        <v>1</v>
      </c>
      <c r="J772" s="0" t="n">
        <v>0</v>
      </c>
      <c r="K772" s="0" t="n">
        <v>1</v>
      </c>
      <c r="L772" s="0" t="n">
        <v>0</v>
      </c>
      <c r="M772" s="0" t="n">
        <f aca="false">VLOOKUP(A772,'Team Data'!$A$1:$P$133,2,FALSE())</f>
        <v>8</v>
      </c>
      <c r="N772" s="0" t="n">
        <f aca="false">VLOOKUP(A772,'Team Data'!$A$1:$P$133,3,FALSE())</f>
        <v>5</v>
      </c>
      <c r="O772" s="0" t="n">
        <f aca="false">VLOOKUP(B772,'Team Data'!$A$1:$P$133,2,FALSE())</f>
        <v>4</v>
      </c>
      <c r="P772" s="0" t="n">
        <f aca="false">VLOOKUP(B772,'Team Data'!$A$1:$P$133,3,FALSE())</f>
        <v>8</v>
      </c>
      <c r="Q772" s="0" t="n">
        <f aca="false">VLOOKUP(A772,'Team Data'!$A$1:$P$133,4,FALSE())</f>
        <v>97</v>
      </c>
      <c r="R772" s="0" t="n">
        <f aca="false">VLOOKUP(A772,'Team Data'!$A$1:$P$133,5,FALSE())</f>
        <v>180</v>
      </c>
      <c r="S772" s="0" t="n">
        <f aca="false">VLOOKUP(B772,'Team Data'!$A$1:$P$133,4,FALSE())</f>
        <v>95</v>
      </c>
      <c r="T772" s="0" t="n">
        <f aca="false">VLOOKUP(B772,'Team Data'!$A$1:$P$133,5,FALSE())</f>
        <v>171</v>
      </c>
      <c r="U772" s="0" t="n">
        <f aca="false">IF(K772=1,(MIN(35,(C772-D772)))*(O772/(O772+P772))*(S772/(S772+T772)),(MAX(-35,(C772-D772)))*(IF(P772=0,0.1,(P772/(O772+P772))))*(T772/(S772+T772)))</f>
        <v>0.476190476190476</v>
      </c>
      <c r="V772" s="0" t="n">
        <f aca="false">IF(L772=1,(MIN(35,(D772-C772)))*(M772/(M772+N772))*(Q772/(Q772+R772)),(MAX(-35,(D772-C772)))*(IF(N772=0,0.1,(N772/(M772+N772))))*(R772/(R772+Q772)))</f>
        <v>-0.999722299361289</v>
      </c>
    </row>
    <row r="773" customFormat="false" ht="15" hidden="false" customHeight="false" outlineLevel="0" collapsed="false">
      <c r="A773" s="0" t="s">
        <v>106</v>
      </c>
      <c r="B773" s="0" t="s">
        <v>50</v>
      </c>
      <c r="C773" s="0" t="n">
        <v>55</v>
      </c>
      <c r="D773" s="0" t="n">
        <v>14</v>
      </c>
      <c r="E773" s="0" t="n">
        <v>427</v>
      </c>
      <c r="F773" s="0" t="n">
        <v>104</v>
      </c>
      <c r="G773" s="0" t="n">
        <v>112</v>
      </c>
      <c r="H773" s="0" t="n">
        <v>242</v>
      </c>
      <c r="I773" s="0" t="n">
        <v>0</v>
      </c>
      <c r="J773" s="0" t="n">
        <v>1</v>
      </c>
      <c r="K773" s="0" t="n">
        <v>1</v>
      </c>
      <c r="L773" s="0" t="n">
        <v>0</v>
      </c>
      <c r="M773" s="0" t="n">
        <f aca="false">VLOOKUP(A773,'Team Data'!$A$1:$P$133,2,FALSE())</f>
        <v>8</v>
      </c>
      <c r="N773" s="0" t="n">
        <f aca="false">VLOOKUP(A773,'Team Data'!$A$1:$P$133,3,FALSE())</f>
        <v>5</v>
      </c>
      <c r="O773" s="0" t="n">
        <f aca="false">VLOOKUP(B773,'Team Data'!$A$1:$P$133,2,FALSE())</f>
        <v>6</v>
      </c>
      <c r="P773" s="0" t="n">
        <f aca="false">VLOOKUP(B773,'Team Data'!$A$1:$P$133,3,FALSE())</f>
        <v>7</v>
      </c>
      <c r="Q773" s="0" t="n">
        <f aca="false">VLOOKUP(A773,'Team Data'!$A$1:$P$133,4,FALSE())</f>
        <v>102</v>
      </c>
      <c r="R773" s="0" t="n">
        <f aca="false">VLOOKUP(A773,'Team Data'!$A$1:$P$133,5,FALSE())</f>
        <v>68</v>
      </c>
      <c r="S773" s="0" t="n">
        <f aca="false">VLOOKUP(B773,'Team Data'!$A$1:$P$133,4,FALSE())</f>
        <v>99</v>
      </c>
      <c r="T773" s="0" t="n">
        <f aca="false">VLOOKUP(B773,'Team Data'!$A$1:$P$133,5,FALSE())</f>
        <v>178</v>
      </c>
      <c r="U773" s="0" t="n">
        <f aca="false">IF(K773=1,(MIN(35,(C773-D773)))*(O773/(O773+P773))*(S773/(S773+T773)),(MAX(-35,(C773-D773)))*(IF(P773=0,0.1,(P773/(O773+P773))))*(T773/(S773+T773)))</f>
        <v>5.77339627881144</v>
      </c>
      <c r="V773" s="0" t="n">
        <f aca="false">IF(L773=1,(MIN(35,(D773-C773)))*(M773/(M773+N773))*(Q773/(Q773+R773)),(MAX(-35,(D773-C773)))*(IF(N773=0,0.1,(N773/(M773+N773))))*(R773/(R773+Q773)))</f>
        <v>-5.38461538461539</v>
      </c>
    </row>
    <row r="774" customFormat="false" ht="15" hidden="false" customHeight="false" outlineLevel="0" collapsed="false">
      <c r="A774" s="0" t="s">
        <v>51</v>
      </c>
      <c r="B774" s="0" t="s">
        <v>132</v>
      </c>
      <c r="C774" s="0" t="n">
        <v>48</v>
      </c>
      <c r="D774" s="0" t="n">
        <v>31</v>
      </c>
      <c r="E774" s="0" t="n">
        <v>143</v>
      </c>
      <c r="F774" s="0" t="n">
        <v>153</v>
      </c>
      <c r="G774" s="0" t="n">
        <v>294</v>
      </c>
      <c r="H774" s="0" t="n">
        <v>216</v>
      </c>
      <c r="I774" s="0" t="n">
        <v>1</v>
      </c>
      <c r="J774" s="0" t="n">
        <v>2</v>
      </c>
      <c r="K774" s="0" t="n">
        <v>1</v>
      </c>
      <c r="L774" s="0" t="n">
        <v>0</v>
      </c>
      <c r="M774" s="0" t="n">
        <f aca="false">VLOOKUP(A774,'Team Data'!$A$1:$P$133,2,FALSE())</f>
        <v>10</v>
      </c>
      <c r="N774" s="0" t="n">
        <f aca="false">VLOOKUP(A774,'Team Data'!$A$1:$P$133,3,FALSE())</f>
        <v>4</v>
      </c>
      <c r="O774" s="0" t="n">
        <f aca="false">VLOOKUP(B774,'Team Data'!$A$1:$P$133,2,FALSE())</f>
        <v>5</v>
      </c>
      <c r="P774" s="0" t="n">
        <f aca="false">VLOOKUP(B774,'Team Data'!$A$1:$P$133,3,FALSE())</f>
        <v>7</v>
      </c>
      <c r="Q774" s="0" t="n">
        <f aca="false">VLOOKUP(A774,'Team Data'!$A$1:$P$133,4,FALSE())</f>
        <v>113</v>
      </c>
      <c r="R774" s="0" t="n">
        <f aca="false">VLOOKUP(A774,'Team Data'!$A$1:$P$133,5,FALSE())</f>
        <v>179</v>
      </c>
      <c r="S774" s="0" t="n">
        <f aca="false">VLOOKUP(B774,'Team Data'!$A$1:$P$133,4,FALSE())</f>
        <v>88</v>
      </c>
      <c r="T774" s="0" t="n">
        <f aca="false">VLOOKUP(B774,'Team Data'!$A$1:$P$133,5,FALSE())</f>
        <v>175</v>
      </c>
      <c r="U774" s="0" t="n">
        <f aca="false">IF(K774=1,(MIN(35,(C774-D774)))*(O774/(O774+P774))*(S774/(S774+T774)),(MAX(-35,(C774-D774)))*(IF(P774=0,0.1,(P774/(O774+P774))))*(T774/(S774+T774)))</f>
        <v>2.37008871989861</v>
      </c>
      <c r="V774" s="0" t="n">
        <f aca="false">IF(L774=1,(MIN(35,(D774-C774)))*(M774/(M774+N774))*(Q774/(Q774+R774)),(MAX(-35,(D774-C774)))*(IF(N774=0,0.1,(N774/(M774+N774))))*(R774/(R774+Q774)))</f>
        <v>-2.97749510763209</v>
      </c>
    </row>
    <row r="775" customFormat="false" ht="15" hidden="false" customHeight="false" outlineLevel="0" collapsed="false">
      <c r="A775" s="0" t="s">
        <v>85</v>
      </c>
      <c r="B775" s="0" t="s">
        <v>84</v>
      </c>
      <c r="C775" s="0" t="n">
        <v>13</v>
      </c>
      <c r="D775" s="0" t="n">
        <v>28</v>
      </c>
      <c r="E775" s="0" t="n">
        <v>103</v>
      </c>
      <c r="F775" s="0" t="n">
        <v>175</v>
      </c>
      <c r="G775" s="0" t="n">
        <v>381</v>
      </c>
      <c r="H775" s="0" t="n">
        <v>259</v>
      </c>
      <c r="I775" s="0" t="n">
        <v>4</v>
      </c>
      <c r="J775" s="0" t="n">
        <v>2</v>
      </c>
      <c r="K775" s="0" t="n">
        <v>0</v>
      </c>
      <c r="L775" s="0" t="n">
        <v>1</v>
      </c>
      <c r="M775" s="0" t="n">
        <f aca="false">VLOOKUP(A775,'Team Data'!$A$1:$P$133,2,FALSE())</f>
        <v>7</v>
      </c>
      <c r="N775" s="0" t="n">
        <f aca="false">VLOOKUP(A775,'Team Data'!$A$1:$P$133,3,FALSE())</f>
        <v>6</v>
      </c>
      <c r="O775" s="0" t="n">
        <f aca="false">VLOOKUP(B775,'Team Data'!$A$1:$P$133,2,FALSE())</f>
        <v>6</v>
      </c>
      <c r="P775" s="0" t="n">
        <f aca="false">VLOOKUP(B775,'Team Data'!$A$1:$P$133,3,FALSE())</f>
        <v>7</v>
      </c>
      <c r="Q775" s="0" t="n">
        <f aca="false">VLOOKUP(A775,'Team Data'!$A$1:$P$133,4,FALSE())</f>
        <v>88</v>
      </c>
      <c r="R775" s="0" t="n">
        <f aca="false">VLOOKUP(A775,'Team Data'!$A$1:$P$133,5,FALSE())</f>
        <v>187</v>
      </c>
      <c r="S775" s="0" t="n">
        <f aca="false">VLOOKUP(B775,'Team Data'!$A$1:$P$133,4,FALSE())</f>
        <v>91</v>
      </c>
      <c r="T775" s="0" t="n">
        <f aca="false">VLOOKUP(B775,'Team Data'!$A$1:$P$133,5,FALSE())</f>
        <v>76</v>
      </c>
      <c r="U775" s="0" t="n">
        <f aca="false">IF(K775=1,(MIN(35,(C775-D775)))*(O775/(O775+P775))*(S775/(S775+T775)),(MAX(-35,(C775-D775)))*(IF(P775=0,0.1,(P775/(O775+P775))))*(T775/(S775+T775)))</f>
        <v>-3.67572547213266</v>
      </c>
      <c r="V775" s="0" t="n">
        <f aca="false">IF(L775=1,(MIN(35,(D775-C775)))*(M775/(M775+N775))*(Q775/(Q775+R775)),(MAX(-35,(D775-C775)))*(IF(N775=0,0.1,(N775/(M775+N775))))*(R775/(R775+Q775)))</f>
        <v>2.58461538461538</v>
      </c>
    </row>
    <row r="776" customFormat="false" ht="15" hidden="false" customHeight="false" outlineLevel="0" collapsed="false">
      <c r="A776" s="0" t="s">
        <v>20</v>
      </c>
      <c r="B776" s="0" t="s">
        <v>81</v>
      </c>
      <c r="C776" s="0" t="n">
        <v>0</v>
      </c>
      <c r="D776" s="0" t="n">
        <v>44</v>
      </c>
      <c r="E776" s="0" t="n">
        <v>56</v>
      </c>
      <c r="F776" s="0" t="n">
        <v>281</v>
      </c>
      <c r="G776" s="0" t="n">
        <v>117</v>
      </c>
      <c r="H776" s="0" t="n">
        <v>156</v>
      </c>
      <c r="I776" s="0" t="n">
        <v>5</v>
      </c>
      <c r="J776" s="0" t="n">
        <v>1</v>
      </c>
      <c r="K776" s="0" t="n">
        <v>0</v>
      </c>
      <c r="L776" s="0" t="n">
        <v>1</v>
      </c>
      <c r="M776" s="0" t="n">
        <f aca="false">VLOOKUP(A776,'Team Data'!$A$1:$P$133,2,FALSE())</f>
        <v>3</v>
      </c>
      <c r="N776" s="0" t="n">
        <f aca="false">VLOOKUP(A776,'Team Data'!$A$1:$P$133,3,FALSE())</f>
        <v>9</v>
      </c>
      <c r="O776" s="0" t="n">
        <f aca="false">VLOOKUP(B776,'Team Data'!$A$1:$P$133,2,FALSE())</f>
        <v>9</v>
      </c>
      <c r="P776" s="0" t="n">
        <f aca="false">VLOOKUP(B776,'Team Data'!$A$1:$P$133,3,FALSE())</f>
        <v>4</v>
      </c>
      <c r="Q776" s="0" t="n">
        <f aca="false">VLOOKUP(A776,'Team Data'!$A$1:$P$133,4,FALSE())</f>
        <v>91</v>
      </c>
      <c r="R776" s="0" t="n">
        <f aca="false">VLOOKUP(A776,'Team Data'!$A$1:$P$133,5,FALSE())</f>
        <v>170</v>
      </c>
      <c r="S776" s="0" t="n">
        <f aca="false">VLOOKUP(B776,'Team Data'!$A$1:$P$133,4,FALSE())</f>
        <v>93</v>
      </c>
      <c r="T776" s="0" t="n">
        <f aca="false">VLOOKUP(B776,'Team Data'!$A$1:$P$133,5,FALSE())</f>
        <v>74</v>
      </c>
      <c r="U776" s="0" t="n">
        <f aca="false">IF(K776=1,(MIN(35,(C776-D776)))*(O776/(O776+P776))*(S776/(S776+T776)),(MAX(-35,(C776-D776)))*(IF(P776=0,0.1,(P776/(O776+P776))))*(T776/(S776+T776)))</f>
        <v>-4.77199447259328</v>
      </c>
      <c r="V776" s="0" t="n">
        <f aca="false">IF(L776=1,(MIN(35,(D776-C776)))*(M776/(M776+N776))*(Q776/(Q776+R776)),(MAX(-35,(D776-C776)))*(IF(N776=0,0.1,(N776/(M776+N776))))*(R776/(R776+Q776)))</f>
        <v>3.0507662835249</v>
      </c>
    </row>
    <row r="777" customFormat="false" ht="15" hidden="false" customHeight="false" outlineLevel="0" collapsed="false">
      <c r="A777" s="0" t="s">
        <v>117</v>
      </c>
      <c r="B777" s="0" t="s">
        <v>14</v>
      </c>
      <c r="C777" s="0" t="n">
        <v>17</v>
      </c>
      <c r="D777" s="0" t="n">
        <v>34</v>
      </c>
      <c r="E777" s="0" t="n">
        <v>254</v>
      </c>
      <c r="F777" s="0" t="n">
        <v>320</v>
      </c>
      <c r="G777" s="0" t="n">
        <v>116</v>
      </c>
      <c r="H777" s="0" t="n">
        <v>0</v>
      </c>
      <c r="I777" s="0" t="n">
        <v>2</v>
      </c>
      <c r="J777" s="0" t="n">
        <v>0</v>
      </c>
      <c r="K777" s="0" t="n">
        <v>0</v>
      </c>
      <c r="L777" s="0" t="n">
        <v>1</v>
      </c>
      <c r="M777" s="0" t="n">
        <f aca="false">VLOOKUP(A777,'Team Data'!$A$1:$P$133,2,FALSE())</f>
        <v>6</v>
      </c>
      <c r="N777" s="0" t="n">
        <f aca="false">VLOOKUP(A777,'Team Data'!$A$1:$P$133,3,FALSE())</f>
        <v>7</v>
      </c>
      <c r="O777" s="0" t="n">
        <f aca="false">VLOOKUP(B777,'Team Data'!$A$1:$P$133,2,FALSE())</f>
        <v>6</v>
      </c>
      <c r="P777" s="0" t="n">
        <f aca="false">VLOOKUP(B777,'Team Data'!$A$1:$P$133,3,FALSE())</f>
        <v>6</v>
      </c>
      <c r="Q777" s="0" t="n">
        <f aca="false">VLOOKUP(A777,'Team Data'!$A$1:$P$133,4,FALSE())</f>
        <v>88</v>
      </c>
      <c r="R777" s="0" t="n">
        <f aca="false">VLOOKUP(A777,'Team Data'!$A$1:$P$133,5,FALSE())</f>
        <v>185</v>
      </c>
      <c r="S777" s="0" t="n">
        <f aca="false">VLOOKUP(B777,'Team Data'!$A$1:$P$133,4,FALSE())</f>
        <v>85</v>
      </c>
      <c r="T777" s="0" t="n">
        <f aca="false">VLOOKUP(B777,'Team Data'!$A$1:$P$133,5,FALSE())</f>
        <v>283</v>
      </c>
      <c r="U777" s="0" t="n">
        <f aca="false">IF(K777=1,(MIN(35,(C777-D777)))*(O777/(O777+P777))*(S777/(S777+T777)),(MAX(-35,(C777-D777)))*(IF(P777=0,0.1,(P777/(O777+P777))))*(T777/(S777+T777)))</f>
        <v>-6.5366847826087</v>
      </c>
      <c r="V777" s="0" t="n">
        <f aca="false">IF(L777=1,(MIN(35,(D777-C777)))*(M777/(M777+N777))*(Q777/(Q777+R777)),(MAX(-35,(D777-C777)))*(IF(N777=0,0.1,(N777/(M777+N777))))*(R777/(R777+Q777)))</f>
        <v>2.52916314454776</v>
      </c>
    </row>
    <row r="778" customFormat="false" ht="15" hidden="false" customHeight="false" outlineLevel="0" collapsed="false">
      <c r="A778" s="0" t="s">
        <v>128</v>
      </c>
      <c r="B778" s="0" t="s">
        <v>55</v>
      </c>
      <c r="C778" s="0" t="n">
        <v>23</v>
      </c>
      <c r="D778" s="0" t="n">
        <v>22</v>
      </c>
      <c r="E778" s="0" t="n">
        <v>176</v>
      </c>
      <c r="F778" s="0" t="n">
        <v>115</v>
      </c>
      <c r="G778" s="0" t="n">
        <v>148</v>
      </c>
      <c r="H778" s="0" t="n">
        <v>217</v>
      </c>
      <c r="I778" s="0" t="n">
        <v>0</v>
      </c>
      <c r="J778" s="0" t="n">
        <v>2</v>
      </c>
      <c r="K778" s="0" t="n">
        <v>1</v>
      </c>
      <c r="L778" s="0" t="n">
        <v>0</v>
      </c>
      <c r="M778" s="0" t="n">
        <f aca="false">VLOOKUP(A778,'Team Data'!$A$1:$P$133,2,FALSE())</f>
        <v>3</v>
      </c>
      <c r="N778" s="0" t="n">
        <f aca="false">VLOOKUP(A778,'Team Data'!$A$1:$P$133,3,FALSE())</f>
        <v>8</v>
      </c>
      <c r="O778" s="0" t="n">
        <f aca="false">VLOOKUP(B778,'Team Data'!$A$1:$P$133,2,FALSE())</f>
        <v>8</v>
      </c>
      <c r="P778" s="0" t="n">
        <f aca="false">VLOOKUP(B778,'Team Data'!$A$1:$P$133,3,FALSE())</f>
        <v>5</v>
      </c>
      <c r="Q778" s="0" t="n">
        <f aca="false">VLOOKUP(A778,'Team Data'!$A$1:$P$133,4,FALSE())</f>
        <v>72</v>
      </c>
      <c r="R778" s="0" t="n">
        <f aca="false">VLOOKUP(A778,'Team Data'!$A$1:$P$133,5,FALSE())</f>
        <v>174</v>
      </c>
      <c r="S778" s="0" t="n">
        <f aca="false">VLOOKUP(B778,'Team Data'!$A$1:$P$133,4,FALSE())</f>
        <v>76</v>
      </c>
      <c r="T778" s="0" t="n">
        <f aca="false">VLOOKUP(B778,'Team Data'!$A$1:$P$133,5,FALSE())</f>
        <v>196</v>
      </c>
      <c r="U778" s="0" t="n">
        <f aca="false">IF(K778=1,(MIN(35,(C778-D778)))*(O778/(O778+P778))*(S778/(S778+T778)),(MAX(-35,(C778-D778)))*(IF(P778=0,0.1,(P778/(O778+P778))))*(T778/(S778+T778)))</f>
        <v>0.171945701357466</v>
      </c>
      <c r="V778" s="0" t="n">
        <f aca="false">IF(L778=1,(MIN(35,(D778-C778)))*(M778/(M778+N778))*(Q778/(Q778+R778)),(MAX(-35,(D778-C778)))*(IF(N778=0,0.1,(N778/(M778+N778))))*(R778/(R778+Q778)))</f>
        <v>-0.514412416851441</v>
      </c>
    </row>
    <row r="779" customFormat="false" ht="15" hidden="false" customHeight="false" outlineLevel="0" collapsed="false">
      <c r="A779" s="0" t="s">
        <v>47</v>
      </c>
      <c r="B779" s="0" t="s">
        <v>68</v>
      </c>
      <c r="C779" s="0" t="n">
        <v>13</v>
      </c>
      <c r="D779" s="0" t="n">
        <v>10</v>
      </c>
      <c r="E779" s="0" t="n">
        <v>59</v>
      </c>
      <c r="F779" s="0" t="n">
        <v>312</v>
      </c>
      <c r="G779" s="0" t="n">
        <v>221</v>
      </c>
      <c r="H779" s="0" t="n">
        <v>87</v>
      </c>
      <c r="I779" s="0" t="n">
        <v>0</v>
      </c>
      <c r="J779" s="0" t="n">
        <v>2</v>
      </c>
      <c r="K779" s="0" t="n">
        <v>1</v>
      </c>
      <c r="L779" s="0" t="n">
        <v>0</v>
      </c>
      <c r="M779" s="0" t="n">
        <f aca="false">VLOOKUP(A779,'Team Data'!$A$1:$P$133,2,FALSE())</f>
        <v>8</v>
      </c>
      <c r="N779" s="0" t="n">
        <f aca="false">VLOOKUP(A779,'Team Data'!$A$1:$P$133,3,FALSE())</f>
        <v>5</v>
      </c>
      <c r="O779" s="0" t="n">
        <f aca="false">VLOOKUP(B779,'Team Data'!$A$1:$P$133,2,FALSE())</f>
        <v>9</v>
      </c>
      <c r="P779" s="0" t="n">
        <f aca="false">VLOOKUP(B779,'Team Data'!$A$1:$P$133,3,FALSE())</f>
        <v>4</v>
      </c>
      <c r="Q779" s="0" t="n">
        <f aca="false">VLOOKUP(A779,'Team Data'!$A$1:$P$133,4,FALSE())</f>
        <v>86</v>
      </c>
      <c r="R779" s="0" t="n">
        <f aca="false">VLOOKUP(A779,'Team Data'!$A$1:$P$133,5,FALSE())</f>
        <v>187</v>
      </c>
      <c r="S779" s="0" t="n">
        <f aca="false">VLOOKUP(B779,'Team Data'!$A$1:$P$133,4,FALSE())</f>
        <v>79</v>
      </c>
      <c r="T779" s="0" t="n">
        <f aca="false">VLOOKUP(B779,'Team Data'!$A$1:$P$133,5,FALSE())</f>
        <v>193</v>
      </c>
      <c r="U779" s="0" t="n">
        <f aca="false">IF(K779=1,(MIN(35,(C779-D779)))*(O779/(O779+P779))*(S779/(S779+T779)),(MAX(-35,(C779-D779)))*(IF(P779=0,0.1,(P779/(O779+P779))))*(T779/(S779+T779)))</f>
        <v>0.603223981900453</v>
      </c>
      <c r="V779" s="0" t="n">
        <f aca="false">IF(L779=1,(MIN(35,(D779-C779)))*(M779/(M779+N779))*(Q779/(Q779+R779)),(MAX(-35,(D779-C779)))*(IF(N779=0,0.1,(N779/(M779+N779))))*(R779/(R779+Q779)))</f>
        <v>-0.790363482671175</v>
      </c>
    </row>
    <row r="780" customFormat="false" ht="15" hidden="false" customHeight="false" outlineLevel="0" collapsed="false">
      <c r="A780" s="0" t="s">
        <v>135</v>
      </c>
      <c r="B780" s="0" t="s">
        <v>73</v>
      </c>
      <c r="C780" s="0" t="n">
        <v>15</v>
      </c>
      <c r="D780" s="0" t="n">
        <v>14</v>
      </c>
      <c r="E780" s="0" t="n">
        <v>235</v>
      </c>
      <c r="F780" s="0" t="n">
        <v>65</v>
      </c>
      <c r="G780" s="0" t="n">
        <v>83</v>
      </c>
      <c r="H780" s="0" t="n">
        <v>106</v>
      </c>
      <c r="I780" s="0" t="n">
        <v>1</v>
      </c>
      <c r="J780" s="0" t="n">
        <v>0</v>
      </c>
      <c r="K780" s="0" t="n">
        <v>1</v>
      </c>
      <c r="L780" s="0" t="n">
        <v>0</v>
      </c>
      <c r="M780" s="0" t="n">
        <f aca="false">VLOOKUP(A780,'Team Data'!$A$1:$P$133,2,FALSE())</f>
        <v>7</v>
      </c>
      <c r="N780" s="0" t="n">
        <f aca="false">VLOOKUP(A780,'Team Data'!$A$1:$P$133,3,FALSE())</f>
        <v>6</v>
      </c>
      <c r="O780" s="0" t="n">
        <f aca="false">VLOOKUP(B780,'Team Data'!$A$1:$P$133,2,FALSE())</f>
        <v>4</v>
      </c>
      <c r="P780" s="0" t="n">
        <f aca="false">VLOOKUP(B780,'Team Data'!$A$1:$P$133,3,FALSE())</f>
        <v>8</v>
      </c>
      <c r="Q780" s="0" t="n">
        <f aca="false">VLOOKUP(A780,'Team Data'!$A$1:$P$133,4,FALSE())</f>
        <v>91</v>
      </c>
      <c r="R780" s="0" t="n">
        <f aca="false">VLOOKUP(A780,'Team Data'!$A$1:$P$133,5,FALSE())</f>
        <v>183</v>
      </c>
      <c r="S780" s="0" t="n">
        <f aca="false">VLOOKUP(B780,'Team Data'!$A$1:$P$133,4,FALSE())</f>
        <v>82</v>
      </c>
      <c r="T780" s="0" t="n">
        <f aca="false">VLOOKUP(B780,'Team Data'!$A$1:$P$133,5,FALSE())</f>
        <v>180</v>
      </c>
      <c r="U780" s="0" t="n">
        <f aca="false">IF(K780=1,(MIN(35,(C780-D780)))*(O780/(O780+P780))*(S780/(S780+T780)),(MAX(-35,(C780-D780)))*(IF(P780=0,0.1,(P780/(O780+P780))))*(T780/(S780+T780)))</f>
        <v>0.104325699745547</v>
      </c>
      <c r="V780" s="0" t="n">
        <f aca="false">IF(L780=1,(MIN(35,(D780-C780)))*(M780/(M780+N780))*(Q780/(Q780+R780)),(MAX(-35,(D780-C780)))*(IF(N780=0,0.1,(N780/(M780+N780))))*(R780/(R780+Q780)))</f>
        <v>-0.308253790005615</v>
      </c>
    </row>
    <row r="781" customFormat="false" ht="15" hidden="false" customHeight="false" outlineLevel="0" collapsed="false">
      <c r="A781" s="0" t="s">
        <v>80</v>
      </c>
      <c r="B781" s="0" t="s">
        <v>92</v>
      </c>
      <c r="C781" s="0" t="n">
        <v>9</v>
      </c>
      <c r="D781" s="0" t="n">
        <v>17</v>
      </c>
      <c r="E781" s="0" t="n">
        <v>162</v>
      </c>
      <c r="F781" s="0" t="n">
        <v>140</v>
      </c>
      <c r="G781" s="0" t="n">
        <v>78</v>
      </c>
      <c r="H781" s="0" t="n">
        <v>159</v>
      </c>
      <c r="I781" s="0" t="n">
        <v>3</v>
      </c>
      <c r="J781" s="0" t="n">
        <v>0</v>
      </c>
      <c r="K781" s="0" t="n">
        <v>0</v>
      </c>
      <c r="L781" s="0" t="n">
        <v>1</v>
      </c>
      <c r="M781" s="0" t="n">
        <f aca="false">VLOOKUP(A781,'Team Data'!$A$1:$P$133,2,FALSE())</f>
        <v>1</v>
      </c>
      <c r="N781" s="0" t="n">
        <f aca="false">VLOOKUP(A781,'Team Data'!$A$1:$P$133,3,FALSE())</f>
        <v>11</v>
      </c>
      <c r="O781" s="0" t="n">
        <f aca="false">VLOOKUP(B781,'Team Data'!$A$1:$P$133,2,FALSE())</f>
        <v>8</v>
      </c>
      <c r="P781" s="0" t="n">
        <f aca="false">VLOOKUP(B781,'Team Data'!$A$1:$P$133,3,FALSE())</f>
        <v>6</v>
      </c>
      <c r="Q781" s="0" t="n">
        <f aca="false">VLOOKUP(A781,'Team Data'!$A$1:$P$133,4,FALSE())</f>
        <v>97</v>
      </c>
      <c r="R781" s="0" t="n">
        <f aca="false">VLOOKUP(A781,'Team Data'!$A$1:$P$133,5,FALSE())</f>
        <v>166</v>
      </c>
      <c r="S781" s="0" t="n">
        <f aca="false">VLOOKUP(B781,'Team Data'!$A$1:$P$133,4,FALSE())</f>
        <v>103</v>
      </c>
      <c r="T781" s="0" t="n">
        <f aca="false">VLOOKUP(B781,'Team Data'!$A$1:$P$133,5,FALSE())</f>
        <v>184</v>
      </c>
      <c r="U781" s="0" t="n">
        <f aca="false">IF(K781=1,(MIN(35,(C781-D781)))*(O781/(O781+P781))*(S781/(S781+T781)),(MAX(-35,(C781-D781)))*(IF(P781=0,0.1,(P781/(O781+P781))))*(T781/(S781+T781)))</f>
        <v>-2.19810851169736</v>
      </c>
      <c r="V781" s="0" t="n">
        <f aca="false">IF(L781=1,(MIN(35,(D781-C781)))*(M781/(M781+N781))*(Q781/(Q781+R781)),(MAX(-35,(D781-C781)))*(IF(N781=0,0.1,(N781/(M781+N781))))*(R781/(R781+Q781)))</f>
        <v>0.245880861850444</v>
      </c>
    </row>
    <row r="782" customFormat="false" ht="15" hidden="false" customHeight="false" outlineLevel="0" collapsed="false">
      <c r="A782" s="0" t="s">
        <v>83</v>
      </c>
      <c r="B782" s="0" t="s">
        <v>61</v>
      </c>
      <c r="C782" s="0" t="n">
        <v>43</v>
      </c>
      <c r="D782" s="0" t="n">
        <v>30</v>
      </c>
      <c r="E782" s="0" t="n">
        <v>160</v>
      </c>
      <c r="F782" s="0" t="n">
        <v>84</v>
      </c>
      <c r="G782" s="0" t="n">
        <v>241</v>
      </c>
      <c r="H782" s="0" t="n">
        <v>318</v>
      </c>
      <c r="I782" s="0" t="n">
        <v>0</v>
      </c>
      <c r="J782" s="0" t="n">
        <v>1</v>
      </c>
      <c r="K782" s="0" t="n">
        <v>1</v>
      </c>
      <c r="L782" s="0" t="n">
        <v>0</v>
      </c>
      <c r="M782" s="0" t="n">
        <f aca="false">VLOOKUP(A782,'Team Data'!$A$1:$P$133,2,FALSE())</f>
        <v>11</v>
      </c>
      <c r="N782" s="0" t="n">
        <f aca="false">VLOOKUP(A782,'Team Data'!$A$1:$P$133,3,FALSE())</f>
        <v>2</v>
      </c>
      <c r="O782" s="0" t="n">
        <f aca="false">VLOOKUP(B782,'Team Data'!$A$1:$P$133,2,FALSE())</f>
        <v>8</v>
      </c>
      <c r="P782" s="0" t="n">
        <f aca="false">VLOOKUP(B782,'Team Data'!$A$1:$P$133,3,FALSE())</f>
        <v>5</v>
      </c>
      <c r="Q782" s="0" t="n">
        <f aca="false">VLOOKUP(A782,'Team Data'!$A$1:$P$133,4,FALSE())</f>
        <v>97</v>
      </c>
      <c r="R782" s="0" t="n">
        <f aca="false">VLOOKUP(A782,'Team Data'!$A$1:$P$133,5,FALSE())</f>
        <v>71</v>
      </c>
      <c r="S782" s="0" t="n">
        <f aca="false">VLOOKUP(B782,'Team Data'!$A$1:$P$133,4,FALSE())</f>
        <v>89</v>
      </c>
      <c r="T782" s="0" t="n">
        <f aca="false">VLOOKUP(B782,'Team Data'!$A$1:$P$133,5,FALSE())</f>
        <v>77</v>
      </c>
      <c r="U782" s="0" t="n">
        <f aca="false">IF(K782=1,(MIN(35,(C782-D782)))*(O782/(O782+P782))*(S782/(S782+T782)),(MAX(-35,(C782-D782)))*(IF(P782=0,0.1,(P782/(O782+P782))))*(T782/(S782+T782)))</f>
        <v>4.28915662650602</v>
      </c>
      <c r="V782" s="0" t="n">
        <f aca="false">IF(L782=1,(MIN(35,(D782-C782)))*(M782/(M782+N782))*(Q782/(Q782+R782)),(MAX(-35,(D782-C782)))*(IF(N782=0,0.1,(N782/(M782+N782))))*(R782/(R782+Q782)))</f>
        <v>-0.845238095238095</v>
      </c>
    </row>
    <row r="783" customFormat="false" ht="15" hidden="false" customHeight="false" outlineLevel="0" collapsed="false">
      <c r="A783" s="0" t="s">
        <v>45</v>
      </c>
      <c r="B783" s="0" t="s">
        <v>65</v>
      </c>
      <c r="C783" s="0" t="n">
        <v>17</v>
      </c>
      <c r="D783" s="0" t="n">
        <v>19</v>
      </c>
      <c r="E783" s="0" t="n">
        <v>148</v>
      </c>
      <c r="F783" s="0" t="n">
        <v>168</v>
      </c>
      <c r="G783" s="0" t="n">
        <v>178</v>
      </c>
      <c r="H783" s="0" t="n">
        <v>208</v>
      </c>
      <c r="I783" s="0" t="n">
        <v>0</v>
      </c>
      <c r="J783" s="0" t="n">
        <v>1</v>
      </c>
      <c r="K783" s="0" t="n">
        <v>0</v>
      </c>
      <c r="L783" s="0" t="n">
        <v>1</v>
      </c>
      <c r="M783" s="0" t="n">
        <f aca="false">VLOOKUP(A783,'Team Data'!$A$1:$P$133,2,FALSE())</f>
        <v>8</v>
      </c>
      <c r="N783" s="0" t="n">
        <f aca="false">VLOOKUP(A783,'Team Data'!$A$1:$P$133,3,FALSE())</f>
        <v>5</v>
      </c>
      <c r="O783" s="0" t="n">
        <f aca="false">VLOOKUP(B783,'Team Data'!$A$1:$P$133,2,FALSE())</f>
        <v>13</v>
      </c>
      <c r="P783" s="0" t="n">
        <f aca="false">VLOOKUP(B783,'Team Data'!$A$1:$P$133,3,FALSE())</f>
        <v>1</v>
      </c>
      <c r="Q783" s="0" t="n">
        <f aca="false">VLOOKUP(A783,'Team Data'!$A$1:$P$133,4,FALSE())</f>
        <v>86</v>
      </c>
      <c r="R783" s="0" t="n">
        <f aca="false">VLOOKUP(A783,'Team Data'!$A$1:$P$133,5,FALSE())</f>
        <v>185</v>
      </c>
      <c r="S783" s="0" t="n">
        <f aca="false">VLOOKUP(B783,'Team Data'!$A$1:$P$133,4,FALSE())</f>
        <v>96</v>
      </c>
      <c r="T783" s="0" t="n">
        <f aca="false">VLOOKUP(B783,'Team Data'!$A$1:$P$133,5,FALSE())</f>
        <v>84</v>
      </c>
      <c r="U783" s="0" t="n">
        <f aca="false">IF(K783=1,(MIN(35,(C783-D783)))*(O783/(O783+P783))*(S783/(S783+T783)),(MAX(-35,(C783-D783)))*(IF(P783=0,0.1,(P783/(O783+P783))))*(T783/(S783+T783)))</f>
        <v>-0.0666666666666667</v>
      </c>
      <c r="V783" s="0" t="n">
        <f aca="false">IF(L783=1,(MIN(35,(D783-C783)))*(M783/(M783+N783))*(Q783/(Q783+R783)),(MAX(-35,(D783-C783)))*(IF(N783=0,0.1,(N783/(M783+N783))))*(R783/(R783+Q783)))</f>
        <v>0.390576213454442</v>
      </c>
    </row>
    <row r="784" customFormat="false" ht="15" hidden="false" customHeight="false" outlineLevel="0" collapsed="false">
      <c r="A784" s="0" t="s">
        <v>46</v>
      </c>
      <c r="B784" s="0" t="s">
        <v>66</v>
      </c>
      <c r="C784" s="0" t="n">
        <v>39</v>
      </c>
      <c r="D784" s="0" t="n">
        <v>31</v>
      </c>
      <c r="E784" s="0" t="n">
        <v>257</v>
      </c>
      <c r="F784" s="0" t="n">
        <v>242</v>
      </c>
      <c r="G784" s="0" t="n">
        <v>31</v>
      </c>
      <c r="H784" s="0" t="n">
        <v>298</v>
      </c>
      <c r="I784" s="0" t="n">
        <v>0</v>
      </c>
      <c r="J784" s="0" t="n">
        <v>1</v>
      </c>
      <c r="K784" s="0" t="n">
        <v>1</v>
      </c>
      <c r="L784" s="0" t="n">
        <v>0</v>
      </c>
      <c r="M784" s="0" t="n">
        <f aca="false">VLOOKUP(A784,'Team Data'!$A$1:$P$133,2,FALSE())</f>
        <v>4</v>
      </c>
      <c r="N784" s="0" t="n">
        <f aca="false">VLOOKUP(A784,'Team Data'!$A$1:$P$133,3,FALSE())</f>
        <v>8</v>
      </c>
      <c r="O784" s="0" t="n">
        <f aca="false">VLOOKUP(B784,'Team Data'!$A$1:$P$133,2,FALSE())</f>
        <v>5</v>
      </c>
      <c r="P784" s="0" t="n">
        <f aca="false">VLOOKUP(B784,'Team Data'!$A$1:$P$133,3,FALSE())</f>
        <v>7</v>
      </c>
      <c r="Q784" s="0" t="n">
        <f aca="false">VLOOKUP(A784,'Team Data'!$A$1:$P$133,4,FALSE())</f>
        <v>98</v>
      </c>
      <c r="R784" s="0" t="n">
        <f aca="false">VLOOKUP(A784,'Team Data'!$A$1:$P$133,5,FALSE())</f>
        <v>165</v>
      </c>
      <c r="S784" s="0" t="n">
        <f aca="false">VLOOKUP(B784,'Team Data'!$A$1:$P$133,4,FALSE())</f>
        <v>93</v>
      </c>
      <c r="T784" s="0" t="n">
        <f aca="false">VLOOKUP(B784,'Team Data'!$A$1:$P$133,5,FALSE())</f>
        <v>60</v>
      </c>
      <c r="U784" s="0" t="n">
        <f aca="false">IF(K784=1,(MIN(35,(C784-D784)))*(O784/(O784+P784))*(S784/(S784+T784)),(MAX(-35,(C784-D784)))*(IF(P784=0,0.1,(P784/(O784+P784))))*(T784/(S784+T784)))</f>
        <v>2.02614379084967</v>
      </c>
      <c r="V784" s="0" t="n">
        <f aca="false">IF(L784=1,(MIN(35,(D784-C784)))*(M784/(M784+N784))*(Q784/(Q784+R784)),(MAX(-35,(D784-C784)))*(IF(N784=0,0.1,(N784/(M784+N784))))*(R784/(R784+Q784)))</f>
        <v>-3.34600760456274</v>
      </c>
    </row>
    <row r="785" customFormat="false" ht="15" hidden="false" customHeight="false" outlineLevel="0" collapsed="false">
      <c r="A785" s="0" t="s">
        <v>90</v>
      </c>
      <c r="B785" s="0" t="s">
        <v>94</v>
      </c>
      <c r="C785" s="0" t="n">
        <v>55</v>
      </c>
      <c r="D785" s="0" t="n">
        <v>10</v>
      </c>
      <c r="E785" s="0" t="n">
        <v>237</v>
      </c>
      <c r="F785" s="0" t="n">
        <v>32</v>
      </c>
      <c r="G785" s="0" t="n">
        <v>199</v>
      </c>
      <c r="H785" s="0" t="n">
        <v>135</v>
      </c>
      <c r="I785" s="0" t="n">
        <v>1</v>
      </c>
      <c r="J785" s="0" t="n">
        <v>3</v>
      </c>
      <c r="K785" s="0" t="n">
        <v>1</v>
      </c>
      <c r="L785" s="0" t="n">
        <v>0</v>
      </c>
      <c r="M785" s="0" t="n">
        <f aca="false">VLOOKUP(A785,'Team Data'!$A$1:$P$133,2,FALSE())</f>
        <v>11</v>
      </c>
      <c r="N785" s="0" t="n">
        <f aca="false">VLOOKUP(A785,'Team Data'!$A$1:$P$133,3,FALSE())</f>
        <v>2</v>
      </c>
      <c r="O785" s="0" t="n">
        <f aca="false">VLOOKUP(B785,'Team Data'!$A$1:$P$133,2,FALSE())</f>
        <v>4</v>
      </c>
      <c r="P785" s="0" t="n">
        <f aca="false">VLOOKUP(B785,'Team Data'!$A$1:$P$133,3,FALSE())</f>
        <v>8</v>
      </c>
      <c r="Q785" s="0" t="n">
        <f aca="false">VLOOKUP(A785,'Team Data'!$A$1:$P$133,4,FALSE())</f>
        <v>92</v>
      </c>
      <c r="R785" s="0" t="n">
        <f aca="false">VLOOKUP(A785,'Team Data'!$A$1:$P$133,5,FALSE())</f>
        <v>75</v>
      </c>
      <c r="S785" s="0" t="n">
        <f aca="false">VLOOKUP(B785,'Team Data'!$A$1:$P$133,4,FALSE())</f>
        <v>87</v>
      </c>
      <c r="T785" s="0" t="n">
        <f aca="false">VLOOKUP(B785,'Team Data'!$A$1:$P$133,5,FALSE())</f>
        <v>172</v>
      </c>
      <c r="U785" s="0" t="n">
        <f aca="false">IF(K785=1,(MIN(35,(C785-D785)))*(O785/(O785+P785))*(S785/(S785+T785)),(MAX(-35,(C785-D785)))*(IF(P785=0,0.1,(P785/(O785+P785))))*(T785/(S785+T785)))</f>
        <v>3.91891891891892</v>
      </c>
      <c r="V785" s="0" t="n">
        <f aca="false">IF(L785=1,(MIN(35,(D785-C785)))*(M785/(M785+N785))*(Q785/(Q785+R785)),(MAX(-35,(D785-C785)))*(IF(N785=0,0.1,(N785/(M785+N785))))*(R785/(R785+Q785)))</f>
        <v>-2.41824044219254</v>
      </c>
    </row>
    <row r="786" customFormat="false" ht="15" hidden="false" customHeight="false" outlineLevel="0" collapsed="false">
      <c r="A786" s="0" t="s">
        <v>63</v>
      </c>
      <c r="B786" s="0" t="s">
        <v>27</v>
      </c>
      <c r="C786" s="0" t="n">
        <v>10</v>
      </c>
      <c r="D786" s="0" t="n">
        <v>40</v>
      </c>
      <c r="E786" s="0" t="n">
        <v>30</v>
      </c>
      <c r="F786" s="0" t="n">
        <v>207</v>
      </c>
      <c r="G786" s="0" t="n">
        <v>68</v>
      </c>
      <c r="H786" s="0" t="n">
        <v>240</v>
      </c>
      <c r="I786" s="0" t="n">
        <v>2</v>
      </c>
      <c r="J786" s="0" t="n">
        <v>3</v>
      </c>
      <c r="K786" s="0" t="n">
        <v>0</v>
      </c>
      <c r="L786" s="0" t="n">
        <v>1</v>
      </c>
      <c r="M786" s="0" t="n">
        <f aca="false">VLOOKUP(A786,'Team Data'!$A$1:$P$133,2,FALSE())</f>
        <v>5</v>
      </c>
      <c r="N786" s="0" t="n">
        <f aca="false">VLOOKUP(A786,'Team Data'!$A$1:$P$133,3,FALSE())</f>
        <v>7</v>
      </c>
      <c r="O786" s="0" t="n">
        <f aca="false">VLOOKUP(B786,'Team Data'!$A$1:$P$133,2,FALSE())</f>
        <v>11</v>
      </c>
      <c r="P786" s="0" t="n">
        <f aca="false">VLOOKUP(B786,'Team Data'!$A$1:$P$133,3,FALSE())</f>
        <v>3</v>
      </c>
      <c r="Q786" s="0" t="n">
        <f aca="false">VLOOKUP(A786,'Team Data'!$A$1:$P$133,4,FALSE())</f>
        <v>87</v>
      </c>
      <c r="R786" s="0" t="n">
        <f aca="false">VLOOKUP(A786,'Team Data'!$A$1:$P$133,5,FALSE())</f>
        <v>171</v>
      </c>
      <c r="S786" s="0" t="n">
        <f aca="false">VLOOKUP(B786,'Team Data'!$A$1:$P$133,4,FALSE())</f>
        <v>102</v>
      </c>
      <c r="T786" s="0" t="n">
        <f aca="false">VLOOKUP(B786,'Team Data'!$A$1:$P$133,5,FALSE())</f>
        <v>184</v>
      </c>
      <c r="U786" s="0" t="n">
        <f aca="false">IF(K786=1,(MIN(35,(C786-D786)))*(O786/(O786+P786))*(S786/(S786+T786)),(MAX(-35,(C786-D786)))*(IF(P786=0,0.1,(P786/(O786+P786))))*(T786/(S786+T786)))</f>
        <v>-4.13586413586414</v>
      </c>
      <c r="V786" s="0" t="n">
        <f aca="false">IF(L786=1,(MIN(35,(D786-C786)))*(M786/(M786+N786))*(Q786/(Q786+R786)),(MAX(-35,(D786-C786)))*(IF(N786=0,0.1,(N786/(M786+N786))))*(R786/(R786+Q786)))</f>
        <v>4.21511627906977</v>
      </c>
    </row>
    <row r="787" customFormat="false" ht="15" hidden="false" customHeight="false" outlineLevel="0" collapsed="false">
      <c r="A787" s="0" t="s">
        <v>56</v>
      </c>
      <c r="B787" s="0" t="s">
        <v>37</v>
      </c>
      <c r="C787" s="0" t="n">
        <v>17</v>
      </c>
      <c r="D787" s="0" t="n">
        <v>49</v>
      </c>
      <c r="E787" s="0" t="n">
        <v>132</v>
      </c>
      <c r="F787" s="0" t="n">
        <v>251</v>
      </c>
      <c r="G787" s="0" t="n">
        <v>159</v>
      </c>
      <c r="H787" s="0" t="n">
        <v>189</v>
      </c>
      <c r="I787" s="0" t="n">
        <v>1</v>
      </c>
      <c r="J787" s="0" t="n">
        <v>0</v>
      </c>
      <c r="K787" s="0" t="n">
        <v>0</v>
      </c>
      <c r="L787" s="0" t="n">
        <v>1</v>
      </c>
      <c r="M787" s="0" t="n">
        <f aca="false">VLOOKUP(A787,'Team Data'!$A$1:$P$133,2,FALSE())</f>
        <v>6</v>
      </c>
      <c r="N787" s="0" t="n">
        <f aca="false">VLOOKUP(A787,'Team Data'!$A$1:$P$133,3,FALSE())</f>
        <v>7</v>
      </c>
      <c r="O787" s="0" t="n">
        <f aca="false">VLOOKUP(B787,'Team Data'!$A$1:$P$133,2,FALSE())</f>
        <v>10</v>
      </c>
      <c r="P787" s="0" t="n">
        <f aca="false">VLOOKUP(B787,'Team Data'!$A$1:$P$133,3,FALSE())</f>
        <v>3</v>
      </c>
      <c r="Q787" s="0" t="n">
        <f aca="false">VLOOKUP(A787,'Team Data'!$A$1:$P$133,4,FALSE())</f>
        <v>95</v>
      </c>
      <c r="R787" s="0" t="n">
        <f aca="false">VLOOKUP(A787,'Team Data'!$A$1:$P$133,5,FALSE())</f>
        <v>179</v>
      </c>
      <c r="S787" s="0" t="n">
        <f aca="false">VLOOKUP(B787,'Team Data'!$A$1:$P$133,4,FALSE())</f>
        <v>91</v>
      </c>
      <c r="T787" s="0" t="n">
        <f aca="false">VLOOKUP(B787,'Team Data'!$A$1:$P$133,5,FALSE())</f>
        <v>184</v>
      </c>
      <c r="U787" s="0" t="n">
        <f aca="false">IF(K787=1,(MIN(35,(C787-D787)))*(O787/(O787+P787))*(S787/(S787+T787)),(MAX(-35,(C787-D787)))*(IF(P787=0,0.1,(P787/(O787+P787))))*(T787/(S787+T787)))</f>
        <v>-4.94097902097902</v>
      </c>
      <c r="V787" s="0" t="n">
        <f aca="false">IF(L787=1,(MIN(35,(D787-C787)))*(M787/(M787+N787))*(Q787/(Q787+R787)),(MAX(-35,(D787-C787)))*(IF(N787=0,0.1,(N787/(M787+N787))))*(R787/(R787+Q787)))</f>
        <v>5.12071869736103</v>
      </c>
    </row>
    <row r="788" customFormat="false" ht="15" hidden="false" customHeight="false" outlineLevel="0" collapsed="false">
      <c r="A788" s="0" t="s">
        <v>71</v>
      </c>
      <c r="B788" s="0" t="s">
        <v>59</v>
      </c>
      <c r="C788" s="0" t="n">
        <v>10</v>
      </c>
      <c r="D788" s="0" t="n">
        <v>25</v>
      </c>
      <c r="E788" s="0" t="n">
        <v>77</v>
      </c>
      <c r="F788" s="0" t="n">
        <v>192</v>
      </c>
      <c r="G788" s="0" t="n">
        <v>214</v>
      </c>
      <c r="H788" s="0" t="n">
        <v>153</v>
      </c>
      <c r="I788" s="0" t="n">
        <v>1</v>
      </c>
      <c r="J788" s="0" t="n">
        <v>0</v>
      </c>
      <c r="K788" s="0" t="n">
        <v>0</v>
      </c>
      <c r="L788" s="0" t="n">
        <v>1</v>
      </c>
      <c r="M788" s="0" t="n">
        <f aca="false">VLOOKUP(A788,'Team Data'!$A$1:$P$133,2,FALSE())</f>
        <v>8</v>
      </c>
      <c r="N788" s="0" t="n">
        <f aca="false">VLOOKUP(A788,'Team Data'!$A$1:$P$133,3,FALSE())</f>
        <v>5</v>
      </c>
      <c r="O788" s="0" t="n">
        <f aca="false">VLOOKUP(B788,'Team Data'!$A$1:$P$133,2,FALSE())</f>
        <v>8</v>
      </c>
      <c r="P788" s="0" t="n">
        <f aca="false">VLOOKUP(B788,'Team Data'!$A$1:$P$133,3,FALSE())</f>
        <v>5</v>
      </c>
      <c r="Q788" s="0" t="n">
        <f aca="false">VLOOKUP(A788,'Team Data'!$A$1:$P$133,4,FALSE())</f>
        <v>97</v>
      </c>
      <c r="R788" s="0" t="n">
        <f aca="false">VLOOKUP(A788,'Team Data'!$A$1:$P$133,5,FALSE())</f>
        <v>178</v>
      </c>
      <c r="S788" s="0" t="n">
        <f aca="false">VLOOKUP(B788,'Team Data'!$A$1:$P$133,4,FALSE())</f>
        <v>93</v>
      </c>
      <c r="T788" s="0" t="n">
        <f aca="false">VLOOKUP(B788,'Team Data'!$A$1:$P$133,5,FALSE())</f>
        <v>71</v>
      </c>
      <c r="U788" s="0" t="n">
        <f aca="false">IF(K788=1,(MIN(35,(C788-D788)))*(O788/(O788+P788))*(S788/(S788+T788)),(MAX(-35,(C788-D788)))*(IF(P788=0,0.1,(P788/(O788+P788))))*(T788/(S788+T788)))</f>
        <v>-2.49765478424015</v>
      </c>
      <c r="V788" s="0" t="n">
        <f aca="false">IF(L788=1,(MIN(35,(D788-C788)))*(M788/(M788+N788))*(Q788/(Q788+R788)),(MAX(-35,(D788-C788)))*(IF(N788=0,0.1,(N788/(M788+N788))))*(R788/(R788+Q788)))</f>
        <v>3.25594405594406</v>
      </c>
    </row>
    <row r="789" customFormat="false" ht="15" hidden="false" customHeight="false" outlineLevel="0" collapsed="false">
      <c r="A789" s="0" t="s">
        <v>42</v>
      </c>
      <c r="B789" s="0" t="s">
        <v>77</v>
      </c>
      <c r="C789" s="0" t="n">
        <v>21</v>
      </c>
      <c r="D789" s="0" t="n">
        <v>17</v>
      </c>
      <c r="E789" s="0" t="n">
        <v>186</v>
      </c>
      <c r="F789" s="0" t="n">
        <v>163</v>
      </c>
      <c r="G789" s="0" t="n">
        <v>187</v>
      </c>
      <c r="H789" s="0" t="n">
        <v>202</v>
      </c>
      <c r="I789" s="0" t="n">
        <v>1</v>
      </c>
      <c r="J789" s="0" t="n">
        <v>1</v>
      </c>
      <c r="K789" s="0" t="n">
        <v>1</v>
      </c>
      <c r="L789" s="0" t="n">
        <v>0</v>
      </c>
      <c r="M789" s="0" t="n">
        <f aca="false">VLOOKUP(A789,'Team Data'!$A$1:$P$133,2,FALSE())</f>
        <v>5</v>
      </c>
      <c r="N789" s="0" t="n">
        <f aca="false">VLOOKUP(A789,'Team Data'!$A$1:$P$133,3,FALSE())</f>
        <v>7</v>
      </c>
      <c r="O789" s="0" t="n">
        <f aca="false">VLOOKUP(B789,'Team Data'!$A$1:$P$133,2,FALSE())</f>
        <v>9</v>
      </c>
      <c r="P789" s="0" t="n">
        <f aca="false">VLOOKUP(B789,'Team Data'!$A$1:$P$133,3,FALSE())</f>
        <v>5</v>
      </c>
      <c r="Q789" s="0" t="n">
        <f aca="false">VLOOKUP(A789,'Team Data'!$A$1:$P$133,4,FALSE())</f>
        <v>99</v>
      </c>
      <c r="R789" s="0" t="n">
        <f aca="false">VLOOKUP(A789,'Team Data'!$A$1:$P$133,5,FALSE())</f>
        <v>163</v>
      </c>
      <c r="S789" s="0" t="n">
        <f aca="false">VLOOKUP(B789,'Team Data'!$A$1:$P$133,4,FALSE())</f>
        <v>98</v>
      </c>
      <c r="T789" s="0" t="n">
        <f aca="false">VLOOKUP(B789,'Team Data'!$A$1:$P$133,5,FALSE())</f>
        <v>183</v>
      </c>
      <c r="U789" s="0" t="n">
        <f aca="false">IF(K789=1,(MIN(35,(C789-D789)))*(O789/(O789+P789))*(S789/(S789+T789)),(MAX(-35,(C789-D789)))*(IF(P789=0,0.1,(P789/(O789+P789))))*(T789/(S789+T789)))</f>
        <v>0.896797153024911</v>
      </c>
      <c r="V789" s="0" t="n">
        <f aca="false">IF(L789=1,(MIN(35,(D789-C789)))*(M789/(M789+N789))*(Q789/(Q789+R789)),(MAX(-35,(D789-C789)))*(IF(N789=0,0.1,(N789/(M789+N789))))*(R789/(R789+Q789)))</f>
        <v>-1.45165394402036</v>
      </c>
    </row>
    <row r="790" customFormat="false" ht="15" hidden="false" customHeight="false" outlineLevel="0" collapsed="false">
      <c r="A790" s="0" t="s">
        <v>31</v>
      </c>
      <c r="B790" s="0" t="s">
        <v>91</v>
      </c>
      <c r="C790" s="0" t="n">
        <v>26</v>
      </c>
      <c r="D790" s="0" t="n">
        <v>28</v>
      </c>
      <c r="E790" s="0" t="n">
        <v>63</v>
      </c>
      <c r="F790" s="0" t="n">
        <v>120</v>
      </c>
      <c r="G790" s="0" t="n">
        <v>290</v>
      </c>
      <c r="H790" s="0" t="n">
        <v>190</v>
      </c>
      <c r="I790" s="0" t="n">
        <v>2</v>
      </c>
      <c r="J790" s="0" t="n">
        <v>2</v>
      </c>
      <c r="K790" s="0" t="n">
        <v>0</v>
      </c>
      <c r="L790" s="0" t="n">
        <v>1</v>
      </c>
      <c r="M790" s="0" t="n">
        <f aca="false">VLOOKUP(A790,'Team Data'!$A$1:$P$133,2,FALSE())</f>
        <v>9</v>
      </c>
      <c r="N790" s="0" t="n">
        <f aca="false">VLOOKUP(A790,'Team Data'!$A$1:$P$133,3,FALSE())</f>
        <v>4</v>
      </c>
      <c r="O790" s="0" t="n">
        <f aca="false">VLOOKUP(B790,'Team Data'!$A$1:$P$133,2,FALSE())</f>
        <v>9</v>
      </c>
      <c r="P790" s="0" t="n">
        <f aca="false">VLOOKUP(B790,'Team Data'!$A$1:$P$133,3,FALSE())</f>
        <v>4</v>
      </c>
      <c r="Q790" s="0" t="n">
        <f aca="false">VLOOKUP(A790,'Team Data'!$A$1:$P$133,4,FALSE())</f>
        <v>72</v>
      </c>
      <c r="R790" s="0" t="n">
        <f aca="false">VLOOKUP(A790,'Team Data'!$A$1:$P$133,5,FALSE())</f>
        <v>196</v>
      </c>
      <c r="S790" s="0" t="n">
        <f aca="false">VLOOKUP(B790,'Team Data'!$A$1:$P$133,4,FALSE())</f>
        <v>87</v>
      </c>
      <c r="T790" s="0" t="n">
        <f aca="false">VLOOKUP(B790,'Team Data'!$A$1:$P$133,5,FALSE())</f>
        <v>181</v>
      </c>
      <c r="U790" s="0" t="n">
        <f aca="false">IF(K790=1,(MIN(35,(C790-D790)))*(O790/(O790+P790))*(S790/(S790+T790)),(MAX(-35,(C790-D790)))*(IF(P790=0,0.1,(P790/(O790+P790))))*(T790/(S790+T790)))</f>
        <v>-0.415614236509759</v>
      </c>
      <c r="V790" s="0" t="n">
        <f aca="false">IF(L790=1,(MIN(35,(D790-C790)))*(M790/(M790+N790))*(Q790/(Q790+R790)),(MAX(-35,(D790-C790)))*(IF(N790=0,0.1,(N790/(M790+N790))))*(R790/(R790+Q790)))</f>
        <v>0.371986222732491</v>
      </c>
    </row>
    <row r="791" customFormat="false" ht="15" hidden="false" customHeight="false" outlineLevel="0" collapsed="false">
      <c r="A791" s="0" t="s">
        <v>102</v>
      </c>
      <c r="B791" s="0" t="s">
        <v>129</v>
      </c>
      <c r="C791" s="0" t="n">
        <v>35</v>
      </c>
      <c r="D791" s="0" t="n">
        <v>45</v>
      </c>
      <c r="E791" s="0" t="n">
        <v>120</v>
      </c>
      <c r="F791" s="0" t="n">
        <v>212</v>
      </c>
      <c r="G791" s="0" t="n">
        <v>357</v>
      </c>
      <c r="H791" s="0" t="n">
        <v>331</v>
      </c>
      <c r="I791" s="0" t="n">
        <v>1</v>
      </c>
      <c r="J791" s="0" t="n">
        <v>0</v>
      </c>
      <c r="K791" s="0" t="n">
        <v>0</v>
      </c>
      <c r="L791" s="0" t="n">
        <v>1</v>
      </c>
      <c r="M791" s="0" t="n">
        <f aca="false">VLOOKUP(A791,'Team Data'!$A$1:$P$133,2,FALSE())</f>
        <v>7</v>
      </c>
      <c r="N791" s="0" t="n">
        <f aca="false">VLOOKUP(A791,'Team Data'!$A$1:$P$133,3,FALSE())</f>
        <v>6</v>
      </c>
      <c r="O791" s="0" t="n">
        <f aca="false">VLOOKUP(B791,'Team Data'!$A$1:$P$133,2,FALSE())</f>
        <v>8</v>
      </c>
      <c r="P791" s="0" t="n">
        <f aca="false">VLOOKUP(B791,'Team Data'!$A$1:$P$133,3,FALSE())</f>
        <v>5</v>
      </c>
      <c r="Q791" s="0" t="n">
        <f aca="false">VLOOKUP(A791,'Team Data'!$A$1:$P$133,4,FALSE())</f>
        <v>100</v>
      </c>
      <c r="R791" s="0" t="n">
        <f aca="false">VLOOKUP(A791,'Team Data'!$A$1:$P$133,5,FALSE())</f>
        <v>174</v>
      </c>
      <c r="S791" s="0" t="n">
        <f aca="false">VLOOKUP(B791,'Team Data'!$A$1:$P$133,4,FALSE())</f>
        <v>98</v>
      </c>
      <c r="T791" s="0" t="n">
        <f aca="false">VLOOKUP(B791,'Team Data'!$A$1:$P$133,5,FALSE())</f>
        <v>177</v>
      </c>
      <c r="U791" s="0" t="n">
        <f aca="false">IF(K791=1,(MIN(35,(C791-D791)))*(O791/(O791+P791))*(S791/(S791+T791)),(MAX(-35,(C791-D791)))*(IF(P791=0,0.1,(P791/(O791+P791))))*(T791/(S791+T791)))</f>
        <v>-2.47552447552448</v>
      </c>
      <c r="V791" s="0" t="n">
        <f aca="false">IF(L791=1,(MIN(35,(D791-C791)))*(M791/(M791+N791))*(Q791/(Q791+R791)),(MAX(-35,(D791-C791)))*(IF(N791=0,0.1,(N791/(M791+N791))))*(R791/(R791+Q791)))</f>
        <v>1.96518809657496</v>
      </c>
    </row>
    <row r="792" customFormat="false" ht="15" hidden="false" customHeight="false" outlineLevel="0" collapsed="false">
      <c r="A792" s="0" t="s">
        <v>19</v>
      </c>
      <c r="B792" s="0" t="s">
        <v>136</v>
      </c>
      <c r="C792" s="0" t="n">
        <v>20</v>
      </c>
      <c r="D792" s="0" t="n">
        <v>17</v>
      </c>
      <c r="E792" s="0" t="n">
        <v>269</v>
      </c>
      <c r="F792" s="0" t="n">
        <v>278</v>
      </c>
      <c r="G792" s="0" t="n">
        <v>211</v>
      </c>
      <c r="H792" s="0" t="n">
        <v>30</v>
      </c>
      <c r="I792" s="0" t="n">
        <v>2</v>
      </c>
      <c r="J792" s="0" t="n">
        <v>3</v>
      </c>
      <c r="K792" s="0" t="n">
        <v>1</v>
      </c>
      <c r="L792" s="0" t="n">
        <v>0</v>
      </c>
      <c r="M792" s="0" t="n">
        <f aca="false">VLOOKUP(A792,'Team Data'!$A$1:$P$133,2,FALSE())</f>
        <v>10</v>
      </c>
      <c r="N792" s="0" t="n">
        <f aca="false">VLOOKUP(A792,'Team Data'!$A$1:$P$133,3,FALSE())</f>
        <v>4</v>
      </c>
      <c r="O792" s="0" t="n">
        <f aca="false">VLOOKUP(B792,'Team Data'!$A$1:$P$133,2,FALSE())</f>
        <v>7</v>
      </c>
      <c r="P792" s="0" t="n">
        <f aca="false">VLOOKUP(B792,'Team Data'!$A$1:$P$133,3,FALSE())</f>
        <v>6</v>
      </c>
      <c r="Q792" s="0" t="n">
        <f aca="false">VLOOKUP(A792,'Team Data'!$A$1:$P$133,4,FALSE())</f>
        <v>95</v>
      </c>
      <c r="R792" s="0" t="n">
        <f aca="false">VLOOKUP(A792,'Team Data'!$A$1:$P$133,5,FALSE())</f>
        <v>193</v>
      </c>
      <c r="S792" s="0" t="n">
        <f aca="false">VLOOKUP(B792,'Team Data'!$A$1:$P$133,4,FALSE())</f>
        <v>90</v>
      </c>
      <c r="T792" s="0" t="n">
        <f aca="false">VLOOKUP(B792,'Team Data'!$A$1:$P$133,5,FALSE())</f>
        <v>185</v>
      </c>
      <c r="U792" s="0" t="n">
        <f aca="false">IF(K792=1,(MIN(35,(C792-D792)))*(O792/(O792+P792))*(S792/(S792+T792)),(MAX(-35,(C792-D792)))*(IF(P792=0,0.1,(P792/(O792+P792))))*(T792/(S792+T792)))</f>
        <v>0.528671328671329</v>
      </c>
      <c r="V792" s="0" t="n">
        <f aca="false">IF(L792=1,(MIN(35,(D792-C792)))*(M792/(M792+N792))*(Q792/(Q792+R792)),(MAX(-35,(D792-C792)))*(IF(N792=0,0.1,(N792/(M792+N792))))*(R792/(R792+Q792)))</f>
        <v>-0.574404761904762</v>
      </c>
    </row>
    <row r="793" customFormat="false" ht="15" hidden="false" customHeight="false" outlineLevel="0" collapsed="false">
      <c r="A793" s="0" t="s">
        <v>30</v>
      </c>
      <c r="B793" s="0" t="s">
        <v>6</v>
      </c>
      <c r="C793" s="0" t="n">
        <v>12</v>
      </c>
      <c r="D793" s="0" t="n">
        <v>24</v>
      </c>
      <c r="E793" s="0" t="n">
        <v>65</v>
      </c>
      <c r="F793" s="0" t="n">
        <v>359</v>
      </c>
      <c r="G793" s="0" t="n">
        <v>179</v>
      </c>
      <c r="H793" s="0" t="n">
        <v>0</v>
      </c>
      <c r="I793" s="0" t="n">
        <v>0</v>
      </c>
      <c r="J793" s="0" t="n">
        <v>1</v>
      </c>
      <c r="K793" s="0" t="n">
        <v>0</v>
      </c>
      <c r="L793" s="0" t="n">
        <v>1</v>
      </c>
      <c r="M793" s="0" t="n">
        <f aca="false">VLOOKUP(A793,'Team Data'!$A$1:$P$133,2,FALSE())</f>
        <v>3</v>
      </c>
      <c r="N793" s="0" t="n">
        <f aca="false">VLOOKUP(A793,'Team Data'!$A$1:$P$133,3,FALSE())</f>
        <v>9</v>
      </c>
      <c r="O793" s="0" t="n">
        <f aca="false">VLOOKUP(B793,'Team Data'!$A$1:$P$133,2,FALSE())</f>
        <v>10</v>
      </c>
      <c r="P793" s="0" t="n">
        <f aca="false">VLOOKUP(B793,'Team Data'!$A$1:$P$133,3,FALSE())</f>
        <v>3</v>
      </c>
      <c r="Q793" s="0" t="n">
        <f aca="false">VLOOKUP(A793,'Team Data'!$A$1:$P$133,4,FALSE())</f>
        <v>83</v>
      </c>
      <c r="R793" s="0" t="n">
        <f aca="false">VLOOKUP(A793,'Team Data'!$A$1:$P$133,5,FALSE())</f>
        <v>179</v>
      </c>
      <c r="S793" s="0" t="n">
        <f aca="false">VLOOKUP(B793,'Team Data'!$A$1:$P$133,4,FALSE())</f>
        <v>67</v>
      </c>
      <c r="T793" s="0" t="n">
        <f aca="false">VLOOKUP(B793,'Team Data'!$A$1:$P$133,5,FALSE())</f>
        <v>203</v>
      </c>
      <c r="U793" s="0" t="n">
        <f aca="false">IF(K793=1,(MIN(35,(C793-D793)))*(O793/(O793+P793))*(S793/(S793+T793)),(MAX(-35,(C793-D793)))*(IF(P793=0,0.1,(P793/(O793+P793))))*(T793/(S793+T793)))</f>
        <v>-2.08205128205128</v>
      </c>
      <c r="V793" s="0" t="n">
        <f aca="false">IF(L793=1,(MIN(35,(D793-C793)))*(M793/(M793+N793))*(Q793/(Q793+R793)),(MAX(-35,(D793-C793)))*(IF(N793=0,0.1,(N793/(M793+N793))))*(R793/(R793+Q793)))</f>
        <v>0.950381679389313</v>
      </c>
    </row>
    <row r="794" customFormat="false" ht="15" hidden="false" customHeight="false" outlineLevel="0" collapsed="false">
      <c r="A794" s="0" t="s">
        <v>38</v>
      </c>
      <c r="B794" s="0" t="s">
        <v>74</v>
      </c>
      <c r="C794" s="0" t="n">
        <v>41</v>
      </c>
      <c r="D794" s="0" t="n">
        <v>14</v>
      </c>
      <c r="E794" s="0" t="n">
        <v>163</v>
      </c>
      <c r="F794" s="0" t="n">
        <v>146</v>
      </c>
      <c r="G794" s="0" t="n">
        <v>361</v>
      </c>
      <c r="H794" s="0" t="n">
        <v>243</v>
      </c>
      <c r="I794" s="0" t="n">
        <v>0</v>
      </c>
      <c r="J794" s="0" t="n">
        <v>3</v>
      </c>
      <c r="K794" s="0" t="n">
        <v>1</v>
      </c>
      <c r="L794" s="0" t="n">
        <v>0</v>
      </c>
      <c r="M794" s="0" t="n">
        <f aca="false">VLOOKUP(A794,'Team Data'!$A$1:$P$133,2,FALSE())</f>
        <v>10</v>
      </c>
      <c r="N794" s="0" t="n">
        <f aca="false">VLOOKUP(A794,'Team Data'!$A$1:$P$133,3,FALSE())</f>
        <v>4</v>
      </c>
      <c r="O794" s="0" t="n">
        <f aca="false">VLOOKUP(B794,'Team Data'!$A$1:$P$133,2,FALSE())</f>
        <v>2</v>
      </c>
      <c r="P794" s="0" t="n">
        <f aca="false">VLOOKUP(B794,'Team Data'!$A$1:$P$133,3,FALSE())</f>
        <v>10</v>
      </c>
      <c r="Q794" s="0" t="n">
        <f aca="false">VLOOKUP(A794,'Team Data'!$A$1:$P$133,4,FALSE())</f>
        <v>95</v>
      </c>
      <c r="R794" s="0" t="n">
        <f aca="false">VLOOKUP(A794,'Team Data'!$A$1:$P$133,5,FALSE())</f>
        <v>193</v>
      </c>
      <c r="S794" s="0" t="n">
        <f aca="false">VLOOKUP(B794,'Team Data'!$A$1:$P$133,4,FALSE())</f>
        <v>82</v>
      </c>
      <c r="T794" s="0" t="n">
        <f aca="false">VLOOKUP(B794,'Team Data'!$A$1:$P$133,5,FALSE())</f>
        <v>179</v>
      </c>
      <c r="U794" s="0" t="n">
        <f aca="false">IF(K794=1,(MIN(35,(C794-D794)))*(O794/(O794+P794))*(S794/(S794+T794)),(MAX(-35,(C794-D794)))*(IF(P794=0,0.1,(P794/(O794+P794))))*(T794/(S794+T794)))</f>
        <v>1.41379310344828</v>
      </c>
      <c r="V794" s="0" t="n">
        <f aca="false">IF(L794=1,(MIN(35,(D794-C794)))*(M794/(M794+N794))*(Q794/(Q794+R794)),(MAX(-35,(D794-C794)))*(IF(N794=0,0.1,(N794/(M794+N794))))*(R794/(R794+Q794)))</f>
        <v>-5.16964285714286</v>
      </c>
    </row>
    <row r="795" customFormat="false" ht="15" hidden="false" customHeight="false" outlineLevel="0" collapsed="false">
      <c r="A795" s="0" t="s">
        <v>96</v>
      </c>
      <c r="B795" s="0" t="s">
        <v>75</v>
      </c>
      <c r="C795" s="0" t="n">
        <v>34</v>
      </c>
      <c r="D795" s="0" t="n">
        <v>10</v>
      </c>
      <c r="E795" s="0" t="n">
        <v>177</v>
      </c>
      <c r="F795" s="0" t="n">
        <v>97</v>
      </c>
      <c r="G795" s="0" t="n">
        <v>282</v>
      </c>
      <c r="H795" s="0" t="n">
        <v>112</v>
      </c>
      <c r="I795" s="0" t="n">
        <v>1</v>
      </c>
      <c r="J795" s="0" t="n">
        <v>1</v>
      </c>
      <c r="K795" s="0" t="n">
        <v>1</v>
      </c>
      <c r="L795" s="0" t="n">
        <v>0</v>
      </c>
      <c r="M795" s="0" t="n">
        <f aca="false">VLOOKUP(A795,'Team Data'!$A$1:$P$133,2,FALSE())</f>
        <v>7</v>
      </c>
      <c r="N795" s="0" t="n">
        <f aca="false">VLOOKUP(A795,'Team Data'!$A$1:$P$133,3,FALSE())</f>
        <v>6</v>
      </c>
      <c r="O795" s="0" t="n">
        <f aca="false">VLOOKUP(B795,'Team Data'!$A$1:$P$133,2,FALSE())</f>
        <v>2</v>
      </c>
      <c r="P795" s="0" t="n">
        <f aca="false">VLOOKUP(B795,'Team Data'!$A$1:$P$133,3,FALSE())</f>
        <v>10</v>
      </c>
      <c r="Q795" s="0" t="n">
        <f aca="false">VLOOKUP(A795,'Team Data'!$A$1:$P$133,4,FALSE())</f>
        <v>89</v>
      </c>
      <c r="R795" s="0" t="n">
        <f aca="false">VLOOKUP(A795,'Team Data'!$A$1:$P$133,5,FALSE())</f>
        <v>186</v>
      </c>
      <c r="S795" s="0" t="n">
        <f aca="false">VLOOKUP(B795,'Team Data'!$A$1:$P$133,4,FALSE())</f>
        <v>88</v>
      </c>
      <c r="T795" s="0" t="n">
        <f aca="false">VLOOKUP(B795,'Team Data'!$A$1:$P$133,5,FALSE())</f>
        <v>175</v>
      </c>
      <c r="U795" s="0" t="n">
        <f aca="false">IF(K795=1,(MIN(35,(C795-D795)))*(O795/(O795+P795))*(S795/(S795+T795)),(MAX(-35,(C795-D795)))*(IF(P795=0,0.1,(P795/(O795+P795))))*(T795/(S795+T795)))</f>
        <v>1.3384030418251</v>
      </c>
      <c r="V795" s="0" t="n">
        <f aca="false">IF(L795=1,(MIN(35,(D795-C795)))*(M795/(M795+N795))*(Q795/(Q795+R795)),(MAX(-35,(D795-C795)))*(IF(N795=0,0.1,(N795/(M795+N795))))*(R795/(R795+Q795)))</f>
        <v>-7.49202797202797</v>
      </c>
    </row>
    <row r="796" customFormat="false" ht="15" hidden="false" customHeight="false" outlineLevel="0" collapsed="false">
      <c r="A796" s="0" t="s">
        <v>97</v>
      </c>
      <c r="B796" s="0" t="s">
        <v>125</v>
      </c>
      <c r="C796" s="0" t="n">
        <v>31</v>
      </c>
      <c r="D796" s="0" t="n">
        <v>35</v>
      </c>
      <c r="E796" s="0" t="n">
        <v>84</v>
      </c>
      <c r="F796" s="0" t="n">
        <v>186</v>
      </c>
      <c r="G796" s="0" t="n">
        <v>257</v>
      </c>
      <c r="H796" s="0" t="n">
        <v>244</v>
      </c>
      <c r="I796" s="0" t="n">
        <v>0</v>
      </c>
      <c r="J796" s="0" t="n">
        <v>3</v>
      </c>
      <c r="K796" s="0" t="n">
        <v>0</v>
      </c>
      <c r="L796" s="0" t="n">
        <v>1</v>
      </c>
      <c r="M796" s="0" t="n">
        <f aca="false">VLOOKUP(A796,'Team Data'!$A$1:$P$133,2,FALSE())</f>
        <v>7</v>
      </c>
      <c r="N796" s="0" t="n">
        <f aca="false">VLOOKUP(A796,'Team Data'!$A$1:$P$133,3,FALSE())</f>
        <v>5</v>
      </c>
      <c r="O796" s="0" t="n">
        <f aca="false">VLOOKUP(B796,'Team Data'!$A$1:$P$133,2,FALSE())</f>
        <v>6</v>
      </c>
      <c r="P796" s="0" t="n">
        <f aca="false">VLOOKUP(B796,'Team Data'!$A$1:$P$133,3,FALSE())</f>
        <v>7</v>
      </c>
      <c r="Q796" s="0" t="n">
        <f aca="false">VLOOKUP(A796,'Team Data'!$A$1:$P$133,4,FALSE())</f>
        <v>70</v>
      </c>
      <c r="R796" s="0" t="n">
        <f aca="false">VLOOKUP(A796,'Team Data'!$A$1:$P$133,5,FALSE())</f>
        <v>189</v>
      </c>
      <c r="S796" s="0" t="n">
        <f aca="false">VLOOKUP(B796,'Team Data'!$A$1:$P$133,4,FALSE())</f>
        <v>87</v>
      </c>
      <c r="T796" s="0" t="n">
        <f aca="false">VLOOKUP(B796,'Team Data'!$A$1:$P$133,5,FALSE())</f>
        <v>186</v>
      </c>
      <c r="U796" s="0" t="n">
        <f aca="false">IF(K796=1,(MIN(35,(C796-D796)))*(O796/(O796+P796))*(S796/(S796+T796)),(MAX(-35,(C796-D796)))*(IF(P796=0,0.1,(P796/(O796+P796))))*(T796/(S796+T796)))</f>
        <v>-1.46745562130178</v>
      </c>
      <c r="V796" s="0" t="n">
        <f aca="false">IF(L796=1,(MIN(35,(D796-C796)))*(M796/(M796+N796))*(Q796/(Q796+R796)),(MAX(-35,(D796-C796)))*(IF(N796=0,0.1,(N796/(M796+N796))))*(R796/(R796+Q796)))</f>
        <v>0.630630630630631</v>
      </c>
    </row>
    <row r="797" customFormat="false" ht="15" hidden="false" customHeight="false" outlineLevel="0" collapsed="false">
      <c r="A797" s="0" t="s">
        <v>119</v>
      </c>
      <c r="B797" s="0" t="s">
        <v>43</v>
      </c>
      <c r="C797" s="0" t="n">
        <v>25</v>
      </c>
      <c r="D797" s="0" t="n">
        <v>31</v>
      </c>
      <c r="E797" s="0" t="n">
        <v>139</v>
      </c>
      <c r="F797" s="0" t="n">
        <v>167</v>
      </c>
      <c r="G797" s="0" t="n">
        <v>288</v>
      </c>
      <c r="H797" s="0" t="n">
        <v>202</v>
      </c>
      <c r="I797" s="0" t="n">
        <v>1</v>
      </c>
      <c r="J797" s="0" t="n">
        <v>2</v>
      </c>
      <c r="K797" s="0" t="n">
        <v>0</v>
      </c>
      <c r="L797" s="0" t="n">
        <v>1</v>
      </c>
      <c r="M797" s="0" t="n">
        <f aca="false">VLOOKUP(A797,'Team Data'!$A$1:$P$133,2,FALSE())</f>
        <v>5</v>
      </c>
      <c r="N797" s="0" t="n">
        <f aca="false">VLOOKUP(A797,'Team Data'!$A$1:$P$133,3,FALSE())</f>
        <v>7</v>
      </c>
      <c r="O797" s="0" t="n">
        <f aca="false">VLOOKUP(B797,'Team Data'!$A$1:$P$133,2,FALSE())</f>
        <v>3</v>
      </c>
      <c r="P797" s="0" t="n">
        <f aca="false">VLOOKUP(B797,'Team Data'!$A$1:$P$133,3,FALSE())</f>
        <v>10</v>
      </c>
      <c r="Q797" s="0" t="n">
        <f aca="false">VLOOKUP(A797,'Team Data'!$A$1:$P$133,4,FALSE())</f>
        <v>75</v>
      </c>
      <c r="R797" s="0" t="n">
        <f aca="false">VLOOKUP(A797,'Team Data'!$A$1:$P$133,5,FALSE())</f>
        <v>186</v>
      </c>
      <c r="S797" s="0" t="n">
        <f aca="false">VLOOKUP(B797,'Team Data'!$A$1:$P$133,4,FALSE())</f>
        <v>89</v>
      </c>
      <c r="T797" s="0" t="n">
        <f aca="false">VLOOKUP(B797,'Team Data'!$A$1:$P$133,5,FALSE())</f>
        <v>185</v>
      </c>
      <c r="U797" s="0" t="n">
        <f aca="false">IF(K797=1,(MIN(35,(C797-D797)))*(O797/(O797+P797))*(S797/(S797+T797)),(MAX(-35,(C797-D797)))*(IF(P797=0,0.1,(P797/(O797+P797))))*(T797/(S797+T797)))</f>
        <v>-3.11622683885458</v>
      </c>
      <c r="V797" s="0" t="n">
        <f aca="false">IF(L797=1,(MIN(35,(D797-C797)))*(M797/(M797+N797))*(Q797/(Q797+R797)),(MAX(-35,(D797-C797)))*(IF(N797=0,0.1,(N797/(M797+N797))))*(R797/(R797+Q797)))</f>
        <v>0.718390804597701</v>
      </c>
    </row>
    <row r="798" customFormat="false" ht="15" hidden="false" customHeight="false" outlineLevel="0" collapsed="false">
      <c r="A798" s="0" t="s">
        <v>95</v>
      </c>
      <c r="B798" s="0" t="s">
        <v>112</v>
      </c>
      <c r="C798" s="0" t="n">
        <v>24</v>
      </c>
      <c r="D798" s="0" t="n">
        <v>59</v>
      </c>
      <c r="E798" s="0" t="n">
        <v>141</v>
      </c>
      <c r="F798" s="0" t="n">
        <v>310</v>
      </c>
      <c r="G798" s="0" t="n">
        <v>329</v>
      </c>
      <c r="H798" s="0" t="n">
        <v>141</v>
      </c>
      <c r="I798" s="0" t="n">
        <v>5</v>
      </c>
      <c r="J798" s="0" t="n">
        <v>1</v>
      </c>
      <c r="K798" s="0" t="n">
        <v>0</v>
      </c>
      <c r="L798" s="0" t="n">
        <v>1</v>
      </c>
      <c r="M798" s="0" t="n">
        <f aca="false">VLOOKUP(A798,'Team Data'!$A$1:$P$133,2,FALSE())</f>
        <v>7</v>
      </c>
      <c r="N798" s="0" t="n">
        <f aca="false">VLOOKUP(A798,'Team Data'!$A$1:$P$133,3,FALSE())</f>
        <v>6</v>
      </c>
      <c r="O798" s="0" t="n">
        <f aca="false">VLOOKUP(B798,'Team Data'!$A$1:$P$133,2,FALSE())</f>
        <v>12</v>
      </c>
      <c r="P798" s="0" t="n">
        <f aca="false">VLOOKUP(B798,'Team Data'!$A$1:$P$133,3,FALSE())</f>
        <v>2</v>
      </c>
      <c r="Q798" s="0" t="n">
        <f aca="false">VLOOKUP(A798,'Team Data'!$A$1:$P$133,4,FALSE())</f>
        <v>99</v>
      </c>
      <c r="R798" s="0" t="n">
        <f aca="false">VLOOKUP(A798,'Team Data'!$A$1:$P$133,5,FALSE())</f>
        <v>179</v>
      </c>
      <c r="S798" s="0" t="n">
        <f aca="false">VLOOKUP(B798,'Team Data'!$A$1:$P$133,4,FALSE())</f>
        <v>100</v>
      </c>
      <c r="T798" s="0" t="n">
        <f aca="false">VLOOKUP(B798,'Team Data'!$A$1:$P$133,5,FALSE())</f>
        <v>190</v>
      </c>
      <c r="U798" s="0" t="n">
        <f aca="false">IF(K798=1,(MIN(35,(C798-D798)))*(O798/(O798+P798))*(S798/(S798+T798)),(MAX(-35,(C798-D798)))*(IF(P798=0,0.1,(P798/(O798+P798))))*(T798/(S798+T798)))</f>
        <v>-3.27586206896552</v>
      </c>
      <c r="V798" s="0" t="n">
        <f aca="false">IF(L798=1,(MIN(35,(D798-C798)))*(M798/(M798+N798))*(Q798/(Q798+R798)),(MAX(-35,(D798-C798)))*(IF(N798=0,0.1,(N798/(M798+N798))))*(R798/(R798+Q798)))</f>
        <v>6.71140011068069</v>
      </c>
    </row>
    <row r="799" customFormat="false" ht="15" hidden="false" customHeight="false" outlineLevel="0" collapsed="false">
      <c r="A799" s="0" t="s">
        <v>121</v>
      </c>
      <c r="B799" s="0" t="s">
        <v>113</v>
      </c>
      <c r="C799" s="0" t="n">
        <v>42</v>
      </c>
      <c r="D799" s="0" t="n">
        <v>48</v>
      </c>
      <c r="E799" s="0" t="n">
        <v>259</v>
      </c>
      <c r="F799" s="0" t="n">
        <v>271</v>
      </c>
      <c r="G799" s="0" t="n">
        <v>240</v>
      </c>
      <c r="H799" s="0" t="n">
        <v>302</v>
      </c>
      <c r="I799" s="0" t="n">
        <v>2</v>
      </c>
      <c r="J799" s="0" t="n">
        <v>0</v>
      </c>
      <c r="K799" s="0" t="n">
        <v>0</v>
      </c>
      <c r="L799" s="0" t="n">
        <v>1</v>
      </c>
      <c r="M799" s="0" t="n">
        <f aca="false">VLOOKUP(A799,'Team Data'!$A$1:$P$133,2,FALSE())</f>
        <v>1</v>
      </c>
      <c r="N799" s="0" t="n">
        <f aca="false">VLOOKUP(A799,'Team Data'!$A$1:$P$133,3,FALSE())</f>
        <v>11</v>
      </c>
      <c r="O799" s="0" t="n">
        <f aca="false">VLOOKUP(B799,'Team Data'!$A$1:$P$133,2,FALSE())</f>
        <v>5</v>
      </c>
      <c r="P799" s="0" t="n">
        <f aca="false">VLOOKUP(B799,'Team Data'!$A$1:$P$133,3,FALSE())</f>
        <v>7</v>
      </c>
      <c r="Q799" s="0" t="n">
        <f aca="false">VLOOKUP(A799,'Team Data'!$A$1:$P$133,4,FALSE())</f>
        <v>91</v>
      </c>
      <c r="R799" s="0" t="n">
        <f aca="false">VLOOKUP(A799,'Team Data'!$A$1:$P$133,5,FALSE())</f>
        <v>172</v>
      </c>
      <c r="S799" s="0" t="n">
        <f aca="false">VLOOKUP(B799,'Team Data'!$A$1:$P$133,4,FALSE())</f>
        <v>77</v>
      </c>
      <c r="T799" s="0" t="n">
        <f aca="false">VLOOKUP(B799,'Team Data'!$A$1:$P$133,5,FALSE())</f>
        <v>183</v>
      </c>
      <c r="U799" s="0" t="n">
        <f aca="false">IF(K799=1,(MIN(35,(C799-D799)))*(O799/(O799+P799))*(S799/(S799+T799)),(MAX(-35,(C799-D799)))*(IF(P799=0,0.1,(P799/(O799+P799))))*(T799/(S799+T799)))</f>
        <v>-2.46346153846154</v>
      </c>
      <c r="V799" s="0" t="n">
        <f aca="false">IF(L799=1,(MIN(35,(D799-C799)))*(M799/(M799+N799))*(Q799/(Q799+R799)),(MAX(-35,(D799-C799)))*(IF(N799=0,0.1,(N799/(M799+N799))))*(R799/(R799+Q799)))</f>
        <v>0.173003802281369</v>
      </c>
    </row>
    <row r="800" customFormat="false" ht="15" hidden="false" customHeight="false" outlineLevel="0" collapsed="false">
      <c r="A800" s="0" t="s">
        <v>44</v>
      </c>
      <c r="B800" s="0" t="s">
        <v>32</v>
      </c>
      <c r="C800" s="0" t="n">
        <v>42</v>
      </c>
      <c r="D800" s="0" t="n">
        <v>3</v>
      </c>
      <c r="E800" s="0" t="n">
        <v>80</v>
      </c>
      <c r="F800" s="0" t="n">
        <v>118</v>
      </c>
      <c r="G800" s="0" t="n">
        <v>435</v>
      </c>
      <c r="H800" s="0" t="n">
        <v>197</v>
      </c>
      <c r="I800" s="0" t="n">
        <v>1</v>
      </c>
      <c r="J800" s="0" t="n">
        <v>0</v>
      </c>
      <c r="K800" s="0" t="n">
        <v>1</v>
      </c>
      <c r="L800" s="0" t="n">
        <v>0</v>
      </c>
      <c r="M800" s="0" t="n">
        <f aca="false">VLOOKUP(A800,'Team Data'!$A$1:$P$133,2,FALSE())</f>
        <v>8</v>
      </c>
      <c r="N800" s="0" t="n">
        <f aca="false">VLOOKUP(A800,'Team Data'!$A$1:$P$133,3,FALSE())</f>
        <v>5</v>
      </c>
      <c r="O800" s="0" t="n">
        <f aca="false">VLOOKUP(B800,'Team Data'!$A$1:$P$133,2,FALSE())</f>
        <v>8</v>
      </c>
      <c r="P800" s="0" t="n">
        <f aca="false">VLOOKUP(B800,'Team Data'!$A$1:$P$133,3,FALSE())</f>
        <v>5</v>
      </c>
      <c r="Q800" s="0" t="n">
        <f aca="false">VLOOKUP(A800,'Team Data'!$A$1:$P$133,4,FALSE())</f>
        <v>83</v>
      </c>
      <c r="R800" s="0" t="n">
        <f aca="false">VLOOKUP(A800,'Team Data'!$A$1:$P$133,5,FALSE())</f>
        <v>84</v>
      </c>
      <c r="S800" s="0" t="n">
        <f aca="false">VLOOKUP(B800,'Team Data'!$A$1:$P$133,4,FALSE())</f>
        <v>89</v>
      </c>
      <c r="T800" s="0" t="n">
        <f aca="false">VLOOKUP(B800,'Team Data'!$A$1:$P$133,5,FALSE())</f>
        <v>185</v>
      </c>
      <c r="U800" s="0" t="n">
        <f aca="false">IF(K800=1,(MIN(35,(C800-D800)))*(O800/(O800+P800))*(S800/(S800+T800)),(MAX(-35,(C800-D800)))*(IF(P800=0,0.1,(P800/(O800+P800))))*(T800/(S800+T800)))</f>
        <v>6.99606962380685</v>
      </c>
      <c r="V800" s="0" t="n">
        <f aca="false">IF(L800=1,(MIN(35,(D800-C800)))*(M800/(M800+N800))*(Q800/(Q800+R800)),(MAX(-35,(D800-C800)))*(IF(N800=0,0.1,(N800/(M800+N800))))*(R800/(R800+Q800)))</f>
        <v>-6.77107323813911</v>
      </c>
    </row>
    <row r="801" customFormat="false" ht="15" hidden="false" customHeight="false" outlineLevel="0" collapsed="false">
      <c r="A801" s="0" t="s">
        <v>72</v>
      </c>
      <c r="B801" s="0" t="s">
        <v>115</v>
      </c>
      <c r="C801" s="0" t="n">
        <v>17</v>
      </c>
      <c r="D801" s="0" t="n">
        <v>14</v>
      </c>
      <c r="E801" s="0" t="n">
        <v>248</v>
      </c>
      <c r="F801" s="0" t="n">
        <v>84</v>
      </c>
      <c r="G801" s="0" t="n">
        <v>0</v>
      </c>
      <c r="H801" s="0" t="n">
        <v>230</v>
      </c>
      <c r="I801" s="0" t="n">
        <v>0</v>
      </c>
      <c r="J801" s="0" t="n">
        <v>2</v>
      </c>
      <c r="K801" s="0" t="n">
        <v>1</v>
      </c>
      <c r="L801" s="0" t="n">
        <v>0</v>
      </c>
      <c r="M801" s="0" t="n">
        <f aca="false">VLOOKUP(A801,'Team Data'!$A$1:$P$133,2,FALSE())</f>
        <v>4</v>
      </c>
      <c r="N801" s="0" t="n">
        <f aca="false">VLOOKUP(A801,'Team Data'!$A$1:$P$133,3,FALSE())</f>
        <v>8</v>
      </c>
      <c r="O801" s="0" t="n">
        <f aca="false">VLOOKUP(B801,'Team Data'!$A$1:$P$133,2,FALSE())</f>
        <v>9</v>
      </c>
      <c r="P801" s="0" t="n">
        <f aca="false">VLOOKUP(B801,'Team Data'!$A$1:$P$133,3,FALSE())</f>
        <v>5</v>
      </c>
      <c r="Q801" s="0" t="n">
        <f aca="false">VLOOKUP(A801,'Team Data'!$A$1:$P$133,4,FALSE())</f>
        <v>89</v>
      </c>
      <c r="R801" s="0" t="n">
        <f aca="false">VLOOKUP(A801,'Team Data'!$A$1:$P$133,5,FALSE())</f>
        <v>172</v>
      </c>
      <c r="S801" s="0" t="n">
        <f aca="false">VLOOKUP(B801,'Team Data'!$A$1:$P$133,4,FALSE())</f>
        <v>98</v>
      </c>
      <c r="T801" s="0" t="n">
        <f aca="false">VLOOKUP(B801,'Team Data'!$A$1:$P$133,5,FALSE())</f>
        <v>188</v>
      </c>
      <c r="U801" s="0" t="n">
        <f aca="false">IF(K801=1,(MIN(35,(C801-D801)))*(O801/(O801+P801))*(S801/(S801+T801)),(MAX(-35,(C801-D801)))*(IF(P801=0,0.1,(P801/(O801+P801))))*(T801/(S801+T801)))</f>
        <v>0.660839160839161</v>
      </c>
      <c r="V801" s="0" t="n">
        <f aca="false">IF(L801=1,(MIN(35,(D801-C801)))*(M801/(M801+N801))*(Q801/(Q801+R801)),(MAX(-35,(D801-C801)))*(IF(N801=0,0.1,(N801/(M801+N801))))*(R801/(R801+Q801)))</f>
        <v>-1.31800766283525</v>
      </c>
    </row>
    <row r="802" customFormat="false" ht="15" hidden="false" customHeight="false" outlineLevel="0" collapsed="false">
      <c r="A802" s="0" t="s">
        <v>198</v>
      </c>
      <c r="B802" s="0" t="s">
        <v>62</v>
      </c>
      <c r="C802" s="0" t="n">
        <v>0</v>
      </c>
      <c r="D802" s="0" t="n">
        <v>59</v>
      </c>
      <c r="E802" s="0" t="n">
        <v>100</v>
      </c>
      <c r="F802" s="0" t="n">
        <v>246</v>
      </c>
      <c r="G802" s="0" t="n">
        <v>24</v>
      </c>
      <c r="H802" s="0" t="n">
        <v>247</v>
      </c>
      <c r="I802" s="0" t="n">
        <v>3</v>
      </c>
      <c r="J802" s="0" t="n">
        <v>0</v>
      </c>
      <c r="K802" s="0" t="n">
        <v>0</v>
      </c>
      <c r="L802" s="0" t="n">
        <v>1</v>
      </c>
      <c r="M802" s="0" t="n">
        <f aca="false">VLOOKUP(A802,'Team Data'!$A$1:$P$133,2,FALSE())</f>
        <v>8</v>
      </c>
      <c r="N802" s="0" t="n">
        <f aca="false">VLOOKUP(A802,'Team Data'!$A$1:$P$133,3,FALSE())</f>
        <v>112</v>
      </c>
      <c r="O802" s="0" t="n">
        <f aca="false">VLOOKUP(B802,'Team Data'!$A$1:$P$133,2,FALSE())</f>
        <v>7</v>
      </c>
      <c r="P802" s="0" t="n">
        <f aca="false">VLOOKUP(B802,'Team Data'!$A$1:$P$133,3,FALSE())</f>
        <v>6</v>
      </c>
      <c r="Q802" s="0" t="n">
        <f aca="false">VLOOKUP(A802,'Team Data'!$A$1:$P$133,4,FALSE())</f>
        <v>805</v>
      </c>
      <c r="R802" s="0" t="n">
        <f aca="false">VLOOKUP(A802,'Team Data'!$A$1:$P$133,5,FALSE())</f>
        <v>725</v>
      </c>
      <c r="S802" s="0" t="n">
        <f aca="false">VLOOKUP(B802,'Team Data'!$A$1:$P$133,4,FALSE())</f>
        <v>89</v>
      </c>
      <c r="T802" s="0" t="n">
        <f aca="false">VLOOKUP(B802,'Team Data'!$A$1:$P$133,5,FALSE())</f>
        <v>186</v>
      </c>
      <c r="U802" s="0" t="n">
        <f aca="false">IF(K802=1,(MIN(35,(C802-D802)))*(O802/(O802+P802))*(S802/(S802+T802)),(MAX(-35,(C802-D802)))*(IF(P802=0,0.1,(P802/(O802+P802))))*(T802/(S802+T802)))</f>
        <v>-10.9258741258741</v>
      </c>
      <c r="V802" s="0" t="n">
        <f aca="false">IF(L802=1,(MIN(35,(D802-C802)))*(M802/(M802+N802))*(Q802/(Q802+R802)),(MAX(-35,(D802-C802)))*(IF(N802=0,0.1,(N802/(M802+N802))))*(R802/(R802+Q802)))</f>
        <v>1.2276688453159</v>
      </c>
    </row>
    <row r="803" customFormat="false" ht="15" hidden="false" customHeight="false" outlineLevel="0" collapsed="false">
      <c r="A803" s="0" t="s">
        <v>26</v>
      </c>
      <c r="B803" s="0" t="s">
        <v>104</v>
      </c>
      <c r="C803" s="0" t="n">
        <v>23</v>
      </c>
      <c r="D803" s="0" t="n">
        <v>3</v>
      </c>
      <c r="E803" s="0" t="n">
        <v>131</v>
      </c>
      <c r="F803" s="0" t="n">
        <v>35</v>
      </c>
      <c r="G803" s="0" t="n">
        <v>257</v>
      </c>
      <c r="H803" s="0" t="n">
        <v>167</v>
      </c>
      <c r="I803" s="0" t="n">
        <v>0</v>
      </c>
      <c r="J803" s="0" t="n">
        <v>4</v>
      </c>
      <c r="K803" s="0" t="n">
        <v>1</v>
      </c>
      <c r="L803" s="0" t="n">
        <v>0</v>
      </c>
      <c r="M803" s="0" t="n">
        <f aca="false">VLOOKUP(A803,'Team Data'!$A$1:$P$133,2,FALSE())</f>
        <v>9</v>
      </c>
      <c r="N803" s="0" t="n">
        <f aca="false">VLOOKUP(A803,'Team Data'!$A$1:$P$133,3,FALSE())</f>
        <v>4</v>
      </c>
      <c r="O803" s="0" t="n">
        <f aca="false">VLOOKUP(B803,'Team Data'!$A$1:$P$133,2,FALSE())</f>
        <v>3</v>
      </c>
      <c r="P803" s="0" t="n">
        <f aca="false">VLOOKUP(B803,'Team Data'!$A$1:$P$133,3,FALSE())</f>
        <v>9</v>
      </c>
      <c r="Q803" s="0" t="n">
        <f aca="false">VLOOKUP(A803,'Team Data'!$A$1:$P$133,4,FALSE())</f>
        <v>82</v>
      </c>
      <c r="R803" s="0" t="n">
        <f aca="false">VLOOKUP(A803,'Team Data'!$A$1:$P$133,5,FALSE())</f>
        <v>191</v>
      </c>
      <c r="S803" s="0" t="n">
        <f aca="false">VLOOKUP(B803,'Team Data'!$A$1:$P$133,4,FALSE())</f>
        <v>73</v>
      </c>
      <c r="T803" s="0" t="n">
        <f aca="false">VLOOKUP(B803,'Team Data'!$A$1:$P$133,5,FALSE())</f>
        <v>186</v>
      </c>
      <c r="U803" s="0" t="n">
        <f aca="false">IF(K803=1,(MIN(35,(C803-D803)))*(O803/(O803+P803))*(S803/(S803+T803)),(MAX(-35,(C803-D803)))*(IF(P803=0,0.1,(P803/(O803+P803))))*(T803/(S803+T803)))</f>
        <v>1.40926640926641</v>
      </c>
      <c r="V803" s="0" t="n">
        <f aca="false">IF(L803=1,(MIN(35,(D803-C803)))*(M803/(M803+N803))*(Q803/(Q803+R803)),(MAX(-35,(D803-C803)))*(IF(N803=0,0.1,(N803/(M803+N803))))*(R803/(R803+Q803)))</f>
        <v>-4.305438151592</v>
      </c>
    </row>
    <row r="804" customFormat="false" ht="15" hidden="false" customHeight="false" outlineLevel="0" collapsed="false">
      <c r="A804" s="0" t="s">
        <v>21</v>
      </c>
      <c r="B804" s="0" t="s">
        <v>110</v>
      </c>
      <c r="C804" s="0" t="n">
        <v>42</v>
      </c>
      <c r="D804" s="0" t="n">
        <v>35</v>
      </c>
      <c r="E804" s="0" t="n">
        <v>61</v>
      </c>
      <c r="F804" s="0" t="n">
        <v>153</v>
      </c>
      <c r="G804" s="0" t="n">
        <v>395</v>
      </c>
      <c r="H804" s="0" t="n">
        <v>329</v>
      </c>
      <c r="I804" s="0" t="n">
        <v>1</v>
      </c>
      <c r="J804" s="0" t="n">
        <v>3</v>
      </c>
      <c r="K804" s="0" t="n">
        <v>1</v>
      </c>
      <c r="L804" s="0" t="n">
        <v>0</v>
      </c>
      <c r="M804" s="0" t="n">
        <f aca="false">VLOOKUP(A804,'Team Data'!$A$1:$P$133,2,FALSE())</f>
        <v>6</v>
      </c>
      <c r="N804" s="0" t="n">
        <f aca="false">VLOOKUP(A804,'Team Data'!$A$1:$P$133,3,FALSE())</f>
        <v>7</v>
      </c>
      <c r="O804" s="0" t="n">
        <f aca="false">VLOOKUP(B804,'Team Data'!$A$1:$P$133,2,FALSE())</f>
        <v>9</v>
      </c>
      <c r="P804" s="0" t="n">
        <f aca="false">VLOOKUP(B804,'Team Data'!$A$1:$P$133,3,FALSE())</f>
        <v>5</v>
      </c>
      <c r="Q804" s="0" t="n">
        <f aca="false">VLOOKUP(A804,'Team Data'!$A$1:$P$133,4,FALSE())</f>
        <v>90</v>
      </c>
      <c r="R804" s="0" t="n">
        <f aca="false">VLOOKUP(A804,'Team Data'!$A$1:$P$133,5,FALSE())</f>
        <v>184</v>
      </c>
      <c r="S804" s="0" t="n">
        <f aca="false">VLOOKUP(B804,'Team Data'!$A$1:$P$133,4,FALSE())</f>
        <v>89</v>
      </c>
      <c r="T804" s="0" t="n">
        <f aca="false">VLOOKUP(B804,'Team Data'!$A$1:$P$133,5,FALSE())</f>
        <v>195</v>
      </c>
      <c r="U804" s="0" t="n">
        <f aca="false">IF(K804=1,(MIN(35,(C804-D804)))*(O804/(O804+P804))*(S804/(S804+T804)),(MAX(-35,(C804-D804)))*(IF(P804=0,0.1,(P804/(O804+P804))))*(T804/(S804+T804)))</f>
        <v>1.41021126760563</v>
      </c>
      <c r="V804" s="0" t="n">
        <f aca="false">IF(L804=1,(MIN(35,(D804-C804)))*(M804/(M804+N804))*(Q804/(Q804+R804)),(MAX(-35,(D804-C804)))*(IF(N804=0,0.1,(N804/(M804+N804))))*(R804/(R804+Q804)))</f>
        <v>-2.53116226838855</v>
      </c>
    </row>
    <row r="805" customFormat="false" ht="15" hidden="false" customHeight="false" outlineLevel="0" collapsed="false">
      <c r="A805" s="0" t="s">
        <v>82</v>
      </c>
      <c r="B805" s="0" t="s">
        <v>17</v>
      </c>
      <c r="C805" s="0" t="n">
        <v>32</v>
      </c>
      <c r="D805" s="0" t="n">
        <v>18</v>
      </c>
      <c r="E805" s="0" t="n">
        <v>224</v>
      </c>
      <c r="F805" s="0" t="n">
        <v>94</v>
      </c>
      <c r="G805" s="0" t="n">
        <v>203</v>
      </c>
      <c r="H805" s="0" t="n">
        <v>273</v>
      </c>
      <c r="I805" s="0" t="n">
        <v>1</v>
      </c>
      <c r="J805" s="0" t="n">
        <v>3</v>
      </c>
      <c r="K805" s="0" t="n">
        <v>1</v>
      </c>
      <c r="L805" s="0" t="n">
        <v>0</v>
      </c>
      <c r="M805" s="0" t="n">
        <f aca="false">VLOOKUP(A805,'Team Data'!$A$1:$P$133,2,FALSE())</f>
        <v>10</v>
      </c>
      <c r="N805" s="0" t="n">
        <f aca="false">VLOOKUP(A805,'Team Data'!$A$1:$P$133,3,FALSE())</f>
        <v>4</v>
      </c>
      <c r="O805" s="0" t="n">
        <f aca="false">VLOOKUP(B805,'Team Data'!$A$1:$P$133,2,FALSE())</f>
        <v>5</v>
      </c>
      <c r="P805" s="0" t="n">
        <f aca="false">VLOOKUP(B805,'Team Data'!$A$1:$P$133,3,FALSE())</f>
        <v>7</v>
      </c>
      <c r="Q805" s="0" t="n">
        <f aca="false">VLOOKUP(A805,'Team Data'!$A$1:$P$133,4,FALSE())</f>
        <v>83</v>
      </c>
      <c r="R805" s="0" t="n">
        <f aca="false">VLOOKUP(A805,'Team Data'!$A$1:$P$133,5,FALSE())</f>
        <v>200</v>
      </c>
      <c r="S805" s="0" t="n">
        <f aca="false">VLOOKUP(B805,'Team Data'!$A$1:$P$133,4,FALSE())</f>
        <v>82</v>
      </c>
      <c r="T805" s="0" t="n">
        <f aca="false">VLOOKUP(B805,'Team Data'!$A$1:$P$133,5,FALSE())</f>
        <v>179</v>
      </c>
      <c r="U805" s="0" t="n">
        <f aca="false">IF(K805=1,(MIN(35,(C805-D805)))*(O805/(O805+P805))*(S805/(S805+T805)),(MAX(-35,(C805-D805)))*(IF(P805=0,0.1,(P805/(O805+P805))))*(T805/(S805+T805)))</f>
        <v>1.83269476372925</v>
      </c>
      <c r="V805" s="0" t="n">
        <f aca="false">IF(L805=1,(MIN(35,(D805-C805)))*(M805/(M805+N805))*(Q805/(Q805+R805)),(MAX(-35,(D805-C805)))*(IF(N805=0,0.1,(N805/(M805+N805))))*(R805/(R805+Q805)))</f>
        <v>-2.82685512367491</v>
      </c>
    </row>
    <row r="806" customFormat="false" ht="15" hidden="false" customHeight="false" outlineLevel="0" collapsed="false">
      <c r="A806" s="0" t="s">
        <v>33</v>
      </c>
      <c r="B806" s="0" t="s">
        <v>52</v>
      </c>
      <c r="C806" s="0" t="n">
        <v>31</v>
      </c>
      <c r="D806" s="0" t="n">
        <v>24</v>
      </c>
      <c r="E806" s="0" t="n">
        <v>144</v>
      </c>
      <c r="F806" s="0" t="n">
        <v>116</v>
      </c>
      <c r="G806" s="0" t="n">
        <v>315</v>
      </c>
      <c r="H806" s="0" t="n">
        <v>241</v>
      </c>
      <c r="I806" s="0" t="n">
        <v>0</v>
      </c>
      <c r="J806" s="0" t="n">
        <v>1</v>
      </c>
      <c r="K806" s="0" t="n">
        <v>1</v>
      </c>
      <c r="L806" s="0" t="n">
        <v>0</v>
      </c>
      <c r="M806" s="0" t="n">
        <f aca="false">VLOOKUP(A806,'Team Data'!$A$1:$P$133,2,FALSE())</f>
        <v>9</v>
      </c>
      <c r="N806" s="0" t="n">
        <f aca="false">VLOOKUP(A806,'Team Data'!$A$1:$P$133,3,FALSE())</f>
        <v>4</v>
      </c>
      <c r="O806" s="0" t="n">
        <f aca="false">VLOOKUP(B806,'Team Data'!$A$1:$P$133,2,FALSE())</f>
        <v>5</v>
      </c>
      <c r="P806" s="0" t="n">
        <f aca="false">VLOOKUP(B806,'Team Data'!$A$1:$P$133,3,FALSE())</f>
        <v>7</v>
      </c>
      <c r="Q806" s="0" t="n">
        <f aca="false">VLOOKUP(A806,'Team Data'!$A$1:$P$133,4,FALSE())</f>
        <v>65</v>
      </c>
      <c r="R806" s="0" t="n">
        <f aca="false">VLOOKUP(A806,'Team Data'!$A$1:$P$133,5,FALSE())</f>
        <v>203</v>
      </c>
      <c r="S806" s="0" t="n">
        <f aca="false">VLOOKUP(B806,'Team Data'!$A$1:$P$133,4,FALSE())</f>
        <v>94</v>
      </c>
      <c r="T806" s="0" t="n">
        <f aca="false">VLOOKUP(B806,'Team Data'!$A$1:$P$133,5,FALSE())</f>
        <v>171</v>
      </c>
      <c r="U806" s="0" t="n">
        <f aca="false">IF(K806=1,(MIN(35,(C806-D806)))*(O806/(O806+P806))*(S806/(S806+T806)),(MAX(-35,(C806-D806)))*(IF(P806=0,0.1,(P806/(O806+P806))))*(T806/(S806+T806)))</f>
        <v>1.03459119496855</v>
      </c>
      <c r="V806" s="0" t="n">
        <f aca="false">IF(L806=1,(MIN(35,(D806-C806)))*(M806/(M806+N806))*(Q806/(Q806+R806)),(MAX(-35,(D806-C806)))*(IF(N806=0,0.1,(N806/(M806+N806))))*(R806/(R806+Q806)))</f>
        <v>-1.63145809414466</v>
      </c>
    </row>
    <row r="807" customFormat="false" ht="15" hidden="false" customHeight="false" outlineLevel="0" collapsed="false">
      <c r="A807" s="0" t="s">
        <v>134</v>
      </c>
      <c r="B807" s="0" t="s">
        <v>24</v>
      </c>
      <c r="C807" s="0" t="n">
        <v>12</v>
      </c>
      <c r="D807" s="0" t="n">
        <v>10</v>
      </c>
      <c r="E807" s="0" t="n">
        <v>255</v>
      </c>
      <c r="F807" s="0" t="n">
        <v>159</v>
      </c>
      <c r="G807" s="0" t="n">
        <v>102</v>
      </c>
      <c r="H807" s="0" t="n">
        <v>94</v>
      </c>
      <c r="I807" s="0" t="n">
        <v>0</v>
      </c>
      <c r="J807" s="0" t="n">
        <v>2</v>
      </c>
      <c r="K807" s="0" t="n">
        <v>1</v>
      </c>
      <c r="L807" s="0" t="n">
        <v>0</v>
      </c>
      <c r="M807" s="0" t="n">
        <f aca="false">VLOOKUP(A807,'Team Data'!$A$1:$P$133,2,FALSE())</f>
        <v>5</v>
      </c>
      <c r="N807" s="0" t="n">
        <f aca="false">VLOOKUP(A807,'Team Data'!$A$1:$P$133,3,FALSE())</f>
        <v>7</v>
      </c>
      <c r="O807" s="0" t="n">
        <f aca="false">VLOOKUP(B807,'Team Data'!$A$1:$P$133,2,FALSE())</f>
        <v>4</v>
      </c>
      <c r="P807" s="0" t="n">
        <f aca="false">VLOOKUP(B807,'Team Data'!$A$1:$P$133,3,FALSE())</f>
        <v>8</v>
      </c>
      <c r="Q807" s="0" t="n">
        <f aca="false">VLOOKUP(A807,'Team Data'!$A$1:$P$133,4,FALSE())</f>
        <v>81</v>
      </c>
      <c r="R807" s="0" t="n">
        <f aca="false">VLOOKUP(A807,'Team Data'!$A$1:$P$133,5,FALSE())</f>
        <v>179</v>
      </c>
      <c r="S807" s="0" t="n">
        <f aca="false">VLOOKUP(B807,'Team Data'!$A$1:$P$133,4,FALSE())</f>
        <v>82</v>
      </c>
      <c r="T807" s="0" t="n">
        <f aca="false">VLOOKUP(B807,'Team Data'!$A$1:$P$133,5,FALSE())</f>
        <v>178</v>
      </c>
      <c r="U807" s="0" t="n">
        <f aca="false">IF(K807=1,(MIN(35,(C807-D807)))*(O807/(O807+P807))*(S807/(S807+T807)),(MAX(-35,(C807-D807)))*(IF(P807=0,0.1,(P807/(O807+P807))))*(T807/(S807+T807)))</f>
        <v>0.21025641025641</v>
      </c>
      <c r="V807" s="0" t="n">
        <f aca="false">IF(L807=1,(MIN(35,(D807-C807)))*(M807/(M807+N807))*(Q807/(Q807+R807)),(MAX(-35,(D807-C807)))*(IF(N807=0,0.1,(N807/(M807+N807))))*(R807/(R807+Q807)))</f>
        <v>-0.803205128205128</v>
      </c>
    </row>
    <row r="808" customFormat="false" ht="15" hidden="false" customHeight="false" outlineLevel="0" collapsed="false">
      <c r="A808" s="0" t="s">
        <v>64</v>
      </c>
      <c r="B808" s="0" t="s">
        <v>79</v>
      </c>
      <c r="C808" s="0" t="n">
        <v>29</v>
      </c>
      <c r="D808" s="0" t="n">
        <v>23</v>
      </c>
      <c r="E808" s="0" t="n">
        <v>171</v>
      </c>
      <c r="F808" s="0" t="n">
        <v>200</v>
      </c>
      <c r="G808" s="0" t="n">
        <v>185</v>
      </c>
      <c r="H808" s="0" t="n">
        <v>165</v>
      </c>
      <c r="I808" s="0" t="n">
        <v>1</v>
      </c>
      <c r="J808" s="0" t="n">
        <v>1</v>
      </c>
      <c r="K808" s="0" t="n">
        <v>1</v>
      </c>
      <c r="L808" s="0" t="n">
        <v>0</v>
      </c>
      <c r="M808" s="0" t="n">
        <f aca="false">VLOOKUP(A808,'Team Data'!$A$1:$P$133,2,FALSE())</f>
        <v>6</v>
      </c>
      <c r="N808" s="0" t="n">
        <f aca="false">VLOOKUP(A808,'Team Data'!$A$1:$P$133,3,FALSE())</f>
        <v>7</v>
      </c>
      <c r="O808" s="0" t="n">
        <f aca="false">VLOOKUP(B808,'Team Data'!$A$1:$P$133,2,FALSE())</f>
        <v>3</v>
      </c>
      <c r="P808" s="0" t="n">
        <f aca="false">VLOOKUP(B808,'Team Data'!$A$1:$P$133,3,FALSE())</f>
        <v>9</v>
      </c>
      <c r="Q808" s="0" t="n">
        <f aca="false">VLOOKUP(A808,'Team Data'!$A$1:$P$133,4,FALSE())</f>
        <v>75</v>
      </c>
      <c r="R808" s="0" t="n">
        <f aca="false">VLOOKUP(A808,'Team Data'!$A$1:$P$133,5,FALSE())</f>
        <v>196</v>
      </c>
      <c r="S808" s="0" t="n">
        <f aca="false">VLOOKUP(B808,'Team Data'!$A$1:$P$133,4,FALSE())</f>
        <v>75</v>
      </c>
      <c r="T808" s="0" t="n">
        <f aca="false">VLOOKUP(B808,'Team Data'!$A$1:$P$133,5,FALSE())</f>
        <v>184</v>
      </c>
      <c r="U808" s="0" t="n">
        <f aca="false">IF(K808=1,(MIN(35,(C808-D808)))*(O808/(O808+P808))*(S808/(S808+T808)),(MAX(-35,(C808-D808)))*(IF(P808=0,0.1,(P808/(O808+P808))))*(T808/(S808+T808)))</f>
        <v>0.434362934362934</v>
      </c>
      <c r="V808" s="0" t="n">
        <f aca="false">IF(L808=1,(MIN(35,(D808-C808)))*(M808/(M808+N808))*(Q808/(Q808+R808)),(MAX(-35,(D808-C808)))*(IF(N808=0,0.1,(N808/(M808+N808))))*(R808/(R808+Q808)))</f>
        <v>-2.33664490491059</v>
      </c>
    </row>
    <row r="809" customFormat="false" ht="15" hidden="false" customHeight="false" outlineLevel="0" collapsed="false">
      <c r="A809" s="0" t="s">
        <v>198</v>
      </c>
      <c r="B809" s="0" t="s">
        <v>16</v>
      </c>
      <c r="C809" s="0" t="n">
        <v>26</v>
      </c>
      <c r="D809" s="0" t="n">
        <v>52</v>
      </c>
      <c r="E809" s="0" t="n">
        <v>80</v>
      </c>
      <c r="F809" s="0" t="n">
        <v>220</v>
      </c>
      <c r="G809" s="0" t="n">
        <v>340</v>
      </c>
      <c r="H809" s="0" t="n">
        <v>456</v>
      </c>
      <c r="I809" s="0" t="n">
        <v>1</v>
      </c>
      <c r="J809" s="0" t="n">
        <v>2</v>
      </c>
      <c r="K809" s="0" t="n">
        <v>0</v>
      </c>
      <c r="L809" s="0" t="n">
        <v>1</v>
      </c>
      <c r="M809" s="0" t="n">
        <f aca="false">VLOOKUP(A809,'Team Data'!$A$1:$P$133,2,FALSE())</f>
        <v>8</v>
      </c>
      <c r="N809" s="0" t="n">
        <f aca="false">VLOOKUP(A809,'Team Data'!$A$1:$P$133,3,FALSE())</f>
        <v>112</v>
      </c>
      <c r="O809" s="0" t="n">
        <f aca="false">VLOOKUP(B809,'Team Data'!$A$1:$P$133,2,FALSE())</f>
        <v>8</v>
      </c>
      <c r="P809" s="0" t="n">
        <f aca="false">VLOOKUP(B809,'Team Data'!$A$1:$P$133,3,FALSE())</f>
        <v>5</v>
      </c>
      <c r="Q809" s="0" t="n">
        <f aca="false">VLOOKUP(A809,'Team Data'!$A$1:$P$133,4,FALSE())</f>
        <v>805</v>
      </c>
      <c r="R809" s="0" t="n">
        <f aca="false">VLOOKUP(A809,'Team Data'!$A$1:$P$133,5,FALSE())</f>
        <v>725</v>
      </c>
      <c r="S809" s="0" t="n">
        <f aca="false">VLOOKUP(B809,'Team Data'!$A$1:$P$133,4,FALSE())</f>
        <v>90</v>
      </c>
      <c r="T809" s="0" t="n">
        <f aca="false">VLOOKUP(B809,'Team Data'!$A$1:$P$133,5,FALSE())</f>
        <v>185</v>
      </c>
      <c r="U809" s="0" t="n">
        <f aca="false">IF(K809=1,(MIN(35,(C809-D809)))*(O809/(O809+P809))*(S809/(S809+T809)),(MAX(-35,(C809-D809)))*(IF(P809=0,0.1,(P809/(O809+P809))))*(T809/(S809+T809)))</f>
        <v>-6.72727272727273</v>
      </c>
      <c r="V809" s="0" t="n">
        <f aca="false">IF(L809=1,(MIN(35,(D809-C809)))*(M809/(M809+N809))*(Q809/(Q809+R809)),(MAX(-35,(D809-C809)))*(IF(N809=0,0.1,(N809/(M809+N809))))*(R809/(R809+Q809)))</f>
        <v>0.9119825708061</v>
      </c>
    </row>
    <row r="810" customFormat="false" ht="15" hidden="false" customHeight="false" outlineLevel="0" collapsed="false">
      <c r="A810" s="0" t="s">
        <v>86</v>
      </c>
      <c r="B810" s="0" t="s">
        <v>9</v>
      </c>
      <c r="C810" s="0" t="n">
        <v>14</v>
      </c>
      <c r="D810" s="0" t="n">
        <v>27</v>
      </c>
      <c r="E810" s="0" t="n">
        <v>86</v>
      </c>
      <c r="F810" s="0" t="n">
        <v>207</v>
      </c>
      <c r="G810" s="0" t="n">
        <v>308</v>
      </c>
      <c r="H810" s="0" t="n">
        <v>291</v>
      </c>
      <c r="I810" s="0" t="n">
        <v>1</v>
      </c>
      <c r="J810" s="0" t="n">
        <v>0</v>
      </c>
      <c r="K810" s="0" t="n">
        <v>0</v>
      </c>
      <c r="L810" s="0" t="n">
        <v>1</v>
      </c>
      <c r="M810" s="0" t="n">
        <f aca="false">VLOOKUP(A810,'Team Data'!$A$1:$P$133,2,FALSE())</f>
        <v>3</v>
      </c>
      <c r="N810" s="0" t="n">
        <f aca="false">VLOOKUP(A810,'Team Data'!$A$1:$P$133,3,FALSE())</f>
        <v>9</v>
      </c>
      <c r="O810" s="0" t="n">
        <f aca="false">VLOOKUP(B810,'Team Data'!$A$1:$P$133,2,FALSE())</f>
        <v>6</v>
      </c>
      <c r="P810" s="0" t="n">
        <f aca="false">VLOOKUP(B810,'Team Data'!$A$1:$P$133,3,FALSE())</f>
        <v>6</v>
      </c>
      <c r="Q810" s="0" t="n">
        <f aca="false">VLOOKUP(A810,'Team Data'!$A$1:$P$133,4,FALSE())</f>
        <v>77</v>
      </c>
      <c r="R810" s="0" t="n">
        <f aca="false">VLOOKUP(A810,'Team Data'!$A$1:$P$133,5,FALSE())</f>
        <v>69</v>
      </c>
      <c r="S810" s="0" t="n">
        <f aca="false">VLOOKUP(B810,'Team Data'!$A$1:$P$133,4,FALSE())</f>
        <v>85</v>
      </c>
      <c r="T810" s="0" t="n">
        <f aca="false">VLOOKUP(B810,'Team Data'!$A$1:$P$133,5,FALSE())</f>
        <v>281</v>
      </c>
      <c r="U810" s="0" t="n">
        <f aca="false">IF(K810=1,(MIN(35,(C810-D810)))*(O810/(O810+P810))*(S810/(S810+T810)),(MAX(-35,(C810-D810)))*(IF(P810=0,0.1,(P810/(O810+P810))))*(T810/(S810+T810)))</f>
        <v>-4.99043715846995</v>
      </c>
      <c r="V810" s="0" t="n">
        <f aca="false">IF(L810=1,(MIN(35,(D810-C810)))*(M810/(M810+N810))*(Q810/(Q810+R810)),(MAX(-35,(D810-C810)))*(IF(N810=0,0.1,(N810/(M810+N810))))*(R810/(R810+Q810)))</f>
        <v>1.71404109589041</v>
      </c>
    </row>
    <row r="811" customFormat="false" ht="15" hidden="false" customHeight="false" outlineLevel="0" collapsed="false">
      <c r="A811" s="0" t="s">
        <v>60</v>
      </c>
      <c r="B811" s="0" t="s">
        <v>40</v>
      </c>
      <c r="C811" s="0" t="n">
        <v>23</v>
      </c>
      <c r="D811" s="0" t="n">
        <v>10</v>
      </c>
      <c r="E811" s="0" t="n">
        <v>255</v>
      </c>
      <c r="F811" s="0" t="n">
        <v>179</v>
      </c>
      <c r="G811" s="0" t="n">
        <v>274</v>
      </c>
      <c r="H811" s="0" t="n">
        <v>205</v>
      </c>
      <c r="I811" s="0" t="n">
        <v>0</v>
      </c>
      <c r="J811" s="0" t="n">
        <v>2</v>
      </c>
      <c r="K811" s="0" t="n">
        <v>1</v>
      </c>
      <c r="L811" s="0" t="n">
        <v>0</v>
      </c>
      <c r="M811" s="0" t="n">
        <f aca="false">VLOOKUP(A811,'Team Data'!$A$1:$P$133,2,FALSE())</f>
        <v>9</v>
      </c>
      <c r="N811" s="0" t="n">
        <f aca="false">VLOOKUP(A811,'Team Data'!$A$1:$P$133,3,FALSE())</f>
        <v>4</v>
      </c>
      <c r="O811" s="0" t="n">
        <f aca="false">VLOOKUP(B811,'Team Data'!$A$1:$P$133,2,FALSE())</f>
        <v>6</v>
      </c>
      <c r="P811" s="0" t="n">
        <f aca="false">VLOOKUP(B811,'Team Data'!$A$1:$P$133,3,FALSE())</f>
        <v>7</v>
      </c>
      <c r="Q811" s="0" t="n">
        <f aca="false">VLOOKUP(A811,'Team Data'!$A$1:$P$133,4,FALSE())</f>
        <v>91</v>
      </c>
      <c r="R811" s="0" t="n">
        <f aca="false">VLOOKUP(A811,'Team Data'!$A$1:$P$133,5,FALSE())</f>
        <v>288</v>
      </c>
      <c r="S811" s="0" t="n">
        <f aca="false">VLOOKUP(B811,'Team Data'!$A$1:$P$133,4,FALSE())</f>
        <v>86</v>
      </c>
      <c r="T811" s="0" t="n">
        <f aca="false">VLOOKUP(B811,'Team Data'!$A$1:$P$133,5,FALSE())</f>
        <v>183</v>
      </c>
      <c r="U811" s="0" t="n">
        <f aca="false">IF(K811=1,(MIN(35,(C811-D811)))*(O811/(O811+P811))*(S811/(S811+T811)),(MAX(-35,(C811-D811)))*(IF(P811=0,0.1,(P811/(O811+P811))))*(T811/(S811+T811)))</f>
        <v>1.9182156133829</v>
      </c>
      <c r="V811" s="0" t="n">
        <f aca="false">IF(L811=1,(MIN(35,(D811-C811)))*(M811/(M811+N811))*(Q811/(Q811+R811)),(MAX(-35,(D811-C811)))*(IF(N811=0,0.1,(N811/(M811+N811))))*(R811/(R811+Q811)))</f>
        <v>-3.03957783641161</v>
      </c>
    </row>
    <row r="812" customFormat="false" ht="15" hidden="false" customHeight="false" outlineLevel="0" collapsed="false">
      <c r="A812" s="0" t="s">
        <v>41</v>
      </c>
      <c r="B812" s="0" t="s">
        <v>49</v>
      </c>
      <c r="C812" s="0" t="n">
        <v>40</v>
      </c>
      <c r="D812" s="0" t="n">
        <v>42</v>
      </c>
      <c r="E812" s="0" t="n">
        <v>81</v>
      </c>
      <c r="F812" s="0" t="n">
        <v>151</v>
      </c>
      <c r="G812" s="0" t="n">
        <v>176</v>
      </c>
      <c r="H812" s="0" t="n">
        <v>274</v>
      </c>
      <c r="I812" s="0" t="n">
        <v>1</v>
      </c>
      <c r="J812" s="0" t="n">
        <v>4</v>
      </c>
      <c r="K812" s="0" t="n">
        <v>0</v>
      </c>
      <c r="L812" s="0" t="n">
        <v>1</v>
      </c>
      <c r="M812" s="0" t="n">
        <f aca="false">VLOOKUP(A812,'Team Data'!$A$1:$P$133,2,FALSE())</f>
        <v>4</v>
      </c>
      <c r="N812" s="0" t="n">
        <f aca="false">VLOOKUP(A812,'Team Data'!$A$1:$P$133,3,FALSE())</f>
        <v>8</v>
      </c>
      <c r="O812" s="0" t="n">
        <f aca="false">VLOOKUP(B812,'Team Data'!$A$1:$P$133,2,FALSE())</f>
        <v>8</v>
      </c>
      <c r="P812" s="0" t="n">
        <f aca="false">VLOOKUP(B812,'Team Data'!$A$1:$P$133,3,FALSE())</f>
        <v>3</v>
      </c>
      <c r="Q812" s="0" t="n">
        <f aca="false">VLOOKUP(A812,'Team Data'!$A$1:$P$133,4,FALSE())</f>
        <v>78</v>
      </c>
      <c r="R812" s="0" t="n">
        <f aca="false">VLOOKUP(A812,'Team Data'!$A$1:$P$133,5,FALSE())</f>
        <v>72</v>
      </c>
      <c r="S812" s="0" t="n">
        <f aca="false">VLOOKUP(B812,'Team Data'!$A$1:$P$133,4,FALSE())</f>
        <v>68</v>
      </c>
      <c r="T812" s="0" t="n">
        <f aca="false">VLOOKUP(B812,'Team Data'!$A$1:$P$133,5,FALSE())</f>
        <v>177</v>
      </c>
      <c r="U812" s="0" t="n">
        <f aca="false">IF(K812=1,(MIN(35,(C812-D812)))*(O812/(O812+P812))*(S812/(S812+T812)),(MAX(-35,(C812-D812)))*(IF(P812=0,0.1,(P812/(O812+P812))))*(T812/(S812+T812)))</f>
        <v>-0.394063079777366</v>
      </c>
      <c r="V812" s="0" t="n">
        <f aca="false">IF(L812=1,(MIN(35,(D812-C812)))*(M812/(M812+N812))*(Q812/(Q812+R812)),(MAX(-35,(D812-C812)))*(IF(N812=0,0.1,(N812/(M812+N812))))*(R812/(R812+Q812)))</f>
        <v>0.346666666666667</v>
      </c>
    </row>
    <row r="813" customFormat="false" ht="15" hidden="false" customHeight="false" outlineLevel="0" collapsed="false">
      <c r="A813" s="0" t="s">
        <v>98</v>
      </c>
      <c r="B813" s="0" t="s">
        <v>100</v>
      </c>
      <c r="C813" s="0" t="n">
        <v>27</v>
      </c>
      <c r="D813" s="0" t="n">
        <v>20</v>
      </c>
      <c r="E813" s="0" t="n">
        <v>154</v>
      </c>
      <c r="F813" s="0" t="n">
        <v>102</v>
      </c>
      <c r="G813" s="0" t="n">
        <v>257</v>
      </c>
      <c r="H813" s="0" t="n">
        <v>196</v>
      </c>
      <c r="I813" s="0" t="n">
        <v>3</v>
      </c>
      <c r="J813" s="0" t="n">
        <v>1</v>
      </c>
      <c r="K813" s="0" t="n">
        <v>1</v>
      </c>
      <c r="L813" s="0" t="n">
        <v>0</v>
      </c>
      <c r="M813" s="0" t="n">
        <f aca="false">VLOOKUP(A813,'Team Data'!$A$1:$P$133,2,FALSE())</f>
        <v>10</v>
      </c>
      <c r="N813" s="0" t="n">
        <f aca="false">VLOOKUP(A813,'Team Data'!$A$1:$P$133,3,FALSE())</f>
        <v>3</v>
      </c>
      <c r="O813" s="0" t="n">
        <f aca="false">VLOOKUP(B813,'Team Data'!$A$1:$P$133,2,FALSE())</f>
        <v>7</v>
      </c>
      <c r="P813" s="0" t="n">
        <f aca="false">VLOOKUP(B813,'Team Data'!$A$1:$P$133,3,FALSE())</f>
        <v>6</v>
      </c>
      <c r="Q813" s="0" t="n">
        <f aca="false">VLOOKUP(A813,'Team Data'!$A$1:$P$133,4,FALSE())</f>
        <v>78</v>
      </c>
      <c r="R813" s="0" t="n">
        <f aca="false">VLOOKUP(A813,'Team Data'!$A$1:$P$133,5,FALSE())</f>
        <v>194</v>
      </c>
      <c r="S813" s="0" t="n">
        <f aca="false">VLOOKUP(B813,'Team Data'!$A$1:$P$133,4,FALSE())</f>
        <v>90</v>
      </c>
      <c r="T813" s="0" t="n">
        <f aca="false">VLOOKUP(B813,'Team Data'!$A$1:$P$133,5,FALSE())</f>
        <v>183</v>
      </c>
      <c r="U813" s="0" t="n">
        <f aca="false">IF(K813=1,(MIN(35,(C813-D813)))*(O813/(O813+P813))*(S813/(S813+T813)),(MAX(-35,(C813-D813)))*(IF(P813=0,0.1,(P813/(O813+P813))))*(T813/(S813+T813)))</f>
        <v>1.24260355029586</v>
      </c>
      <c r="V813" s="0" t="n">
        <f aca="false">IF(L813=1,(MIN(35,(D813-C813)))*(M813/(M813+N813))*(Q813/(Q813+R813)),(MAX(-35,(D813-C813)))*(IF(N813=0,0.1,(N813/(M813+N813))))*(R813/(R813+Q813)))</f>
        <v>-1.15214932126697</v>
      </c>
    </row>
    <row r="814" customFormat="false" ht="15" hidden="false" customHeight="false" outlineLevel="0" collapsed="false">
      <c r="A814" s="0" t="s">
        <v>13</v>
      </c>
      <c r="B814" s="0" t="s">
        <v>108</v>
      </c>
      <c r="C814" s="0" t="n">
        <v>13</v>
      </c>
      <c r="D814" s="0" t="n">
        <v>16</v>
      </c>
      <c r="E814" s="0" t="n">
        <v>54</v>
      </c>
      <c r="F814" s="0" t="n">
        <v>144</v>
      </c>
      <c r="G814" s="0" t="n">
        <v>237</v>
      </c>
      <c r="H814" s="0" t="n">
        <v>196</v>
      </c>
      <c r="I814" s="0" t="n">
        <v>0</v>
      </c>
      <c r="J814" s="0" t="n">
        <v>0</v>
      </c>
      <c r="K814" s="0" t="n">
        <v>0</v>
      </c>
      <c r="L814" s="0" t="n">
        <v>1</v>
      </c>
      <c r="M814" s="0" t="n">
        <f aca="false">VLOOKUP(A814,'Team Data'!$A$1:$P$133,2,FALSE())</f>
        <v>3</v>
      </c>
      <c r="N814" s="0" t="n">
        <f aca="false">VLOOKUP(A814,'Team Data'!$A$1:$P$133,3,FALSE())</f>
        <v>9</v>
      </c>
      <c r="O814" s="0" t="n">
        <f aca="false">VLOOKUP(B814,'Team Data'!$A$1:$P$133,2,FALSE())</f>
        <v>4</v>
      </c>
      <c r="P814" s="0" t="n">
        <f aca="false">VLOOKUP(B814,'Team Data'!$A$1:$P$133,3,FALSE())</f>
        <v>8</v>
      </c>
      <c r="Q814" s="0" t="n">
        <f aca="false">VLOOKUP(A814,'Team Data'!$A$1:$P$133,4,FALSE())</f>
        <v>81</v>
      </c>
      <c r="R814" s="0" t="n">
        <f aca="false">VLOOKUP(A814,'Team Data'!$A$1:$P$133,5,FALSE())</f>
        <v>177</v>
      </c>
      <c r="S814" s="0" t="n">
        <f aca="false">VLOOKUP(B814,'Team Data'!$A$1:$P$133,4,FALSE())</f>
        <v>76</v>
      </c>
      <c r="T814" s="0" t="n">
        <f aca="false">VLOOKUP(B814,'Team Data'!$A$1:$P$133,5,FALSE())</f>
        <v>181</v>
      </c>
      <c r="U814" s="0" t="n">
        <f aca="false">IF(K814=1,(MIN(35,(C814-D814)))*(O814/(O814+P814))*(S814/(S814+T814)),(MAX(-35,(C814-D814)))*(IF(P814=0,0.1,(P814/(O814+P814))))*(T814/(S814+T814)))</f>
        <v>-1.40856031128405</v>
      </c>
      <c r="V814" s="0" t="n">
        <f aca="false">IF(L814=1,(MIN(35,(D814-C814)))*(M814/(M814+N814))*(Q814/(Q814+R814)),(MAX(-35,(D814-C814)))*(IF(N814=0,0.1,(N814/(M814+N814))))*(R814/(R814+Q814)))</f>
        <v>0.23546511627907</v>
      </c>
    </row>
    <row r="815" customFormat="false" ht="15" hidden="false" customHeight="false" outlineLevel="0" collapsed="false">
      <c r="A815" s="0" t="s">
        <v>58</v>
      </c>
      <c r="B815" s="0" t="s">
        <v>111</v>
      </c>
      <c r="C815" s="0" t="n">
        <v>16</v>
      </c>
      <c r="D815" s="0" t="n">
        <v>34</v>
      </c>
      <c r="E815" s="0" t="n">
        <v>83</v>
      </c>
      <c r="F815" s="0" t="n">
        <v>264</v>
      </c>
      <c r="G815" s="0" t="n">
        <v>145</v>
      </c>
      <c r="H815" s="0" t="n">
        <v>78</v>
      </c>
      <c r="I815" s="0" t="n">
        <v>1</v>
      </c>
      <c r="J815" s="0" t="n">
        <v>0</v>
      </c>
      <c r="K815" s="0" t="n">
        <v>0</v>
      </c>
      <c r="L815" s="0" t="n">
        <v>1</v>
      </c>
      <c r="M815" s="0" t="n">
        <f aca="false">VLOOKUP(A815,'Team Data'!$A$1:$P$133,2,FALSE())</f>
        <v>4</v>
      </c>
      <c r="N815" s="0" t="n">
        <f aca="false">VLOOKUP(A815,'Team Data'!$A$1:$P$133,3,FALSE())</f>
        <v>8</v>
      </c>
      <c r="O815" s="0" t="n">
        <f aca="false">VLOOKUP(B815,'Team Data'!$A$1:$P$133,2,FALSE())</f>
        <v>12</v>
      </c>
      <c r="P815" s="0" t="n">
        <f aca="false">VLOOKUP(B815,'Team Data'!$A$1:$P$133,3,FALSE())</f>
        <v>2</v>
      </c>
      <c r="Q815" s="0" t="n">
        <f aca="false">VLOOKUP(A815,'Team Data'!$A$1:$P$133,4,FALSE())</f>
        <v>88</v>
      </c>
      <c r="R815" s="0" t="n">
        <f aca="false">VLOOKUP(A815,'Team Data'!$A$1:$P$133,5,FALSE())</f>
        <v>172</v>
      </c>
      <c r="S815" s="0" t="n">
        <f aca="false">VLOOKUP(B815,'Team Data'!$A$1:$P$133,4,FALSE())</f>
        <v>100</v>
      </c>
      <c r="T815" s="0" t="n">
        <f aca="false">VLOOKUP(B815,'Team Data'!$A$1:$P$133,5,FALSE())</f>
        <v>186</v>
      </c>
      <c r="U815" s="0" t="n">
        <f aca="false">IF(K815=1,(MIN(35,(C815-D815)))*(O815/(O815+P815))*(S815/(S815+T815)),(MAX(-35,(C815-D815)))*(IF(P815=0,0.1,(P815/(O815+P815))))*(T815/(S815+T815)))</f>
        <v>-1.67232767232767</v>
      </c>
      <c r="V815" s="0" t="n">
        <f aca="false">IF(L815=1,(MIN(35,(D815-C815)))*(M815/(M815+N815))*(Q815/(Q815+R815)),(MAX(-35,(D815-C815)))*(IF(N815=0,0.1,(N815/(M815+N815))))*(R815/(R815+Q815)))</f>
        <v>2.03076923076923</v>
      </c>
    </row>
    <row r="816" customFormat="false" ht="15" hidden="false" customHeight="false" outlineLevel="0" collapsed="false">
      <c r="A816" s="0" t="s">
        <v>57</v>
      </c>
      <c r="B816" s="0" t="s">
        <v>25</v>
      </c>
      <c r="C816" s="0" t="n">
        <v>21</v>
      </c>
      <c r="D816" s="0" t="n">
        <v>26</v>
      </c>
      <c r="E816" s="0" t="n">
        <v>137</v>
      </c>
      <c r="F816" s="0" t="n">
        <v>146</v>
      </c>
      <c r="G816" s="0" t="n">
        <v>213</v>
      </c>
      <c r="H816" s="0" t="n">
        <v>268</v>
      </c>
      <c r="I816" s="0" t="n">
        <v>2</v>
      </c>
      <c r="J816" s="0" t="n">
        <v>0</v>
      </c>
      <c r="K816" s="0" t="n">
        <v>0</v>
      </c>
      <c r="L816" s="0" t="n">
        <v>1</v>
      </c>
      <c r="M816" s="0" t="n">
        <f aca="false">VLOOKUP(A816,'Team Data'!$A$1:$P$133,2,FALSE())</f>
        <v>3</v>
      </c>
      <c r="N816" s="0" t="n">
        <f aca="false">VLOOKUP(A816,'Team Data'!$A$1:$P$133,3,FALSE())</f>
        <v>9</v>
      </c>
      <c r="O816" s="0" t="n">
        <f aca="false">VLOOKUP(B816,'Team Data'!$A$1:$P$133,2,FALSE())</f>
        <v>3</v>
      </c>
      <c r="P816" s="0" t="n">
        <f aca="false">VLOOKUP(B816,'Team Data'!$A$1:$P$133,3,FALSE())</f>
        <v>9</v>
      </c>
      <c r="Q816" s="0" t="n">
        <f aca="false">VLOOKUP(A816,'Team Data'!$A$1:$P$133,4,FALSE())</f>
        <v>85</v>
      </c>
      <c r="R816" s="0" t="n">
        <f aca="false">VLOOKUP(A816,'Team Data'!$A$1:$P$133,5,FALSE())</f>
        <v>178</v>
      </c>
      <c r="S816" s="0" t="n">
        <f aca="false">VLOOKUP(B816,'Team Data'!$A$1:$P$133,4,FALSE())</f>
        <v>74</v>
      </c>
      <c r="T816" s="0" t="n">
        <f aca="false">VLOOKUP(B816,'Team Data'!$A$1:$P$133,5,FALSE())</f>
        <v>185</v>
      </c>
      <c r="U816" s="0" t="n">
        <f aca="false">IF(K816=1,(MIN(35,(C816-D816)))*(O816/(O816+P816))*(S816/(S816+T816)),(MAX(-35,(C816-D816)))*(IF(P816=0,0.1,(P816/(O816+P816))))*(T816/(S816+T816)))</f>
        <v>-2.67857142857143</v>
      </c>
      <c r="V816" s="0" t="n">
        <f aca="false">IF(L816=1,(MIN(35,(D816-C816)))*(M816/(M816+N816))*(Q816/(Q816+R816)),(MAX(-35,(D816-C816)))*(IF(N816=0,0.1,(N816/(M816+N816))))*(R816/(R816+Q816)))</f>
        <v>0.403992395437262</v>
      </c>
    </row>
    <row r="817" customFormat="false" ht="15" hidden="false" customHeight="false" outlineLevel="0" collapsed="false">
      <c r="A817" s="0" t="s">
        <v>34</v>
      </c>
      <c r="B817" s="0" t="s">
        <v>122</v>
      </c>
      <c r="C817" s="0" t="n">
        <v>6</v>
      </c>
      <c r="D817" s="0" t="n">
        <v>40</v>
      </c>
      <c r="E817" s="0" t="n">
        <v>15</v>
      </c>
      <c r="F817" s="0" t="n">
        <v>335</v>
      </c>
      <c r="G817" s="0" t="n">
        <v>56</v>
      </c>
      <c r="H817" s="0" t="n">
        <v>190</v>
      </c>
      <c r="I817" s="0" t="n">
        <v>1</v>
      </c>
      <c r="J817" s="0" t="n">
        <v>1</v>
      </c>
      <c r="K817" s="0" t="n">
        <v>0</v>
      </c>
      <c r="L817" s="0" t="n">
        <v>1</v>
      </c>
      <c r="M817" s="0" t="n">
        <f aca="false">VLOOKUP(A817,'Team Data'!$A$1:$P$133,2,FALSE())</f>
        <v>4</v>
      </c>
      <c r="N817" s="0" t="n">
        <f aca="false">VLOOKUP(A817,'Team Data'!$A$1:$P$133,3,FALSE())</f>
        <v>8</v>
      </c>
      <c r="O817" s="0" t="n">
        <f aca="false">VLOOKUP(B817,'Team Data'!$A$1:$P$133,2,FALSE())</f>
        <v>5</v>
      </c>
      <c r="P817" s="0" t="n">
        <f aca="false">VLOOKUP(B817,'Team Data'!$A$1:$P$133,3,FALSE())</f>
        <v>7</v>
      </c>
      <c r="Q817" s="0" t="n">
        <f aca="false">VLOOKUP(A817,'Team Data'!$A$1:$P$133,4,FALSE())</f>
        <v>76</v>
      </c>
      <c r="R817" s="0" t="n">
        <f aca="false">VLOOKUP(A817,'Team Data'!$A$1:$P$133,5,FALSE())</f>
        <v>185</v>
      </c>
      <c r="S817" s="0" t="n">
        <f aca="false">VLOOKUP(B817,'Team Data'!$A$1:$P$133,4,FALSE())</f>
        <v>71</v>
      </c>
      <c r="T817" s="0" t="n">
        <f aca="false">VLOOKUP(B817,'Team Data'!$A$1:$P$133,5,FALSE())</f>
        <v>83</v>
      </c>
      <c r="U817" s="0" t="n">
        <f aca="false">IF(K817=1,(MIN(35,(C817-D817)))*(O817/(O817+P817))*(S817/(S817+T817)),(MAX(-35,(C817-D817)))*(IF(P817=0,0.1,(P817/(O817+P817))))*(T817/(S817+T817)))</f>
        <v>-10.6893939393939</v>
      </c>
      <c r="V817" s="0" t="n">
        <f aca="false">IF(L817=1,(MIN(35,(D817-C817)))*(M817/(M817+N817))*(Q817/(Q817+R817)),(MAX(-35,(D817-C817)))*(IF(N817=0,0.1,(N817/(M817+N817))))*(R817/(R817+Q817)))</f>
        <v>3.30012771392082</v>
      </c>
    </row>
    <row r="818" customFormat="false" ht="15" hidden="false" customHeight="false" outlineLevel="0" collapsed="false">
      <c r="A818" s="0" t="s">
        <v>36</v>
      </c>
      <c r="B818" s="0" t="s">
        <v>67</v>
      </c>
      <c r="C818" s="0" t="n">
        <v>21</v>
      </c>
      <c r="D818" s="0" t="n">
        <v>49</v>
      </c>
      <c r="E818" s="0" t="n">
        <v>31</v>
      </c>
      <c r="F818" s="0" t="n">
        <v>167</v>
      </c>
      <c r="G818" s="0" t="n">
        <v>325</v>
      </c>
      <c r="H818" s="0" t="n">
        <v>448</v>
      </c>
      <c r="I818" s="0" t="n">
        <v>2</v>
      </c>
      <c r="J818" s="0" t="n">
        <v>1</v>
      </c>
      <c r="K818" s="0" t="n">
        <v>0</v>
      </c>
      <c r="L818" s="0" t="n">
        <v>1</v>
      </c>
      <c r="M818" s="0" t="n">
        <f aca="false">VLOOKUP(A818,'Team Data'!$A$1:$P$133,2,FALSE())</f>
        <v>5</v>
      </c>
      <c r="N818" s="0" t="n">
        <f aca="false">VLOOKUP(A818,'Team Data'!$A$1:$P$133,3,FALSE())</f>
        <v>7</v>
      </c>
      <c r="O818" s="0" t="n">
        <f aca="false">VLOOKUP(B818,'Team Data'!$A$1:$P$133,2,FALSE())</f>
        <v>8</v>
      </c>
      <c r="P818" s="0" t="n">
        <f aca="false">VLOOKUP(B818,'Team Data'!$A$1:$P$133,3,FALSE())</f>
        <v>5</v>
      </c>
      <c r="Q818" s="0" t="n">
        <f aca="false">VLOOKUP(A818,'Team Data'!$A$1:$P$133,4,FALSE())</f>
        <v>83</v>
      </c>
      <c r="R818" s="0" t="n">
        <f aca="false">VLOOKUP(A818,'Team Data'!$A$1:$P$133,5,FALSE())</f>
        <v>182</v>
      </c>
      <c r="S818" s="0" t="n">
        <f aca="false">VLOOKUP(B818,'Team Data'!$A$1:$P$133,4,FALSE())</f>
        <v>78</v>
      </c>
      <c r="T818" s="0" t="n">
        <f aca="false">VLOOKUP(B818,'Team Data'!$A$1:$P$133,5,FALSE())</f>
        <v>191</v>
      </c>
      <c r="U818" s="0" t="n">
        <f aca="false">IF(K818=1,(MIN(35,(C818-D818)))*(O818/(O818+P818))*(S818/(S818+T818)),(MAX(-35,(C818-D818)))*(IF(P818=0,0.1,(P818/(O818+P818))))*(T818/(S818+T818)))</f>
        <v>-7.64655418930512</v>
      </c>
      <c r="V818" s="0" t="n">
        <f aca="false">IF(L818=1,(MIN(35,(D818-C818)))*(M818/(M818+N818))*(Q818/(Q818+R818)),(MAX(-35,(D818-C818)))*(IF(N818=0,0.1,(N818/(M818+N818))))*(R818/(R818+Q818)))</f>
        <v>3.65408805031447</v>
      </c>
    </row>
    <row r="819" customFormat="false" ht="15" hidden="false" customHeight="false" outlineLevel="0" collapsed="false">
      <c r="A819" s="0" t="s">
        <v>123</v>
      </c>
      <c r="B819" s="0" t="s">
        <v>93</v>
      </c>
      <c r="C819" s="0" t="n">
        <v>41</v>
      </c>
      <c r="D819" s="0" t="n">
        <v>7</v>
      </c>
      <c r="E819" s="0" t="n">
        <v>262</v>
      </c>
      <c r="F819" s="0" t="n">
        <v>5</v>
      </c>
      <c r="G819" s="0" t="n">
        <v>132</v>
      </c>
      <c r="H819" s="0" t="n">
        <v>225</v>
      </c>
      <c r="I819" s="0" t="n">
        <v>2</v>
      </c>
      <c r="J819" s="0" t="n">
        <v>3</v>
      </c>
      <c r="K819" s="0" t="n">
        <v>1</v>
      </c>
      <c r="L819" s="0" t="n">
        <v>0</v>
      </c>
      <c r="M819" s="0" t="n">
        <f aca="false">VLOOKUP(A819,'Team Data'!$A$1:$P$133,2,FALSE())</f>
        <v>11</v>
      </c>
      <c r="N819" s="0" t="n">
        <f aca="false">VLOOKUP(A819,'Team Data'!$A$1:$P$133,3,FALSE())</f>
        <v>3</v>
      </c>
      <c r="O819" s="0" t="n">
        <f aca="false">VLOOKUP(B819,'Team Data'!$A$1:$P$133,2,FALSE())</f>
        <v>5</v>
      </c>
      <c r="P819" s="0" t="n">
        <f aca="false">VLOOKUP(B819,'Team Data'!$A$1:$P$133,3,FALSE())</f>
        <v>8</v>
      </c>
      <c r="Q819" s="0" t="n">
        <f aca="false">VLOOKUP(A819,'Team Data'!$A$1:$P$133,4,FALSE())</f>
        <v>97</v>
      </c>
      <c r="R819" s="0" t="n">
        <f aca="false">VLOOKUP(A819,'Team Data'!$A$1:$P$133,5,FALSE())</f>
        <v>192</v>
      </c>
      <c r="S819" s="0" t="n">
        <f aca="false">VLOOKUP(B819,'Team Data'!$A$1:$P$133,4,FALSE())</f>
        <v>90</v>
      </c>
      <c r="T819" s="0" t="n">
        <f aca="false">VLOOKUP(B819,'Team Data'!$A$1:$P$133,5,FALSE())</f>
        <v>186</v>
      </c>
      <c r="U819" s="0" t="n">
        <f aca="false">IF(K819=1,(MIN(35,(C819-D819)))*(O819/(O819+P819))*(S819/(S819+T819)),(MAX(-35,(C819-D819)))*(IF(P819=0,0.1,(P819/(O819+P819))))*(T819/(S819+T819)))</f>
        <v>4.26421404682274</v>
      </c>
      <c r="V819" s="0" t="n">
        <f aca="false">IF(L819=1,(MIN(35,(D819-C819)))*(M819/(M819+N819))*(Q819/(Q819+R819)),(MAX(-35,(D819-C819)))*(IF(N819=0,0.1,(N819/(M819+N819))))*(R819/(R819+Q819)))</f>
        <v>-4.84033613445378</v>
      </c>
    </row>
    <row r="820" customFormat="false" ht="15" hidden="false" customHeight="false" outlineLevel="0" collapsed="false">
      <c r="A820" s="0" t="s">
        <v>114</v>
      </c>
      <c r="B820" s="0" t="s">
        <v>54</v>
      </c>
      <c r="C820" s="0" t="n">
        <v>10</v>
      </c>
      <c r="D820" s="0" t="n">
        <v>41</v>
      </c>
      <c r="E820" s="0" t="n">
        <v>48</v>
      </c>
      <c r="F820" s="0" t="n">
        <v>266</v>
      </c>
      <c r="G820" s="0" t="n">
        <v>211</v>
      </c>
      <c r="H820" s="0" t="n">
        <v>299</v>
      </c>
      <c r="I820" s="0" t="n">
        <v>0</v>
      </c>
      <c r="J820" s="0" t="n">
        <v>2</v>
      </c>
      <c r="K820" s="0" t="n">
        <v>0</v>
      </c>
      <c r="L820" s="0" t="n">
        <v>1</v>
      </c>
      <c r="M820" s="0" t="n">
        <f aca="false">VLOOKUP(A820,'Team Data'!$A$1:$P$133,2,FALSE())</f>
        <v>7</v>
      </c>
      <c r="N820" s="0" t="n">
        <f aca="false">VLOOKUP(A820,'Team Data'!$A$1:$P$133,3,FALSE())</f>
        <v>6</v>
      </c>
      <c r="O820" s="0" t="n">
        <f aca="false">VLOOKUP(B820,'Team Data'!$A$1:$P$133,2,FALSE())</f>
        <v>10</v>
      </c>
      <c r="P820" s="0" t="n">
        <f aca="false">VLOOKUP(B820,'Team Data'!$A$1:$P$133,3,FALSE())</f>
        <v>4</v>
      </c>
      <c r="Q820" s="0" t="n">
        <f aca="false">VLOOKUP(A820,'Team Data'!$A$1:$P$133,4,FALSE())</f>
        <v>89</v>
      </c>
      <c r="R820" s="0" t="n">
        <f aca="false">VLOOKUP(A820,'Team Data'!$A$1:$P$133,5,FALSE())</f>
        <v>188</v>
      </c>
      <c r="S820" s="0" t="n">
        <f aca="false">VLOOKUP(B820,'Team Data'!$A$1:$P$133,4,FALSE())</f>
        <v>112</v>
      </c>
      <c r="T820" s="0" t="n">
        <f aca="false">VLOOKUP(B820,'Team Data'!$A$1:$P$133,5,FALSE())</f>
        <v>177</v>
      </c>
      <c r="U820" s="0" t="n">
        <f aca="false">IF(K820=1,(MIN(35,(C820-D820)))*(O820/(O820+P820))*(S820/(S820+T820)),(MAX(-35,(C820-D820)))*(IF(P820=0,0.1,(P820/(O820+P820))))*(T820/(S820+T820)))</f>
        <v>-5.42461690558576</v>
      </c>
      <c r="V820" s="0" t="n">
        <f aca="false">IF(L820=1,(MIN(35,(D820-C820)))*(M820/(M820+N820))*(Q820/(Q820+R820)),(MAX(-35,(D820-C820)))*(IF(N820=0,0.1,(N820/(M820+N820))))*(R820/(R820+Q820)))</f>
        <v>5.3632324354346</v>
      </c>
    </row>
    <row r="821" customFormat="false" ht="15" hidden="false" customHeight="false" outlineLevel="0" collapsed="false">
      <c r="A821" s="0" t="s">
        <v>133</v>
      </c>
      <c r="B821" s="0" t="s">
        <v>15</v>
      </c>
      <c r="C821" s="0" t="n">
        <v>17</v>
      </c>
      <c r="D821" s="0" t="n">
        <v>41</v>
      </c>
      <c r="E821" s="0" t="n">
        <v>85</v>
      </c>
      <c r="F821" s="0" t="n">
        <v>252</v>
      </c>
      <c r="G821" s="0" t="n">
        <v>300</v>
      </c>
      <c r="H821" s="0" t="n">
        <v>122</v>
      </c>
      <c r="I821" s="0" t="n">
        <v>2</v>
      </c>
      <c r="J821" s="0" t="n">
        <v>0</v>
      </c>
      <c r="K821" s="0" t="n">
        <v>0</v>
      </c>
      <c r="L821" s="0" t="n">
        <v>1</v>
      </c>
      <c r="M821" s="0" t="n">
        <f aca="false">VLOOKUP(A821,'Team Data'!$A$1:$P$133,2,FALSE())</f>
        <v>9</v>
      </c>
      <c r="N821" s="0" t="n">
        <f aca="false">VLOOKUP(A821,'Team Data'!$A$1:$P$133,3,FALSE())</f>
        <v>5</v>
      </c>
      <c r="O821" s="0" t="n">
        <f aca="false">VLOOKUP(B821,'Team Data'!$A$1:$P$133,2,FALSE())</f>
        <v>5</v>
      </c>
      <c r="P821" s="0" t="n">
        <f aca="false">VLOOKUP(B821,'Team Data'!$A$1:$P$133,3,FALSE())</f>
        <v>7</v>
      </c>
      <c r="Q821" s="0" t="n">
        <f aca="false">VLOOKUP(A821,'Team Data'!$A$1:$P$133,4,FALSE())</f>
        <v>92</v>
      </c>
      <c r="R821" s="0" t="n">
        <f aca="false">VLOOKUP(A821,'Team Data'!$A$1:$P$133,5,FALSE())</f>
        <v>195</v>
      </c>
      <c r="S821" s="0" t="n">
        <f aca="false">VLOOKUP(B821,'Team Data'!$A$1:$P$133,4,FALSE())</f>
        <v>106</v>
      </c>
      <c r="T821" s="0" t="n">
        <f aca="false">VLOOKUP(B821,'Team Data'!$A$1:$P$133,5,FALSE())</f>
        <v>159</v>
      </c>
      <c r="U821" s="0" t="n">
        <f aca="false">IF(K821=1,(MIN(35,(C821-D821)))*(O821/(O821+P821))*(S821/(S821+T821)),(MAX(-35,(C821-D821)))*(IF(P821=0,0.1,(P821/(O821+P821))))*(T821/(S821+T821)))</f>
        <v>-8.4</v>
      </c>
      <c r="V821" s="0" t="n">
        <f aca="false">IF(L821=1,(MIN(35,(D821-C821)))*(M821/(M821+N821))*(Q821/(Q821+R821)),(MAX(-35,(D821-C821)))*(IF(N821=0,0.1,(N821/(M821+N821))))*(R821/(R821+Q821)))</f>
        <v>4.94574415131906</v>
      </c>
    </row>
    <row r="822" customFormat="false" ht="15" hidden="false" customHeight="false" outlineLevel="0" collapsed="false">
      <c r="A822" s="0" t="s">
        <v>69</v>
      </c>
      <c r="B822" s="0" t="s">
        <v>87</v>
      </c>
      <c r="C822" s="0" t="n">
        <v>24</v>
      </c>
      <c r="D822" s="0" t="n">
        <v>22</v>
      </c>
      <c r="E822" s="0" t="n">
        <v>97</v>
      </c>
      <c r="F822" s="0" t="n">
        <v>78</v>
      </c>
      <c r="G822" s="0" t="n">
        <v>239</v>
      </c>
      <c r="H822" s="0" t="n">
        <v>257</v>
      </c>
      <c r="I822" s="0" t="n">
        <v>3</v>
      </c>
      <c r="J822" s="0" t="n">
        <v>1</v>
      </c>
      <c r="K822" s="0" t="n">
        <v>1</v>
      </c>
      <c r="L822" s="0" t="n">
        <v>0</v>
      </c>
      <c r="M822" s="0" t="n">
        <f aca="false">VLOOKUP(A822,'Team Data'!$A$1:$P$133,2,FALSE())</f>
        <v>9</v>
      </c>
      <c r="N822" s="0" t="n">
        <f aca="false">VLOOKUP(A822,'Team Data'!$A$1:$P$133,3,FALSE())</f>
        <v>4</v>
      </c>
      <c r="O822" s="0" t="n">
        <f aca="false">VLOOKUP(B822,'Team Data'!$A$1:$P$133,2,FALSE())</f>
        <v>8</v>
      </c>
      <c r="P822" s="0" t="n">
        <f aca="false">VLOOKUP(B822,'Team Data'!$A$1:$P$133,3,FALSE())</f>
        <v>5</v>
      </c>
      <c r="Q822" s="0" t="n">
        <f aca="false">VLOOKUP(A822,'Team Data'!$A$1:$P$133,4,FALSE())</f>
        <v>102</v>
      </c>
      <c r="R822" s="0" t="n">
        <f aca="false">VLOOKUP(A822,'Team Data'!$A$1:$P$133,5,FALSE())</f>
        <v>174</v>
      </c>
      <c r="S822" s="0" t="n">
        <f aca="false">VLOOKUP(B822,'Team Data'!$A$1:$P$133,4,FALSE())</f>
        <v>97</v>
      </c>
      <c r="T822" s="0" t="n">
        <f aca="false">VLOOKUP(B822,'Team Data'!$A$1:$P$133,5,FALSE())</f>
        <v>176</v>
      </c>
      <c r="U822" s="0" t="n">
        <f aca="false">IF(K822=1,(MIN(35,(C822-D822)))*(O822/(O822+P822))*(S822/(S822+T822)),(MAX(-35,(C822-D822)))*(IF(P822=0,0.1,(P822/(O822+P822))))*(T822/(S822+T822)))</f>
        <v>0.43730628346013</v>
      </c>
      <c r="V822" s="0" t="n">
        <f aca="false">IF(L822=1,(MIN(35,(D822-C822)))*(M822/(M822+N822))*(Q822/(Q822+R822)),(MAX(-35,(D822-C822)))*(IF(N822=0,0.1,(N822/(M822+N822))))*(R822/(R822+Q822)))</f>
        <v>-0.387959866220736</v>
      </c>
    </row>
    <row r="823" customFormat="false" ht="15" hidden="false" customHeight="false" outlineLevel="0" collapsed="false">
      <c r="A823" s="0" t="s">
        <v>15</v>
      </c>
      <c r="B823" s="0" t="s">
        <v>8</v>
      </c>
      <c r="C823" s="0" t="n">
        <v>27</v>
      </c>
      <c r="D823" s="0" t="n">
        <v>49</v>
      </c>
      <c r="E823" s="0" t="n">
        <v>318</v>
      </c>
      <c r="F823" s="0" t="n">
        <v>173</v>
      </c>
      <c r="G823" s="0" t="n">
        <v>77</v>
      </c>
      <c r="H823" s="0" t="n">
        <v>343</v>
      </c>
      <c r="I823" s="0" t="n">
        <v>2</v>
      </c>
      <c r="J823" s="0" t="n">
        <v>1</v>
      </c>
      <c r="K823" s="0" t="n">
        <v>0</v>
      </c>
      <c r="L823" s="0" t="n">
        <v>1</v>
      </c>
      <c r="M823" s="0" t="n">
        <f aca="false">VLOOKUP(A823,'Team Data'!$A$1:$P$133,2,FALSE())</f>
        <v>5</v>
      </c>
      <c r="N823" s="0" t="n">
        <f aca="false">VLOOKUP(A823,'Team Data'!$A$1:$P$133,3,FALSE())</f>
        <v>7</v>
      </c>
      <c r="O823" s="0" t="n">
        <f aca="false">VLOOKUP(B823,'Team Data'!$A$1:$P$133,2,FALSE())</f>
        <v>11</v>
      </c>
      <c r="P823" s="0" t="n">
        <f aca="false">VLOOKUP(B823,'Team Data'!$A$1:$P$133,3,FALSE())</f>
        <v>2</v>
      </c>
      <c r="Q823" s="0" t="n">
        <f aca="false">VLOOKUP(A823,'Team Data'!$A$1:$P$133,4,FALSE())</f>
        <v>106</v>
      </c>
      <c r="R823" s="0" t="n">
        <f aca="false">VLOOKUP(A823,'Team Data'!$A$1:$P$133,5,FALSE())</f>
        <v>159</v>
      </c>
      <c r="S823" s="0" t="n">
        <f aca="false">VLOOKUP(B823,'Team Data'!$A$1:$P$133,4,FALSE())</f>
        <v>96</v>
      </c>
      <c r="T823" s="0" t="n">
        <f aca="false">VLOOKUP(B823,'Team Data'!$A$1:$P$133,5,FALSE())</f>
        <v>178</v>
      </c>
      <c r="U823" s="0" t="n">
        <f aca="false">IF(K823=1,(MIN(35,(C823-D823)))*(O823/(O823+P823))*(S823/(S823+T823)),(MAX(-35,(C823-D823)))*(IF(P823=0,0.1,(P823/(O823+P823))))*(T823/(S823+T823)))</f>
        <v>-2.19876473891072</v>
      </c>
      <c r="V823" s="0" t="n">
        <f aca="false">IF(L823=1,(MIN(35,(D823-C823)))*(M823/(M823+N823))*(Q823/(Q823+R823)),(MAX(-35,(D823-C823)))*(IF(N823=0,0.1,(N823/(M823+N823))))*(R823/(R823+Q823)))</f>
        <v>3.66666666666667</v>
      </c>
    </row>
    <row r="824" customFormat="false" ht="15" hidden="false" customHeight="false" outlineLevel="0" collapsed="false">
      <c r="A824" s="0" t="s">
        <v>35</v>
      </c>
      <c r="B824" s="0" t="s">
        <v>37</v>
      </c>
      <c r="C824" s="0" t="n">
        <v>38</v>
      </c>
      <c r="D824" s="0" t="n">
        <v>45</v>
      </c>
      <c r="E824" s="0" t="n">
        <v>262</v>
      </c>
      <c r="F824" s="0" t="n">
        <v>227</v>
      </c>
      <c r="G824" s="0" t="n">
        <v>198</v>
      </c>
      <c r="H824" s="0" t="n">
        <v>270</v>
      </c>
      <c r="I824" s="0" t="n">
        <v>1</v>
      </c>
      <c r="J824" s="0" t="n">
        <v>1</v>
      </c>
      <c r="K824" s="0" t="n">
        <v>0</v>
      </c>
      <c r="L824" s="0" t="n">
        <v>1</v>
      </c>
      <c r="M824" s="0" t="n">
        <f aca="false">VLOOKUP(A824,'Team Data'!$A$1:$P$133,2,FALSE())</f>
        <v>6</v>
      </c>
      <c r="N824" s="0" t="n">
        <f aca="false">VLOOKUP(A824,'Team Data'!$A$1:$P$133,3,FALSE())</f>
        <v>7</v>
      </c>
      <c r="O824" s="0" t="n">
        <f aca="false">VLOOKUP(B824,'Team Data'!$A$1:$P$133,2,FALSE())</f>
        <v>10</v>
      </c>
      <c r="P824" s="0" t="n">
        <f aca="false">VLOOKUP(B824,'Team Data'!$A$1:$P$133,3,FALSE())</f>
        <v>3</v>
      </c>
      <c r="Q824" s="0" t="n">
        <f aca="false">VLOOKUP(A824,'Team Data'!$A$1:$P$133,4,FALSE())</f>
        <v>106</v>
      </c>
      <c r="R824" s="0" t="n">
        <f aca="false">VLOOKUP(A824,'Team Data'!$A$1:$P$133,5,FALSE())</f>
        <v>171</v>
      </c>
      <c r="S824" s="0" t="n">
        <f aca="false">VLOOKUP(B824,'Team Data'!$A$1:$P$133,4,FALSE())</f>
        <v>91</v>
      </c>
      <c r="T824" s="0" t="n">
        <f aca="false">VLOOKUP(B824,'Team Data'!$A$1:$P$133,5,FALSE())</f>
        <v>184</v>
      </c>
      <c r="U824" s="0" t="n">
        <f aca="false">IF(K824=1,(MIN(35,(C824-D824)))*(O824/(O824+P824))*(S824/(S824+T824)),(MAX(-35,(C824-D824)))*(IF(P824=0,0.1,(P824/(O824+P824))))*(T824/(S824+T824)))</f>
        <v>-1.08083916083916</v>
      </c>
      <c r="V824" s="0" t="n">
        <f aca="false">IF(L824=1,(MIN(35,(D824-C824)))*(M824/(M824+N824))*(Q824/(Q824+R824)),(MAX(-35,(D824-C824)))*(IF(N824=0,0.1,(N824/(M824+N824))))*(R824/(R824+Q824)))</f>
        <v>1.23632324354346</v>
      </c>
    </row>
    <row r="825" customFormat="false" ht="15" hidden="false" customHeight="false" outlineLevel="0" collapsed="false">
      <c r="A825" s="0" t="s">
        <v>42</v>
      </c>
      <c r="B825" s="0" t="s">
        <v>39</v>
      </c>
      <c r="C825" s="0" t="n">
        <v>14</v>
      </c>
      <c r="D825" s="0" t="n">
        <v>37</v>
      </c>
      <c r="E825" s="0" t="n">
        <v>40</v>
      </c>
      <c r="F825" s="0" t="n">
        <v>264</v>
      </c>
      <c r="G825" s="0" t="n">
        <v>215</v>
      </c>
      <c r="H825" s="0" t="n">
        <v>143</v>
      </c>
      <c r="I825" s="0" t="n">
        <v>1</v>
      </c>
      <c r="J825" s="0" t="n">
        <v>1</v>
      </c>
      <c r="K825" s="0" t="n">
        <v>0</v>
      </c>
      <c r="L825" s="0" t="n">
        <v>1</v>
      </c>
      <c r="M825" s="0" t="n">
        <f aca="false">VLOOKUP(A825,'Team Data'!$A$1:$P$133,2,FALSE())</f>
        <v>5</v>
      </c>
      <c r="N825" s="0" t="n">
        <f aca="false">VLOOKUP(A825,'Team Data'!$A$1:$P$133,3,FALSE())</f>
        <v>7</v>
      </c>
      <c r="O825" s="0" t="n">
        <f aca="false">VLOOKUP(B825,'Team Data'!$A$1:$P$133,2,FALSE())</f>
        <v>15</v>
      </c>
      <c r="P825" s="0" t="n">
        <f aca="false">VLOOKUP(B825,'Team Data'!$A$1:$P$133,3,FALSE())</f>
        <v>0</v>
      </c>
      <c r="Q825" s="0" t="n">
        <f aca="false">VLOOKUP(A825,'Team Data'!$A$1:$P$133,4,FALSE())</f>
        <v>99</v>
      </c>
      <c r="R825" s="0" t="n">
        <f aca="false">VLOOKUP(A825,'Team Data'!$A$1:$P$133,5,FALSE())</f>
        <v>163</v>
      </c>
      <c r="S825" s="0" t="n">
        <f aca="false">VLOOKUP(B825,'Team Data'!$A$1:$P$133,4,FALSE())</f>
        <v>119</v>
      </c>
      <c r="T825" s="0" t="n">
        <f aca="false">VLOOKUP(B825,'Team Data'!$A$1:$P$133,5,FALSE())</f>
        <v>182</v>
      </c>
      <c r="U825" s="0" t="n">
        <f aca="false">IF(K825=1,(MIN(35,(C825-D825)))*(O825/(O825+P825))*(S825/(S825+T825)),(MAX(-35,(C825-D825)))*(IF(P825=0,0.1,(P825/(O825+P825))))*(T825/(S825+T825)))</f>
        <v>-1.3906976744186</v>
      </c>
      <c r="V825" s="0" t="n">
        <f aca="false">IF(L825=1,(MIN(35,(D825-C825)))*(M825/(M825+N825))*(Q825/(Q825+R825)),(MAX(-35,(D825-C825)))*(IF(N825=0,0.1,(N825/(M825+N825))))*(R825/(R825+Q825)))</f>
        <v>3.62118320610687</v>
      </c>
    </row>
    <row r="826" customFormat="false" ht="15" hidden="false" customHeight="false" outlineLevel="0" collapsed="false">
      <c r="A826" s="0" t="s">
        <v>59</v>
      </c>
      <c r="B826" s="0" t="s">
        <v>53</v>
      </c>
      <c r="C826" s="0" t="n">
        <v>13</v>
      </c>
      <c r="D826" s="0" t="n">
        <v>26</v>
      </c>
      <c r="E826" s="0" t="n">
        <v>164</v>
      </c>
      <c r="F826" s="0" t="n">
        <v>158</v>
      </c>
      <c r="G826" s="0" t="n">
        <v>145</v>
      </c>
      <c r="H826" s="0" t="n">
        <v>188</v>
      </c>
      <c r="I826" s="0" t="n">
        <v>3</v>
      </c>
      <c r="J826" s="0" t="n">
        <v>0</v>
      </c>
      <c r="K826" s="0" t="n">
        <v>0</v>
      </c>
      <c r="L826" s="0" t="n">
        <v>1</v>
      </c>
      <c r="M826" s="0" t="n">
        <f aca="false">VLOOKUP(A826,'Team Data'!$A$1:$P$133,2,FALSE())</f>
        <v>8</v>
      </c>
      <c r="N826" s="0" t="n">
        <f aca="false">VLOOKUP(A826,'Team Data'!$A$1:$P$133,3,FALSE())</f>
        <v>5</v>
      </c>
      <c r="O826" s="0" t="n">
        <f aca="false">VLOOKUP(B826,'Team Data'!$A$1:$P$133,2,FALSE())</f>
        <v>7</v>
      </c>
      <c r="P826" s="0" t="n">
        <f aca="false">VLOOKUP(B826,'Team Data'!$A$1:$P$133,3,FALSE())</f>
        <v>6</v>
      </c>
      <c r="Q826" s="0" t="n">
        <f aca="false">VLOOKUP(A826,'Team Data'!$A$1:$P$133,4,FALSE())</f>
        <v>93</v>
      </c>
      <c r="R826" s="0" t="n">
        <f aca="false">VLOOKUP(A826,'Team Data'!$A$1:$P$133,5,FALSE())</f>
        <v>71</v>
      </c>
      <c r="S826" s="0" t="n">
        <f aca="false">VLOOKUP(B826,'Team Data'!$A$1:$P$133,4,FALSE())</f>
        <v>101</v>
      </c>
      <c r="T826" s="0" t="n">
        <f aca="false">VLOOKUP(B826,'Team Data'!$A$1:$P$133,5,FALSE())</f>
        <v>175</v>
      </c>
      <c r="U826" s="0" t="n">
        <f aca="false">IF(K826=1,(MIN(35,(C826-D826)))*(O826/(O826+P826))*(S826/(S826+T826)),(MAX(-35,(C826-D826)))*(IF(P826=0,0.1,(P826/(O826+P826))))*(T826/(S826+T826)))</f>
        <v>-3.80434782608696</v>
      </c>
      <c r="V826" s="0" t="n">
        <f aca="false">IF(L826=1,(MIN(35,(D826-C826)))*(M826/(M826+N826))*(Q826/(Q826+R826)),(MAX(-35,(D826-C826)))*(IF(N826=0,0.1,(N826/(M826+N826))))*(R826/(R826+Q826)))</f>
        <v>4.53658536585366</v>
      </c>
    </row>
    <row r="827" customFormat="false" ht="15" hidden="false" customHeight="false" outlineLevel="0" collapsed="false">
      <c r="A827" s="0" t="s">
        <v>12</v>
      </c>
      <c r="B827" s="0" t="s">
        <v>70</v>
      </c>
      <c r="C827" s="0" t="n">
        <v>27</v>
      </c>
      <c r="D827" s="0" t="n">
        <v>29</v>
      </c>
      <c r="E827" s="0" t="n">
        <v>113</v>
      </c>
      <c r="F827" s="0" t="n">
        <v>226</v>
      </c>
      <c r="G827" s="0" t="n">
        <v>212</v>
      </c>
      <c r="H827" s="0" t="n">
        <v>242</v>
      </c>
      <c r="I827" s="0" t="n">
        <v>2</v>
      </c>
      <c r="J827" s="0" t="n">
        <v>0</v>
      </c>
      <c r="K827" s="0" t="n">
        <v>0</v>
      </c>
      <c r="L827" s="0" t="n">
        <v>1</v>
      </c>
      <c r="M827" s="0" t="n">
        <f aca="false">VLOOKUP(A827,'Team Data'!$A$1:$P$133,2,FALSE())</f>
        <v>7</v>
      </c>
      <c r="N827" s="0" t="n">
        <f aca="false">VLOOKUP(A827,'Team Data'!$A$1:$P$133,3,FALSE())</f>
        <v>6</v>
      </c>
      <c r="O827" s="0" t="n">
        <f aca="false">VLOOKUP(B827,'Team Data'!$A$1:$P$133,2,FALSE())</f>
        <v>6</v>
      </c>
      <c r="P827" s="0" t="n">
        <f aca="false">VLOOKUP(B827,'Team Data'!$A$1:$P$133,3,FALSE())</f>
        <v>7</v>
      </c>
      <c r="Q827" s="0" t="n">
        <f aca="false">VLOOKUP(A827,'Team Data'!$A$1:$P$133,4,FALSE())</f>
        <v>101</v>
      </c>
      <c r="R827" s="0" t="n">
        <f aca="false">VLOOKUP(A827,'Team Data'!$A$1:$P$133,5,FALSE())</f>
        <v>174</v>
      </c>
      <c r="S827" s="0" t="n">
        <f aca="false">VLOOKUP(B827,'Team Data'!$A$1:$P$133,4,FALSE())</f>
        <v>100</v>
      </c>
      <c r="T827" s="0" t="n">
        <f aca="false">VLOOKUP(B827,'Team Data'!$A$1:$P$133,5,FALSE())</f>
        <v>176</v>
      </c>
      <c r="U827" s="0" t="n">
        <f aca="false">IF(K827=1,(MIN(35,(C827-D827)))*(O827/(O827+P827))*(S827/(S827+T827)),(MAX(-35,(C827-D827)))*(IF(P827=0,0.1,(P827/(O827+P827))))*(T827/(S827+T827)))</f>
        <v>-0.686733556298774</v>
      </c>
      <c r="V827" s="0" t="n">
        <f aca="false">IF(L827=1,(MIN(35,(D827-C827)))*(M827/(M827+N827))*(Q827/(Q827+R827)),(MAX(-35,(D827-C827)))*(IF(N827=0,0.1,(N827/(M827+N827))))*(R827/(R827+Q827)))</f>
        <v>0.395524475524476</v>
      </c>
    </row>
    <row r="828" customFormat="false" ht="15" hidden="false" customHeight="false" outlineLevel="0" collapsed="false">
      <c r="A828" s="0" t="s">
        <v>99</v>
      </c>
      <c r="B828" s="0" t="s">
        <v>27</v>
      </c>
      <c r="C828" s="0" t="n">
        <v>31</v>
      </c>
      <c r="D828" s="0" t="n">
        <v>30</v>
      </c>
      <c r="E828" s="0" t="n">
        <v>54</v>
      </c>
      <c r="F828" s="0" t="n">
        <v>237</v>
      </c>
      <c r="G828" s="0" t="n">
        <v>360</v>
      </c>
      <c r="H828" s="0" t="n">
        <v>99</v>
      </c>
      <c r="I828" s="0" t="n">
        <v>2</v>
      </c>
      <c r="J828" s="0" t="n">
        <v>3</v>
      </c>
      <c r="K828" s="0" t="n">
        <v>1</v>
      </c>
      <c r="L828" s="0" t="n">
        <v>0</v>
      </c>
      <c r="M828" s="0" t="n">
        <f aca="false">VLOOKUP(A828,'Team Data'!$A$1:$P$133,2,FALSE())</f>
        <v>8</v>
      </c>
      <c r="N828" s="0" t="n">
        <f aca="false">VLOOKUP(A828,'Team Data'!$A$1:$P$133,3,FALSE())</f>
        <v>5</v>
      </c>
      <c r="O828" s="0" t="n">
        <f aca="false">VLOOKUP(B828,'Team Data'!$A$1:$P$133,2,FALSE())</f>
        <v>11</v>
      </c>
      <c r="P828" s="0" t="n">
        <f aca="false">VLOOKUP(B828,'Team Data'!$A$1:$P$133,3,FALSE())</f>
        <v>3</v>
      </c>
      <c r="Q828" s="0" t="n">
        <f aca="false">VLOOKUP(A828,'Team Data'!$A$1:$P$133,4,FALSE())</f>
        <v>97</v>
      </c>
      <c r="R828" s="0" t="n">
        <f aca="false">VLOOKUP(A828,'Team Data'!$A$1:$P$133,5,FALSE())</f>
        <v>178</v>
      </c>
      <c r="S828" s="0" t="n">
        <f aca="false">VLOOKUP(B828,'Team Data'!$A$1:$P$133,4,FALSE())</f>
        <v>102</v>
      </c>
      <c r="T828" s="0" t="n">
        <f aca="false">VLOOKUP(B828,'Team Data'!$A$1:$P$133,5,FALSE())</f>
        <v>184</v>
      </c>
      <c r="U828" s="0" t="n">
        <f aca="false">IF(K828=1,(MIN(35,(C828-D828)))*(O828/(O828+P828))*(S828/(S828+T828)),(MAX(-35,(C828-D828)))*(IF(P828=0,0.1,(P828/(O828+P828))))*(T828/(S828+T828)))</f>
        <v>0.28021978021978</v>
      </c>
      <c r="V828" s="0" t="n">
        <f aca="false">IF(L828=1,(MIN(35,(D828-C828)))*(M828/(M828+N828))*(Q828/(Q828+R828)),(MAX(-35,(D828-C828)))*(IF(N828=0,0.1,(N828/(M828+N828))))*(R828/(R828+Q828)))</f>
        <v>-0.248951048951049</v>
      </c>
    </row>
    <row r="829" customFormat="false" ht="15" hidden="false" customHeight="false" outlineLevel="0" collapsed="false">
      <c r="A829" s="0" t="s">
        <v>54</v>
      </c>
      <c r="B829" s="0" t="s">
        <v>107</v>
      </c>
      <c r="C829" s="0" t="n">
        <v>23</v>
      </c>
      <c r="D829" s="0" t="n">
        <v>38</v>
      </c>
      <c r="E829" s="0" t="n">
        <v>187</v>
      </c>
      <c r="F829" s="0" t="n">
        <v>274</v>
      </c>
      <c r="G829" s="0" t="n">
        <v>197</v>
      </c>
      <c r="H829" s="0" t="n">
        <v>155</v>
      </c>
      <c r="I829" s="0" t="n">
        <v>1</v>
      </c>
      <c r="J829" s="0" t="n">
        <v>0</v>
      </c>
      <c r="K829" s="0" t="n">
        <v>0</v>
      </c>
      <c r="L829" s="0" t="n">
        <v>1</v>
      </c>
      <c r="M829" s="0" t="n">
        <f aca="false">VLOOKUP(A829,'Team Data'!$A$1:$P$133,2,FALSE())</f>
        <v>10</v>
      </c>
      <c r="N829" s="0" t="n">
        <f aca="false">VLOOKUP(A829,'Team Data'!$A$1:$P$133,3,FALSE())</f>
        <v>4</v>
      </c>
      <c r="O829" s="0" t="n">
        <f aca="false">VLOOKUP(B829,'Team Data'!$A$1:$P$133,2,FALSE())</f>
        <v>5</v>
      </c>
      <c r="P829" s="0" t="n">
        <f aca="false">VLOOKUP(B829,'Team Data'!$A$1:$P$133,3,FALSE())</f>
        <v>7</v>
      </c>
      <c r="Q829" s="0" t="n">
        <f aca="false">VLOOKUP(A829,'Team Data'!$A$1:$P$133,4,FALSE())</f>
        <v>112</v>
      </c>
      <c r="R829" s="0" t="n">
        <f aca="false">VLOOKUP(A829,'Team Data'!$A$1:$P$133,5,FALSE())</f>
        <v>177</v>
      </c>
      <c r="S829" s="0" t="n">
        <f aca="false">VLOOKUP(B829,'Team Data'!$A$1:$P$133,4,FALSE())</f>
        <v>84</v>
      </c>
      <c r="T829" s="0" t="n">
        <f aca="false">VLOOKUP(B829,'Team Data'!$A$1:$P$133,5,FALSE())</f>
        <v>176</v>
      </c>
      <c r="U829" s="0" t="n">
        <f aca="false">IF(K829=1,(MIN(35,(C829-D829)))*(O829/(O829+P829))*(S829/(S829+T829)),(MAX(-35,(C829-D829)))*(IF(P829=0,0.1,(P829/(O829+P829))))*(T829/(S829+T829)))</f>
        <v>-5.92307692307692</v>
      </c>
      <c r="V829" s="0" t="n">
        <f aca="false">IF(L829=1,(MIN(35,(D829-C829)))*(M829/(M829+N829))*(Q829/(Q829+R829)),(MAX(-35,(D829-C829)))*(IF(N829=0,0.1,(N829/(M829+N829))))*(R829/(R829+Q829)))</f>
        <v>4.1522491349481</v>
      </c>
    </row>
    <row r="830" customFormat="false" ht="15" hidden="false" customHeight="false" outlineLevel="0" collapsed="false">
      <c r="A830" s="0" t="s">
        <v>105</v>
      </c>
      <c r="B830" s="0" t="s">
        <v>126</v>
      </c>
      <c r="C830" s="0" t="n">
        <v>56</v>
      </c>
      <c r="D830" s="0" t="n">
        <v>0</v>
      </c>
      <c r="E830" s="0" t="n">
        <v>362</v>
      </c>
      <c r="F830" s="0" t="n">
        <v>147</v>
      </c>
      <c r="G830" s="0" t="n">
        <v>151</v>
      </c>
      <c r="H830" s="0" t="n">
        <v>107</v>
      </c>
      <c r="I830" s="0" t="n">
        <v>0</v>
      </c>
      <c r="J830" s="0" t="n">
        <v>1</v>
      </c>
      <c r="K830" s="0" t="n">
        <v>1</v>
      </c>
      <c r="L830" s="0" t="n">
        <v>0</v>
      </c>
      <c r="M830" s="0" t="n">
        <f aca="false">VLOOKUP(A830,'Team Data'!$A$1:$P$133,2,FALSE())</f>
        <v>11</v>
      </c>
      <c r="N830" s="0" t="n">
        <f aca="false">VLOOKUP(A830,'Team Data'!$A$1:$P$133,3,FALSE())</f>
        <v>2</v>
      </c>
      <c r="O830" s="0" t="n">
        <f aca="false">VLOOKUP(B830,'Team Data'!$A$1:$P$133,2,FALSE())</f>
        <v>5</v>
      </c>
      <c r="P830" s="0" t="n">
        <f aca="false">VLOOKUP(B830,'Team Data'!$A$1:$P$133,3,FALSE())</f>
        <v>7</v>
      </c>
      <c r="Q830" s="0" t="n">
        <f aca="false">VLOOKUP(A830,'Team Data'!$A$1:$P$133,4,FALSE())</f>
        <v>103</v>
      </c>
      <c r="R830" s="0" t="n">
        <f aca="false">VLOOKUP(A830,'Team Data'!$A$1:$P$133,5,FALSE())</f>
        <v>174</v>
      </c>
      <c r="S830" s="0" t="n">
        <f aca="false">VLOOKUP(B830,'Team Data'!$A$1:$P$133,4,FALSE())</f>
        <v>94</v>
      </c>
      <c r="T830" s="0" t="n">
        <f aca="false">VLOOKUP(B830,'Team Data'!$A$1:$P$133,5,FALSE())</f>
        <v>170</v>
      </c>
      <c r="U830" s="0" t="n">
        <f aca="false">IF(K830=1,(MIN(35,(C830-D830)))*(O830/(O830+P830))*(S830/(S830+T830)),(MAX(-35,(C830-D830)))*(IF(P830=0,0.1,(P830/(O830+P830))))*(T830/(S830+T830)))</f>
        <v>5.19255050505051</v>
      </c>
      <c r="V830" s="0" t="n">
        <f aca="false">IF(L830=1,(MIN(35,(D830-C830)))*(M830/(M830+N830))*(Q830/(Q830+R830)),(MAX(-35,(D830-C830)))*(IF(N830=0,0.1,(N830/(M830+N830))))*(R830/(R830+Q830)))</f>
        <v>-3.38239377950569</v>
      </c>
    </row>
    <row r="831" customFormat="false" ht="15" hidden="false" customHeight="false" outlineLevel="0" collapsed="false">
      <c r="A831" s="0" t="s">
        <v>11</v>
      </c>
      <c r="B831" s="0" t="s">
        <v>10</v>
      </c>
      <c r="C831" s="0" t="n">
        <v>35</v>
      </c>
      <c r="D831" s="0" t="n">
        <v>38</v>
      </c>
      <c r="E831" s="0" t="n">
        <v>161</v>
      </c>
      <c r="F831" s="0" t="n">
        <v>280</v>
      </c>
      <c r="G831" s="0" t="n">
        <v>376</v>
      </c>
      <c r="H831" s="0" t="n">
        <v>200</v>
      </c>
      <c r="I831" s="0" t="n">
        <v>5</v>
      </c>
      <c r="J831" s="0" t="n">
        <v>1</v>
      </c>
      <c r="K831" s="0" t="n">
        <v>0</v>
      </c>
      <c r="L831" s="0" t="n">
        <v>1</v>
      </c>
      <c r="M831" s="0" t="n">
        <f aca="false">VLOOKUP(A831,'Team Data'!$A$1:$P$133,2,FALSE())</f>
        <v>3</v>
      </c>
      <c r="N831" s="0" t="n">
        <f aca="false">VLOOKUP(A831,'Team Data'!$A$1:$P$133,3,FALSE())</f>
        <v>9</v>
      </c>
      <c r="O831" s="0" t="n">
        <f aca="false">VLOOKUP(B831,'Team Data'!$A$1:$P$133,2,FALSE())</f>
        <v>5</v>
      </c>
      <c r="P831" s="0" t="n">
        <f aca="false">VLOOKUP(B831,'Team Data'!$A$1:$P$133,3,FALSE())</f>
        <v>7</v>
      </c>
      <c r="Q831" s="0" t="n">
        <f aca="false">VLOOKUP(A831,'Team Data'!$A$1:$P$133,4,FALSE())</f>
        <v>91</v>
      </c>
      <c r="R831" s="0" t="n">
        <f aca="false">VLOOKUP(A831,'Team Data'!$A$1:$P$133,5,FALSE())</f>
        <v>171</v>
      </c>
      <c r="S831" s="0" t="n">
        <f aca="false">VLOOKUP(B831,'Team Data'!$A$1:$P$133,4,FALSE())</f>
        <v>90</v>
      </c>
      <c r="T831" s="0" t="n">
        <f aca="false">VLOOKUP(B831,'Team Data'!$A$1:$P$133,5,FALSE())</f>
        <v>172</v>
      </c>
      <c r="U831" s="0" t="n">
        <f aca="false">IF(K831=1,(MIN(35,(C831-D831)))*(O831/(O831+P831))*(S831/(S831+T831)),(MAX(-35,(C831-D831)))*(IF(P831=0,0.1,(P831/(O831+P831))))*(T831/(S831+T831)))</f>
        <v>-1.14885496183206</v>
      </c>
      <c r="V831" s="0" t="n">
        <f aca="false">IF(L831=1,(MIN(35,(D831-C831)))*(M831/(M831+N831))*(Q831/(Q831+R831)),(MAX(-35,(D831-C831)))*(IF(N831=0,0.1,(N831/(M831+N831))))*(R831/(R831+Q831)))</f>
        <v>0.260496183206107</v>
      </c>
    </row>
    <row r="832" customFormat="false" ht="15" hidden="false" customHeight="false" outlineLevel="0" collapsed="false">
      <c r="A832" s="0" t="s">
        <v>116</v>
      </c>
      <c r="B832" s="0" t="s">
        <v>23</v>
      </c>
      <c r="C832" s="0" t="n">
        <v>35</v>
      </c>
      <c r="D832" s="0" t="n">
        <v>28</v>
      </c>
      <c r="E832" s="0" t="n">
        <v>352</v>
      </c>
      <c r="F832" s="0" t="n">
        <v>67</v>
      </c>
      <c r="G832" s="0" t="n">
        <v>189</v>
      </c>
      <c r="H832" s="0" t="n">
        <v>294</v>
      </c>
      <c r="I832" s="0" t="n">
        <v>0</v>
      </c>
      <c r="J832" s="0" t="n">
        <v>2</v>
      </c>
      <c r="K832" s="0" t="n">
        <v>1</v>
      </c>
      <c r="L832" s="0" t="n">
        <v>0</v>
      </c>
      <c r="M832" s="0" t="n">
        <f aca="false">VLOOKUP(A832,'Team Data'!$A$1:$P$133,2,FALSE())</f>
        <v>9</v>
      </c>
      <c r="N832" s="0" t="n">
        <f aca="false">VLOOKUP(A832,'Team Data'!$A$1:$P$133,3,FALSE())</f>
        <v>4</v>
      </c>
      <c r="O832" s="0" t="n">
        <f aca="false">VLOOKUP(B832,'Team Data'!$A$1:$P$133,2,FALSE())</f>
        <v>4</v>
      </c>
      <c r="P832" s="0" t="n">
        <f aca="false">VLOOKUP(B832,'Team Data'!$A$1:$P$133,3,FALSE())</f>
        <v>8</v>
      </c>
      <c r="Q832" s="0" t="n">
        <f aca="false">VLOOKUP(A832,'Team Data'!$A$1:$P$133,4,FALSE())</f>
        <v>91</v>
      </c>
      <c r="R832" s="0" t="n">
        <f aca="false">VLOOKUP(A832,'Team Data'!$A$1:$P$133,5,FALSE())</f>
        <v>182</v>
      </c>
      <c r="S832" s="0" t="n">
        <f aca="false">VLOOKUP(B832,'Team Data'!$A$1:$P$133,4,FALSE())</f>
        <v>89</v>
      </c>
      <c r="T832" s="0" t="n">
        <f aca="false">VLOOKUP(B832,'Team Data'!$A$1:$P$133,5,FALSE())</f>
        <v>171</v>
      </c>
      <c r="U832" s="0" t="n">
        <f aca="false">IF(K832=1,(MIN(35,(C832-D832)))*(O832/(O832+P832))*(S832/(S832+T832)),(MAX(-35,(C832-D832)))*(IF(P832=0,0.1,(P832/(O832+P832))))*(T832/(S832+T832)))</f>
        <v>0.798717948717949</v>
      </c>
      <c r="V832" s="0" t="n">
        <f aca="false">IF(L832=1,(MIN(35,(D832-C832)))*(M832/(M832+N832))*(Q832/(Q832+R832)),(MAX(-35,(D832-C832)))*(IF(N832=0,0.1,(N832/(M832+N832))))*(R832/(R832+Q832)))</f>
        <v>-1.43589743589744</v>
      </c>
    </row>
    <row r="833" customFormat="false" ht="15" hidden="false" customHeight="false" outlineLevel="0" collapsed="false">
      <c r="A833" s="0" t="s">
        <v>88</v>
      </c>
      <c r="B833" s="0" t="s">
        <v>89</v>
      </c>
      <c r="C833" s="0" t="n">
        <v>34</v>
      </c>
      <c r="D833" s="0" t="n">
        <v>38</v>
      </c>
      <c r="E833" s="0" t="n">
        <v>143</v>
      </c>
      <c r="F833" s="0" t="n">
        <v>268</v>
      </c>
      <c r="G833" s="0" t="n">
        <v>327</v>
      </c>
      <c r="H833" s="0" t="n">
        <v>60</v>
      </c>
      <c r="I833" s="0" t="n">
        <v>0</v>
      </c>
      <c r="J833" s="0" t="n">
        <v>3</v>
      </c>
      <c r="K833" s="0" t="n">
        <v>0</v>
      </c>
      <c r="L833" s="0" t="n">
        <v>1</v>
      </c>
      <c r="M833" s="0" t="n">
        <f aca="false">VLOOKUP(A833,'Team Data'!$A$1:$P$133,2,FALSE())</f>
        <v>10</v>
      </c>
      <c r="N833" s="0" t="n">
        <f aca="false">VLOOKUP(A833,'Team Data'!$A$1:$P$133,3,FALSE())</f>
        <v>3</v>
      </c>
      <c r="O833" s="0" t="n">
        <f aca="false">VLOOKUP(B833,'Team Data'!$A$1:$P$133,2,FALSE())</f>
        <v>10</v>
      </c>
      <c r="P833" s="0" t="n">
        <f aca="false">VLOOKUP(B833,'Team Data'!$A$1:$P$133,3,FALSE())</f>
        <v>3</v>
      </c>
      <c r="Q833" s="0" t="n">
        <f aca="false">VLOOKUP(A833,'Team Data'!$A$1:$P$133,4,FALSE())</f>
        <v>100</v>
      </c>
      <c r="R833" s="0" t="n">
        <f aca="false">VLOOKUP(A833,'Team Data'!$A$1:$P$133,5,FALSE())</f>
        <v>176</v>
      </c>
      <c r="S833" s="0" t="n">
        <f aca="false">VLOOKUP(B833,'Team Data'!$A$1:$P$133,4,FALSE())</f>
        <v>94</v>
      </c>
      <c r="T833" s="0" t="n">
        <f aca="false">VLOOKUP(B833,'Team Data'!$A$1:$P$133,5,FALSE())</f>
        <v>182</v>
      </c>
      <c r="U833" s="0" t="n">
        <f aca="false">IF(K833=1,(MIN(35,(C833-D833)))*(O833/(O833+P833))*(S833/(S833+T833)),(MAX(-35,(C833-D833)))*(IF(P833=0,0.1,(P833/(O833+P833))))*(T833/(S833+T833)))</f>
        <v>-0.608695652173913</v>
      </c>
      <c r="V833" s="0" t="n">
        <f aca="false">IF(L833=1,(MIN(35,(D833-C833)))*(M833/(M833+N833))*(Q833/(Q833+R833)),(MAX(-35,(D833-C833)))*(IF(N833=0,0.1,(N833/(M833+N833))))*(R833/(R833+Q833)))</f>
        <v>1.11482720178372</v>
      </c>
    </row>
    <row r="834" customFormat="false" ht="15" hidden="false" customHeight="false" outlineLevel="0" collapsed="false">
      <c r="A834" s="0" t="s">
        <v>124</v>
      </c>
      <c r="B834" s="0" t="s">
        <v>29</v>
      </c>
      <c r="C834" s="0" t="n">
        <v>63</v>
      </c>
      <c r="D834" s="0" t="n">
        <v>21</v>
      </c>
      <c r="E834" s="0" t="n">
        <v>383</v>
      </c>
      <c r="F834" s="0" t="n">
        <v>62</v>
      </c>
      <c r="G834" s="0" t="n">
        <v>279</v>
      </c>
      <c r="H834" s="0" t="n">
        <v>123</v>
      </c>
      <c r="I834" s="0" t="n">
        <v>1</v>
      </c>
      <c r="J834" s="0" t="n">
        <v>0</v>
      </c>
      <c r="K834" s="0" t="n">
        <v>1</v>
      </c>
      <c r="L834" s="0" t="n">
        <v>0</v>
      </c>
      <c r="M834" s="0" t="n">
        <f aca="false">VLOOKUP(A834,'Team Data'!$A$1:$P$133,2,FALSE())</f>
        <v>10</v>
      </c>
      <c r="N834" s="0" t="n">
        <f aca="false">VLOOKUP(A834,'Team Data'!$A$1:$P$133,3,FALSE())</f>
        <v>4</v>
      </c>
      <c r="O834" s="0" t="n">
        <f aca="false">VLOOKUP(B834,'Team Data'!$A$1:$P$133,2,FALSE())</f>
        <v>1</v>
      </c>
      <c r="P834" s="0" t="n">
        <f aca="false">VLOOKUP(B834,'Team Data'!$A$1:$P$133,3,FALSE())</f>
        <v>11</v>
      </c>
      <c r="Q834" s="0" t="n">
        <f aca="false">VLOOKUP(A834,'Team Data'!$A$1:$P$133,4,FALSE())</f>
        <v>102</v>
      </c>
      <c r="R834" s="0" t="n">
        <f aca="false">VLOOKUP(A834,'Team Data'!$A$1:$P$133,5,FALSE())</f>
        <v>185</v>
      </c>
      <c r="S834" s="0" t="n">
        <f aca="false">VLOOKUP(B834,'Team Data'!$A$1:$P$133,4,FALSE())</f>
        <v>105</v>
      </c>
      <c r="T834" s="0" t="n">
        <f aca="false">VLOOKUP(B834,'Team Data'!$A$1:$P$133,5,FALSE())</f>
        <v>52</v>
      </c>
      <c r="U834" s="0" t="n">
        <f aca="false">IF(K834=1,(MIN(35,(C834-D834)))*(O834/(O834+P834))*(S834/(S834+T834)),(MAX(-35,(C834-D834)))*(IF(P834=0,0.1,(P834/(O834+P834))))*(T834/(S834+T834)))</f>
        <v>1.95063694267516</v>
      </c>
      <c r="V834" s="0" t="n">
        <f aca="false">IF(L834=1,(MIN(35,(D834-C834)))*(M834/(M834+N834))*(Q834/(Q834+R834)),(MAX(-35,(D834-C834)))*(IF(N834=0,0.1,(N834/(M834+N834))))*(R834/(R834+Q834)))</f>
        <v>-6.44599303135889</v>
      </c>
    </row>
    <row r="835" customFormat="false" ht="15" hidden="false" customHeight="false" outlineLevel="0" collapsed="false">
      <c r="A835" s="0" t="s">
        <v>16</v>
      </c>
      <c r="B835" s="0" t="s">
        <v>101</v>
      </c>
      <c r="C835" s="0" t="n">
        <v>35</v>
      </c>
      <c r="D835" s="0" t="n">
        <v>26</v>
      </c>
      <c r="E835" s="0" t="n">
        <v>358</v>
      </c>
      <c r="F835" s="0" t="n">
        <v>53</v>
      </c>
      <c r="G835" s="0" t="n">
        <v>93</v>
      </c>
      <c r="H835" s="0" t="n">
        <v>318</v>
      </c>
      <c r="I835" s="0" t="n">
        <v>0</v>
      </c>
      <c r="J835" s="0" t="n">
        <v>0</v>
      </c>
      <c r="K835" s="0" t="n">
        <v>1</v>
      </c>
      <c r="L835" s="0" t="n">
        <v>0</v>
      </c>
      <c r="M835" s="0" t="n">
        <f aca="false">VLOOKUP(A835,'Team Data'!$A$1:$P$133,2,FALSE())</f>
        <v>8</v>
      </c>
      <c r="N835" s="0" t="n">
        <f aca="false">VLOOKUP(A835,'Team Data'!$A$1:$P$133,3,FALSE())</f>
        <v>5</v>
      </c>
      <c r="O835" s="0" t="n">
        <f aca="false">VLOOKUP(B835,'Team Data'!$A$1:$P$133,2,FALSE())</f>
        <v>3</v>
      </c>
      <c r="P835" s="0" t="n">
        <f aca="false">VLOOKUP(B835,'Team Data'!$A$1:$P$133,3,FALSE())</f>
        <v>9</v>
      </c>
      <c r="Q835" s="0" t="n">
        <f aca="false">VLOOKUP(A835,'Team Data'!$A$1:$P$133,4,FALSE())</f>
        <v>90</v>
      </c>
      <c r="R835" s="0" t="n">
        <f aca="false">VLOOKUP(A835,'Team Data'!$A$1:$P$133,5,FALSE())</f>
        <v>185</v>
      </c>
      <c r="S835" s="0" t="n">
        <f aca="false">VLOOKUP(B835,'Team Data'!$A$1:$P$133,4,FALSE())</f>
        <v>100</v>
      </c>
      <c r="T835" s="0" t="n">
        <f aca="false">VLOOKUP(B835,'Team Data'!$A$1:$P$133,5,FALSE())</f>
        <v>163</v>
      </c>
      <c r="U835" s="0" t="n">
        <f aca="false">IF(K835=1,(MIN(35,(C835-D835)))*(O835/(O835+P835))*(S835/(S835+T835)),(MAX(-35,(C835-D835)))*(IF(P835=0,0.1,(P835/(O835+P835))))*(T835/(S835+T835)))</f>
        <v>0.855513307984791</v>
      </c>
      <c r="V835" s="0" t="n">
        <f aca="false">IF(L835=1,(MIN(35,(D835-C835)))*(M835/(M835+N835))*(Q835/(Q835+R835)),(MAX(-35,(D835-C835)))*(IF(N835=0,0.1,(N835/(M835+N835))))*(R835/(R835+Q835)))</f>
        <v>-2.32867132867133</v>
      </c>
    </row>
    <row r="836" customFormat="false" ht="15" hidden="false" customHeight="false" outlineLevel="0" collapsed="false">
      <c r="A836" s="0" t="s">
        <v>130</v>
      </c>
      <c r="B836" s="0" t="s">
        <v>131</v>
      </c>
      <c r="C836" s="0" t="n">
        <v>51</v>
      </c>
      <c r="D836" s="0" t="n">
        <v>33</v>
      </c>
      <c r="E836" s="0" t="n">
        <v>218</v>
      </c>
      <c r="F836" s="0" t="n">
        <v>75</v>
      </c>
      <c r="G836" s="0" t="n">
        <v>485</v>
      </c>
      <c r="H836" s="0" t="n">
        <v>358</v>
      </c>
      <c r="I836" s="0" t="n">
        <v>2</v>
      </c>
      <c r="J836" s="0" t="n">
        <v>0</v>
      </c>
      <c r="K836" s="0" t="n">
        <v>1</v>
      </c>
      <c r="L836" s="0" t="n">
        <v>0</v>
      </c>
      <c r="M836" s="0" t="n">
        <f aca="false">VLOOKUP(A836,'Team Data'!$A$1:$P$133,2,FALSE())</f>
        <v>11</v>
      </c>
      <c r="N836" s="0" t="n">
        <f aca="false">VLOOKUP(A836,'Team Data'!$A$1:$P$133,3,FALSE())</f>
        <v>2</v>
      </c>
      <c r="O836" s="0" t="n">
        <f aca="false">VLOOKUP(B836,'Team Data'!$A$1:$P$133,2,FALSE())</f>
        <v>7</v>
      </c>
      <c r="P836" s="0" t="n">
        <f aca="false">VLOOKUP(B836,'Team Data'!$A$1:$P$133,3,FALSE())</f>
        <v>6</v>
      </c>
      <c r="Q836" s="0" t="n">
        <f aca="false">VLOOKUP(A836,'Team Data'!$A$1:$P$133,4,FALSE())</f>
        <v>78</v>
      </c>
      <c r="R836" s="0" t="n">
        <f aca="false">VLOOKUP(A836,'Team Data'!$A$1:$P$133,5,FALSE())</f>
        <v>191</v>
      </c>
      <c r="S836" s="0" t="n">
        <f aca="false">VLOOKUP(B836,'Team Data'!$A$1:$P$133,4,FALSE())</f>
        <v>95</v>
      </c>
      <c r="T836" s="0" t="n">
        <f aca="false">VLOOKUP(B836,'Team Data'!$A$1:$P$133,5,FALSE())</f>
        <v>179</v>
      </c>
      <c r="U836" s="0" t="n">
        <f aca="false">IF(K836=1,(MIN(35,(C836-D836)))*(O836/(O836+P836))*(S836/(S836+T836)),(MAX(-35,(C836-D836)))*(IF(P836=0,0.1,(P836/(O836+P836))))*(T836/(S836+T836)))</f>
        <v>3.36047164514318</v>
      </c>
      <c r="V836" s="0" t="n">
        <f aca="false">IF(L836=1,(MIN(35,(D836-C836)))*(M836/(M836+N836))*(Q836/(Q836+R836)),(MAX(-35,(D836-C836)))*(IF(N836=0,0.1,(N836/(M836+N836))))*(R836/(R836+Q836)))</f>
        <v>-1.9662567915356</v>
      </c>
    </row>
    <row r="837" customFormat="false" ht="15" hidden="false" customHeight="false" outlineLevel="0" collapsed="false">
      <c r="A837" s="0" t="s">
        <v>18</v>
      </c>
      <c r="B837" s="0" t="s">
        <v>106</v>
      </c>
      <c r="C837" s="0" t="n">
        <v>27</v>
      </c>
      <c r="D837" s="0" t="n">
        <v>38</v>
      </c>
      <c r="E837" s="0" t="n">
        <v>101</v>
      </c>
      <c r="F837" s="0" t="n">
        <v>208</v>
      </c>
      <c r="G837" s="0" t="n">
        <v>179</v>
      </c>
      <c r="H837" s="0" t="n">
        <v>194</v>
      </c>
      <c r="I837" s="0" t="n">
        <v>1</v>
      </c>
      <c r="J837" s="0" t="n">
        <v>4</v>
      </c>
      <c r="K837" s="0" t="n">
        <v>0</v>
      </c>
      <c r="L837" s="0" t="n">
        <v>1</v>
      </c>
      <c r="M837" s="0" t="n">
        <f aca="false">VLOOKUP(A837,'Team Data'!$A$1:$P$133,2,FALSE())</f>
        <v>6</v>
      </c>
      <c r="N837" s="0" t="n">
        <f aca="false">VLOOKUP(A837,'Team Data'!$A$1:$P$133,3,FALSE())</f>
        <v>7</v>
      </c>
      <c r="O837" s="0" t="n">
        <f aca="false">VLOOKUP(B837,'Team Data'!$A$1:$P$133,2,FALSE())</f>
        <v>8</v>
      </c>
      <c r="P837" s="0" t="n">
        <f aca="false">VLOOKUP(B837,'Team Data'!$A$1:$P$133,3,FALSE())</f>
        <v>5</v>
      </c>
      <c r="Q837" s="0" t="n">
        <f aca="false">VLOOKUP(A837,'Team Data'!$A$1:$P$133,4,FALSE())</f>
        <v>97</v>
      </c>
      <c r="R837" s="0" t="n">
        <f aca="false">VLOOKUP(A837,'Team Data'!$A$1:$P$133,5,FALSE())</f>
        <v>179</v>
      </c>
      <c r="S837" s="0" t="n">
        <f aca="false">VLOOKUP(B837,'Team Data'!$A$1:$P$133,4,FALSE())</f>
        <v>102</v>
      </c>
      <c r="T837" s="0" t="n">
        <f aca="false">VLOOKUP(B837,'Team Data'!$A$1:$P$133,5,FALSE())</f>
        <v>68</v>
      </c>
      <c r="U837" s="0" t="n">
        <f aca="false">IF(K837=1,(MIN(35,(C837-D837)))*(O837/(O837+P837))*(S837/(S837+T837)),(MAX(-35,(C837-D837)))*(IF(P837=0,0.1,(P837/(O837+P837))))*(T837/(S837+T837)))</f>
        <v>-1.69230769230769</v>
      </c>
      <c r="V837" s="0" t="n">
        <f aca="false">IF(L837=1,(MIN(35,(D837-C837)))*(M837/(M837+N837))*(Q837/(Q837+R837)),(MAX(-35,(D837-C837)))*(IF(N837=0,0.1,(N837/(M837+N837))))*(R837/(R837+Q837)))</f>
        <v>1.78428093645485</v>
      </c>
    </row>
    <row r="838" customFormat="false" ht="15" hidden="false" customHeight="false" outlineLevel="0" collapsed="false">
      <c r="A838" s="0" t="s">
        <v>48</v>
      </c>
      <c r="B838" s="0" t="s">
        <v>103</v>
      </c>
      <c r="C838" s="0" t="n">
        <v>14</v>
      </c>
      <c r="D838" s="0" t="n">
        <v>62</v>
      </c>
      <c r="E838" s="0" t="n">
        <v>159</v>
      </c>
      <c r="F838" s="0" t="n">
        <v>131</v>
      </c>
      <c r="G838" s="0" t="n">
        <v>171</v>
      </c>
      <c r="H838" s="0" t="n">
        <v>246</v>
      </c>
      <c r="I838" s="0" t="n">
        <v>3</v>
      </c>
      <c r="J838" s="0" t="n">
        <v>0</v>
      </c>
      <c r="K838" s="0" t="n">
        <v>0</v>
      </c>
      <c r="L838" s="0" t="n">
        <v>1</v>
      </c>
      <c r="M838" s="0" t="n">
        <f aca="false">VLOOKUP(A838,'Team Data'!$A$1:$P$133,2,FALSE())</f>
        <v>4</v>
      </c>
      <c r="N838" s="0" t="n">
        <f aca="false">VLOOKUP(A838,'Team Data'!$A$1:$P$133,3,FALSE())</f>
        <v>8</v>
      </c>
      <c r="O838" s="0" t="n">
        <f aca="false">VLOOKUP(B838,'Team Data'!$A$1:$P$133,2,FALSE())</f>
        <v>13</v>
      </c>
      <c r="P838" s="0" t="n">
        <f aca="false">VLOOKUP(B838,'Team Data'!$A$1:$P$133,3,FALSE())</f>
        <v>2</v>
      </c>
      <c r="Q838" s="0" t="n">
        <f aca="false">VLOOKUP(A838,'Team Data'!$A$1:$P$133,4,FALSE())</f>
        <v>95</v>
      </c>
      <c r="R838" s="0" t="n">
        <f aca="false">VLOOKUP(A838,'Team Data'!$A$1:$P$133,5,FALSE())</f>
        <v>171</v>
      </c>
      <c r="S838" s="0" t="n">
        <f aca="false">VLOOKUP(B838,'Team Data'!$A$1:$P$133,4,FALSE())</f>
        <v>114</v>
      </c>
      <c r="T838" s="0" t="n">
        <f aca="false">VLOOKUP(B838,'Team Data'!$A$1:$P$133,5,FALSE())</f>
        <v>190</v>
      </c>
      <c r="U838" s="0" t="n">
        <f aca="false">IF(K838=1,(MIN(35,(C838-D838)))*(O838/(O838+P838))*(S838/(S838+T838)),(MAX(-35,(C838-D838)))*(IF(P838=0,0.1,(P838/(O838+P838))))*(T838/(S838+T838)))</f>
        <v>-2.91666666666667</v>
      </c>
      <c r="V838" s="0" t="n">
        <f aca="false">IF(L838=1,(MIN(35,(D838-C838)))*(M838/(M838+N838))*(Q838/(Q838+R838)),(MAX(-35,(D838-C838)))*(IF(N838=0,0.1,(N838/(M838+N838))))*(R838/(R838+Q838)))</f>
        <v>4.16666666666667</v>
      </c>
    </row>
    <row r="839" customFormat="false" ht="15" hidden="false" customHeight="false" outlineLevel="0" collapsed="false">
      <c r="A839" s="0" t="s">
        <v>50</v>
      </c>
      <c r="B839" s="0" t="s">
        <v>51</v>
      </c>
      <c r="C839" s="0" t="n">
        <v>27</v>
      </c>
      <c r="D839" s="0" t="n">
        <v>47</v>
      </c>
      <c r="E839" s="0" t="n">
        <v>127</v>
      </c>
      <c r="F839" s="0" t="n">
        <v>230</v>
      </c>
      <c r="G839" s="0" t="n">
        <v>180</v>
      </c>
      <c r="H839" s="0" t="n">
        <v>213</v>
      </c>
      <c r="I839" s="0" t="n">
        <v>2</v>
      </c>
      <c r="J839" s="0" t="n">
        <v>1</v>
      </c>
      <c r="K839" s="0" t="n">
        <v>0</v>
      </c>
      <c r="L839" s="0" t="n">
        <v>1</v>
      </c>
      <c r="M839" s="0" t="n">
        <f aca="false">VLOOKUP(A839,'Team Data'!$A$1:$P$133,2,FALSE())</f>
        <v>6</v>
      </c>
      <c r="N839" s="0" t="n">
        <f aca="false">VLOOKUP(A839,'Team Data'!$A$1:$P$133,3,FALSE())</f>
        <v>7</v>
      </c>
      <c r="O839" s="0" t="n">
        <f aca="false">VLOOKUP(B839,'Team Data'!$A$1:$P$133,2,FALSE())</f>
        <v>10</v>
      </c>
      <c r="P839" s="0" t="n">
        <f aca="false">VLOOKUP(B839,'Team Data'!$A$1:$P$133,3,FALSE())</f>
        <v>4</v>
      </c>
      <c r="Q839" s="0" t="n">
        <f aca="false">VLOOKUP(A839,'Team Data'!$A$1:$P$133,4,FALSE())</f>
        <v>99</v>
      </c>
      <c r="R839" s="0" t="n">
        <f aca="false">VLOOKUP(A839,'Team Data'!$A$1:$P$133,5,FALSE())</f>
        <v>178</v>
      </c>
      <c r="S839" s="0" t="n">
        <f aca="false">VLOOKUP(B839,'Team Data'!$A$1:$P$133,4,FALSE())</f>
        <v>113</v>
      </c>
      <c r="T839" s="0" t="n">
        <f aca="false">VLOOKUP(B839,'Team Data'!$A$1:$P$133,5,FALSE())</f>
        <v>179</v>
      </c>
      <c r="U839" s="0" t="n">
        <f aca="false">IF(K839=1,(MIN(35,(C839-D839)))*(O839/(O839+P839))*(S839/(S839+T839)),(MAX(-35,(C839-D839)))*(IF(P839=0,0.1,(P839/(O839+P839))))*(T839/(S839+T839)))</f>
        <v>-3.50293542074364</v>
      </c>
      <c r="V839" s="0" t="n">
        <f aca="false">IF(L839=1,(MIN(35,(D839-C839)))*(M839/(M839+N839))*(Q839/(Q839+R839)),(MAX(-35,(D839-C839)))*(IF(N839=0,0.1,(N839/(M839+N839))))*(R839/(R839+Q839)))</f>
        <v>3.29908358789225</v>
      </c>
    </row>
    <row r="840" customFormat="false" ht="15" hidden="false" customHeight="false" outlineLevel="0" collapsed="false">
      <c r="A840" s="0" t="s">
        <v>84</v>
      </c>
      <c r="B840" s="0" t="s">
        <v>109</v>
      </c>
      <c r="C840" s="0" t="n">
        <v>48</v>
      </c>
      <c r="D840" s="0" t="n">
        <v>51</v>
      </c>
      <c r="E840" s="0" t="n">
        <v>210</v>
      </c>
      <c r="F840" s="0" t="n">
        <v>163</v>
      </c>
      <c r="G840" s="0" t="n">
        <v>462</v>
      </c>
      <c r="H840" s="0" t="n">
        <v>436</v>
      </c>
      <c r="I840" s="0" t="n">
        <v>1</v>
      </c>
      <c r="J840" s="0" t="n">
        <v>2</v>
      </c>
      <c r="K840" s="0" t="n">
        <v>0</v>
      </c>
      <c r="L840" s="0" t="n">
        <v>1</v>
      </c>
      <c r="M840" s="0" t="n">
        <f aca="false">VLOOKUP(A840,'Team Data'!$A$1:$P$133,2,FALSE())</f>
        <v>6</v>
      </c>
      <c r="N840" s="0" t="n">
        <f aca="false">VLOOKUP(A840,'Team Data'!$A$1:$P$133,3,FALSE())</f>
        <v>7</v>
      </c>
      <c r="O840" s="0" t="n">
        <f aca="false">VLOOKUP(B840,'Team Data'!$A$1:$P$133,2,FALSE())</f>
        <v>8</v>
      </c>
      <c r="P840" s="0" t="n">
        <f aca="false">VLOOKUP(B840,'Team Data'!$A$1:$P$133,3,FALSE())</f>
        <v>5</v>
      </c>
      <c r="Q840" s="0" t="n">
        <f aca="false">VLOOKUP(A840,'Team Data'!$A$1:$P$133,4,FALSE())</f>
        <v>91</v>
      </c>
      <c r="R840" s="0" t="n">
        <f aca="false">VLOOKUP(A840,'Team Data'!$A$1:$P$133,5,FALSE())</f>
        <v>76</v>
      </c>
      <c r="S840" s="0" t="n">
        <f aca="false">VLOOKUP(B840,'Team Data'!$A$1:$P$133,4,FALSE())</f>
        <v>97</v>
      </c>
      <c r="T840" s="0" t="n">
        <f aca="false">VLOOKUP(B840,'Team Data'!$A$1:$P$133,5,FALSE())</f>
        <v>180</v>
      </c>
      <c r="U840" s="0" t="n">
        <f aca="false">IF(K840=1,(MIN(35,(C840-D840)))*(O840/(O840+P840))*(S840/(S840+T840)),(MAX(-35,(C840-D840)))*(IF(P840=0,0.1,(P840/(O840+P840))))*(T840/(S840+T840)))</f>
        <v>-0.749791724520967</v>
      </c>
      <c r="V840" s="0" t="n">
        <f aca="false">IF(L840=1,(MIN(35,(D840-C840)))*(M840/(M840+N840))*(Q840/(Q840+R840)),(MAX(-35,(D840-C840)))*(IF(N840=0,0.1,(N840/(M840+N840))))*(R840/(R840+Q840)))</f>
        <v>0.754491017964072</v>
      </c>
    </row>
    <row r="841" customFormat="false" ht="15" hidden="false" customHeight="false" outlineLevel="0" collapsed="false">
      <c r="A841" s="0" t="s">
        <v>132</v>
      </c>
      <c r="B841" s="0" t="s">
        <v>85</v>
      </c>
      <c r="C841" s="0" t="n">
        <v>24</v>
      </c>
      <c r="D841" s="0" t="n">
        <v>19</v>
      </c>
      <c r="E841" s="0" t="n">
        <v>250</v>
      </c>
      <c r="F841" s="0" t="n">
        <v>180</v>
      </c>
      <c r="G841" s="0" t="n">
        <v>77</v>
      </c>
      <c r="H841" s="0" t="n">
        <v>178</v>
      </c>
      <c r="I841" s="0" t="n">
        <v>1</v>
      </c>
      <c r="J841" s="0" t="n">
        <v>1</v>
      </c>
      <c r="K841" s="0" t="n">
        <v>1</v>
      </c>
      <c r="L841" s="0" t="n">
        <v>0</v>
      </c>
      <c r="M841" s="0" t="n">
        <f aca="false">VLOOKUP(A841,'Team Data'!$A$1:$P$133,2,FALSE())</f>
        <v>5</v>
      </c>
      <c r="N841" s="0" t="n">
        <f aca="false">VLOOKUP(A841,'Team Data'!$A$1:$P$133,3,FALSE())</f>
        <v>7</v>
      </c>
      <c r="O841" s="0" t="n">
        <f aca="false">VLOOKUP(B841,'Team Data'!$A$1:$P$133,2,FALSE())</f>
        <v>7</v>
      </c>
      <c r="P841" s="0" t="n">
        <f aca="false">VLOOKUP(B841,'Team Data'!$A$1:$P$133,3,FALSE())</f>
        <v>6</v>
      </c>
      <c r="Q841" s="0" t="n">
        <f aca="false">VLOOKUP(A841,'Team Data'!$A$1:$P$133,4,FALSE())</f>
        <v>88</v>
      </c>
      <c r="R841" s="0" t="n">
        <f aca="false">VLOOKUP(A841,'Team Data'!$A$1:$P$133,5,FALSE())</f>
        <v>175</v>
      </c>
      <c r="S841" s="0" t="n">
        <f aca="false">VLOOKUP(B841,'Team Data'!$A$1:$P$133,4,FALSE())</f>
        <v>88</v>
      </c>
      <c r="T841" s="0" t="n">
        <f aca="false">VLOOKUP(B841,'Team Data'!$A$1:$P$133,5,FALSE())</f>
        <v>187</v>
      </c>
      <c r="U841" s="0" t="n">
        <f aca="false">IF(K841=1,(MIN(35,(C841-D841)))*(O841/(O841+P841))*(S841/(S841+T841)),(MAX(-35,(C841-D841)))*(IF(P841=0,0.1,(P841/(O841+P841))))*(T841/(S841+T841)))</f>
        <v>0.861538461538462</v>
      </c>
      <c r="V841" s="0" t="n">
        <f aca="false">IF(L841=1,(MIN(35,(D841-C841)))*(M841/(M841+N841))*(Q841/(Q841+R841)),(MAX(-35,(D841-C841)))*(IF(N841=0,0.1,(N841/(M841+N841))))*(R841/(R841+Q841)))</f>
        <v>-1.94074778200254</v>
      </c>
    </row>
    <row r="842" customFormat="false" ht="15" hidden="false" customHeight="false" outlineLevel="0" collapsed="false">
      <c r="A842" s="0" t="s">
        <v>81</v>
      </c>
      <c r="B842" s="0" t="s">
        <v>120</v>
      </c>
      <c r="C842" s="0" t="n">
        <v>27</v>
      </c>
      <c r="D842" s="0" t="n">
        <v>38</v>
      </c>
      <c r="E842" s="0" t="n">
        <v>90</v>
      </c>
      <c r="F842" s="0" t="n">
        <v>204</v>
      </c>
      <c r="G842" s="0" t="n">
        <v>318</v>
      </c>
      <c r="H842" s="0" t="n">
        <v>232</v>
      </c>
      <c r="I842" s="0" t="n">
        <v>2</v>
      </c>
      <c r="J842" s="0" t="n">
        <v>0</v>
      </c>
      <c r="K842" s="0" t="n">
        <v>0</v>
      </c>
      <c r="L842" s="0" t="n">
        <v>1</v>
      </c>
      <c r="M842" s="0" t="n">
        <f aca="false">VLOOKUP(A842,'Team Data'!$A$1:$P$133,2,FALSE())</f>
        <v>9</v>
      </c>
      <c r="N842" s="0" t="n">
        <f aca="false">VLOOKUP(A842,'Team Data'!$A$1:$P$133,3,FALSE())</f>
        <v>4</v>
      </c>
      <c r="O842" s="0" t="n">
        <f aca="false">VLOOKUP(B842,'Team Data'!$A$1:$P$133,2,FALSE())</f>
        <v>11</v>
      </c>
      <c r="P842" s="0" t="n">
        <f aca="false">VLOOKUP(B842,'Team Data'!$A$1:$P$133,3,FALSE())</f>
        <v>3</v>
      </c>
      <c r="Q842" s="0" t="n">
        <f aca="false">VLOOKUP(A842,'Team Data'!$A$1:$P$133,4,FALSE())</f>
        <v>93</v>
      </c>
      <c r="R842" s="0" t="n">
        <f aca="false">VLOOKUP(A842,'Team Data'!$A$1:$P$133,5,FALSE())</f>
        <v>74</v>
      </c>
      <c r="S842" s="0" t="n">
        <f aca="false">VLOOKUP(B842,'Team Data'!$A$1:$P$133,4,FALSE())</f>
        <v>98</v>
      </c>
      <c r="T842" s="0" t="n">
        <f aca="false">VLOOKUP(B842,'Team Data'!$A$1:$P$133,5,FALSE())</f>
        <v>83</v>
      </c>
      <c r="U842" s="0" t="n">
        <f aca="false">IF(K842=1,(MIN(35,(C842-D842)))*(O842/(O842+P842))*(S842/(S842+T842)),(MAX(-35,(C842-D842)))*(IF(P842=0,0.1,(P842/(O842+P842))))*(T842/(S842+T842)))</f>
        <v>-1.08089976322021</v>
      </c>
      <c r="V842" s="0" t="n">
        <f aca="false">IF(L842=1,(MIN(35,(D842-C842)))*(M842/(M842+N842))*(Q842/(Q842+R842)),(MAX(-35,(D842-C842)))*(IF(N842=0,0.1,(N842/(M842+N842))))*(R842/(R842+Q842)))</f>
        <v>4.24090280976508</v>
      </c>
    </row>
    <row r="843" customFormat="false" ht="15" hidden="false" customHeight="false" outlineLevel="0" collapsed="false">
      <c r="A843" s="0" t="s">
        <v>14</v>
      </c>
      <c r="B843" s="0" t="s">
        <v>118</v>
      </c>
      <c r="C843" s="0" t="n">
        <v>44</v>
      </c>
      <c r="D843" s="0" t="n">
        <v>7</v>
      </c>
      <c r="E843" s="0" t="n">
        <v>329</v>
      </c>
      <c r="F843" s="0" t="n">
        <v>90</v>
      </c>
      <c r="G843" s="0" t="n">
        <v>67</v>
      </c>
      <c r="H843" s="0" t="n">
        <v>145</v>
      </c>
      <c r="I843" s="0" t="n">
        <v>0</v>
      </c>
      <c r="J843" s="0" t="n">
        <v>4</v>
      </c>
      <c r="K843" s="0" t="n">
        <v>1</v>
      </c>
      <c r="L843" s="0" t="n">
        <v>0</v>
      </c>
      <c r="M843" s="0" t="n">
        <f aca="false">VLOOKUP(A843,'Team Data'!$A$1:$P$133,2,FALSE())</f>
        <v>6</v>
      </c>
      <c r="N843" s="0" t="n">
        <f aca="false">VLOOKUP(A843,'Team Data'!$A$1:$P$133,3,FALSE())</f>
        <v>6</v>
      </c>
      <c r="O843" s="0" t="n">
        <f aca="false">VLOOKUP(B843,'Team Data'!$A$1:$P$133,2,FALSE())</f>
        <v>1</v>
      </c>
      <c r="P843" s="0" t="n">
        <f aca="false">VLOOKUP(B843,'Team Data'!$A$1:$P$133,3,FALSE())</f>
        <v>11</v>
      </c>
      <c r="Q843" s="0" t="n">
        <f aca="false">VLOOKUP(A843,'Team Data'!$A$1:$P$133,4,FALSE())</f>
        <v>85</v>
      </c>
      <c r="R843" s="0" t="n">
        <f aca="false">VLOOKUP(A843,'Team Data'!$A$1:$P$133,5,FALSE())</f>
        <v>283</v>
      </c>
      <c r="S843" s="0" t="n">
        <f aca="false">VLOOKUP(B843,'Team Data'!$A$1:$P$133,4,FALSE())</f>
        <v>83</v>
      </c>
      <c r="T843" s="0" t="n">
        <f aca="false">VLOOKUP(B843,'Team Data'!$A$1:$P$133,5,FALSE())</f>
        <v>178</v>
      </c>
      <c r="U843" s="0" t="n">
        <f aca="false">IF(K843=1,(MIN(35,(C843-D843)))*(O843/(O843+P843))*(S843/(S843+T843)),(MAX(-35,(C843-D843)))*(IF(P843=0,0.1,(P843/(O843+P843))))*(T843/(S843+T843)))</f>
        <v>0.927522349936143</v>
      </c>
      <c r="V843" s="0" t="n">
        <f aca="false">IF(L843=1,(MIN(35,(D843-C843)))*(M843/(M843+N843))*(Q843/(Q843+R843)),(MAX(-35,(D843-C843)))*(IF(N843=0,0.1,(N843/(M843+N843))))*(R843/(R843+Q843)))</f>
        <v>-13.4578804347826</v>
      </c>
    </row>
    <row r="844" customFormat="false" ht="15" hidden="false" customHeight="false" outlineLevel="0" collapsed="false">
      <c r="A844" s="0" t="s">
        <v>76</v>
      </c>
      <c r="B844" s="0" t="s">
        <v>55</v>
      </c>
      <c r="C844" s="0" t="n">
        <v>49</v>
      </c>
      <c r="D844" s="0" t="n">
        <v>14</v>
      </c>
      <c r="E844" s="0" t="n">
        <v>214</v>
      </c>
      <c r="F844" s="0" t="n">
        <v>108</v>
      </c>
      <c r="G844" s="0" t="n">
        <v>214</v>
      </c>
      <c r="H844" s="0" t="n">
        <v>207</v>
      </c>
      <c r="I844" s="0" t="n">
        <v>1</v>
      </c>
      <c r="J844" s="0" t="n">
        <v>3</v>
      </c>
      <c r="K844" s="0" t="n">
        <v>1</v>
      </c>
      <c r="L844" s="0" t="n">
        <v>0</v>
      </c>
      <c r="M844" s="0" t="n">
        <f aca="false">VLOOKUP(A844,'Team Data'!$A$1:$P$133,2,FALSE())</f>
        <v>7</v>
      </c>
      <c r="N844" s="0" t="n">
        <f aca="false">VLOOKUP(A844,'Team Data'!$A$1:$P$133,3,FALSE())</f>
        <v>6</v>
      </c>
      <c r="O844" s="0" t="n">
        <f aca="false">VLOOKUP(B844,'Team Data'!$A$1:$P$133,2,FALSE())</f>
        <v>8</v>
      </c>
      <c r="P844" s="0" t="n">
        <f aca="false">VLOOKUP(B844,'Team Data'!$A$1:$P$133,3,FALSE())</f>
        <v>5</v>
      </c>
      <c r="Q844" s="0" t="n">
        <f aca="false">VLOOKUP(A844,'Team Data'!$A$1:$P$133,4,FALSE())</f>
        <v>69</v>
      </c>
      <c r="R844" s="0" t="n">
        <f aca="false">VLOOKUP(A844,'Team Data'!$A$1:$P$133,5,FALSE())</f>
        <v>309</v>
      </c>
      <c r="S844" s="0" t="n">
        <f aca="false">VLOOKUP(B844,'Team Data'!$A$1:$P$133,4,FALSE())</f>
        <v>76</v>
      </c>
      <c r="T844" s="0" t="n">
        <f aca="false">VLOOKUP(B844,'Team Data'!$A$1:$P$133,5,FALSE())</f>
        <v>196</v>
      </c>
      <c r="U844" s="0" t="n">
        <f aca="false">IF(K844=1,(MIN(35,(C844-D844)))*(O844/(O844+P844))*(S844/(S844+T844)),(MAX(-35,(C844-D844)))*(IF(P844=0,0.1,(P844/(O844+P844))))*(T844/(S844+T844)))</f>
        <v>6.01809954751131</v>
      </c>
      <c r="V844" s="0" t="n">
        <f aca="false">IF(L844=1,(MIN(35,(D844-C844)))*(M844/(M844+N844))*(Q844/(Q844+R844)),(MAX(-35,(D844-C844)))*(IF(N844=0,0.1,(N844/(M844+N844))))*(R844/(R844+Q844)))</f>
        <v>-13.2051282051282</v>
      </c>
    </row>
    <row r="845" customFormat="false" ht="15" hidden="false" customHeight="false" outlineLevel="0" collapsed="false">
      <c r="A845" s="0" t="s">
        <v>73</v>
      </c>
      <c r="B845" s="0" t="s">
        <v>47</v>
      </c>
      <c r="C845" s="0" t="n">
        <v>24</v>
      </c>
      <c r="D845" s="0" t="n">
        <v>17</v>
      </c>
      <c r="E845" s="0" t="n">
        <v>51</v>
      </c>
      <c r="F845" s="0" t="n">
        <v>124</v>
      </c>
      <c r="G845" s="0" t="n">
        <v>278</v>
      </c>
      <c r="H845" s="0" t="n">
        <v>150</v>
      </c>
      <c r="I845" s="0" t="n">
        <v>1</v>
      </c>
      <c r="J845" s="0" t="n">
        <v>4</v>
      </c>
      <c r="K845" s="0" t="n">
        <v>1</v>
      </c>
      <c r="L845" s="0" t="n">
        <v>0</v>
      </c>
      <c r="M845" s="0" t="n">
        <f aca="false">VLOOKUP(A845,'Team Data'!$A$1:$P$133,2,FALSE())</f>
        <v>4</v>
      </c>
      <c r="N845" s="0" t="n">
        <f aca="false">VLOOKUP(A845,'Team Data'!$A$1:$P$133,3,FALSE())</f>
        <v>8</v>
      </c>
      <c r="O845" s="0" t="n">
        <f aca="false">VLOOKUP(B845,'Team Data'!$A$1:$P$133,2,FALSE())</f>
        <v>8</v>
      </c>
      <c r="P845" s="0" t="n">
        <f aca="false">VLOOKUP(B845,'Team Data'!$A$1:$P$133,3,FALSE())</f>
        <v>5</v>
      </c>
      <c r="Q845" s="0" t="n">
        <f aca="false">VLOOKUP(A845,'Team Data'!$A$1:$P$133,4,FALSE())</f>
        <v>82</v>
      </c>
      <c r="R845" s="0" t="n">
        <f aca="false">VLOOKUP(A845,'Team Data'!$A$1:$P$133,5,FALSE())</f>
        <v>180</v>
      </c>
      <c r="S845" s="0" t="n">
        <f aca="false">VLOOKUP(B845,'Team Data'!$A$1:$P$133,4,FALSE())</f>
        <v>86</v>
      </c>
      <c r="T845" s="0" t="n">
        <f aca="false">VLOOKUP(B845,'Team Data'!$A$1:$P$133,5,FALSE())</f>
        <v>187</v>
      </c>
      <c r="U845" s="0" t="n">
        <f aca="false">IF(K845=1,(MIN(35,(C845-D845)))*(O845/(O845+P845))*(S845/(S845+T845)),(MAX(-35,(C845-D845)))*(IF(P845=0,0.1,(P845/(O845+P845))))*(T845/(S845+T845)))</f>
        <v>1.35700197238659</v>
      </c>
      <c r="V845" s="0" t="n">
        <f aca="false">IF(L845=1,(MIN(35,(D845-C845)))*(M845/(M845+N845))*(Q845/(Q845+R845)),(MAX(-35,(D845-C845)))*(IF(N845=0,0.1,(N845/(M845+N845))))*(R845/(R845+Q845)))</f>
        <v>-3.20610687022901</v>
      </c>
    </row>
    <row r="846" customFormat="false" ht="15" hidden="false" customHeight="false" outlineLevel="0" collapsed="false">
      <c r="A846" s="0" t="s">
        <v>45</v>
      </c>
      <c r="B846" s="0" t="s">
        <v>80</v>
      </c>
      <c r="C846" s="0" t="n">
        <v>41</v>
      </c>
      <c r="D846" s="0" t="n">
        <v>3</v>
      </c>
      <c r="E846" s="0" t="n">
        <v>156</v>
      </c>
      <c r="F846" s="0" t="n">
        <v>154</v>
      </c>
      <c r="G846" s="0" t="n">
        <v>136</v>
      </c>
      <c r="H846" s="0" t="n">
        <v>167</v>
      </c>
      <c r="I846" s="0" t="n">
        <v>1</v>
      </c>
      <c r="J846" s="0" t="n">
        <v>6</v>
      </c>
      <c r="K846" s="0" t="n">
        <v>1</v>
      </c>
      <c r="L846" s="0" t="n">
        <v>0</v>
      </c>
      <c r="M846" s="0" t="n">
        <f aca="false">VLOOKUP(A846,'Team Data'!$A$1:$P$133,2,FALSE())</f>
        <v>8</v>
      </c>
      <c r="N846" s="0" t="n">
        <f aca="false">VLOOKUP(A846,'Team Data'!$A$1:$P$133,3,FALSE())</f>
        <v>5</v>
      </c>
      <c r="O846" s="0" t="n">
        <f aca="false">VLOOKUP(B846,'Team Data'!$A$1:$P$133,2,FALSE())</f>
        <v>1</v>
      </c>
      <c r="P846" s="0" t="n">
        <f aca="false">VLOOKUP(B846,'Team Data'!$A$1:$P$133,3,FALSE())</f>
        <v>11</v>
      </c>
      <c r="Q846" s="0" t="n">
        <f aca="false">VLOOKUP(A846,'Team Data'!$A$1:$P$133,4,FALSE())</f>
        <v>86</v>
      </c>
      <c r="R846" s="0" t="n">
        <f aca="false">VLOOKUP(A846,'Team Data'!$A$1:$P$133,5,FALSE())</f>
        <v>185</v>
      </c>
      <c r="S846" s="0" t="n">
        <f aca="false">VLOOKUP(B846,'Team Data'!$A$1:$P$133,4,FALSE())</f>
        <v>97</v>
      </c>
      <c r="T846" s="0" t="n">
        <f aca="false">VLOOKUP(B846,'Team Data'!$A$1:$P$133,5,FALSE())</f>
        <v>166</v>
      </c>
      <c r="U846" s="0" t="n">
        <f aca="false">IF(K846=1,(MIN(35,(C846-D846)))*(O846/(O846+P846))*(S846/(S846+T846)),(MAX(-35,(C846-D846)))*(IF(P846=0,0.1,(P846/(O846+P846))))*(T846/(S846+T846)))</f>
        <v>1.07572877059569</v>
      </c>
      <c r="V846" s="0" t="n">
        <f aca="false">IF(L846=1,(MIN(35,(D846-C846)))*(M846/(M846+N846))*(Q846/(Q846+R846)),(MAX(-35,(D846-C846)))*(IF(N846=0,0.1,(N846/(M846+N846))))*(R846/(R846+Q846)))</f>
        <v>-9.1896111268805</v>
      </c>
    </row>
    <row r="847" customFormat="false" ht="15" hidden="false" customHeight="false" outlineLevel="0" collapsed="false">
      <c r="A847" s="0" t="s">
        <v>68</v>
      </c>
      <c r="B847" s="0" t="s">
        <v>135</v>
      </c>
      <c r="C847" s="0" t="n">
        <v>23</v>
      </c>
      <c r="D847" s="0" t="n">
        <v>16</v>
      </c>
      <c r="E847" s="0" t="n">
        <v>97</v>
      </c>
      <c r="F847" s="0" t="n">
        <v>143</v>
      </c>
      <c r="G847" s="0" t="n">
        <v>319</v>
      </c>
      <c r="H847" s="0" t="n">
        <v>191</v>
      </c>
      <c r="I847" s="0" t="n">
        <v>0</v>
      </c>
      <c r="J847" s="0" t="n">
        <v>1</v>
      </c>
      <c r="K847" s="0" t="n">
        <v>1</v>
      </c>
      <c r="L847" s="0" t="n">
        <v>0</v>
      </c>
      <c r="M847" s="0" t="n">
        <f aca="false">VLOOKUP(A847,'Team Data'!$A$1:$P$133,2,FALSE())</f>
        <v>9</v>
      </c>
      <c r="N847" s="0" t="n">
        <f aca="false">VLOOKUP(A847,'Team Data'!$A$1:$P$133,3,FALSE())</f>
        <v>4</v>
      </c>
      <c r="O847" s="0" t="n">
        <f aca="false">VLOOKUP(B847,'Team Data'!$A$1:$P$133,2,FALSE())</f>
        <v>7</v>
      </c>
      <c r="P847" s="0" t="n">
        <f aca="false">VLOOKUP(B847,'Team Data'!$A$1:$P$133,3,FALSE())</f>
        <v>6</v>
      </c>
      <c r="Q847" s="0" t="n">
        <f aca="false">VLOOKUP(A847,'Team Data'!$A$1:$P$133,4,FALSE())</f>
        <v>79</v>
      </c>
      <c r="R847" s="0" t="n">
        <f aca="false">VLOOKUP(A847,'Team Data'!$A$1:$P$133,5,FALSE())</f>
        <v>193</v>
      </c>
      <c r="S847" s="0" t="n">
        <f aca="false">VLOOKUP(B847,'Team Data'!$A$1:$P$133,4,FALSE())</f>
        <v>91</v>
      </c>
      <c r="T847" s="0" t="n">
        <f aca="false">VLOOKUP(B847,'Team Data'!$A$1:$P$133,5,FALSE())</f>
        <v>183</v>
      </c>
      <c r="U847" s="0" t="n">
        <f aca="false">IF(K847=1,(MIN(35,(C847-D847)))*(O847/(O847+P847))*(S847/(S847+T847)),(MAX(-35,(C847-D847)))*(IF(P847=0,0.1,(P847/(O847+P847))))*(T847/(S847+T847)))</f>
        <v>1.25182481751825</v>
      </c>
      <c r="V847" s="0" t="n">
        <f aca="false">IF(L847=1,(MIN(35,(D847-C847)))*(M847/(M847+N847))*(Q847/(Q847+R847)),(MAX(-35,(D847-C847)))*(IF(N847=0,0.1,(N847/(M847+N847))))*(R847/(R847+Q847)))</f>
        <v>-1.52828054298643</v>
      </c>
    </row>
    <row r="848" customFormat="false" ht="15" hidden="false" customHeight="false" outlineLevel="0" collapsed="false">
      <c r="A848" s="0" t="s">
        <v>92</v>
      </c>
      <c r="B848" s="0" t="s">
        <v>46</v>
      </c>
      <c r="C848" s="0" t="n">
        <v>30</v>
      </c>
      <c r="D848" s="0" t="n">
        <v>16</v>
      </c>
      <c r="E848" s="0" t="n">
        <v>98</v>
      </c>
      <c r="F848" s="0" t="n">
        <v>215</v>
      </c>
      <c r="G848" s="0" t="n">
        <v>290</v>
      </c>
      <c r="H848" s="0" t="n">
        <v>206</v>
      </c>
      <c r="I848" s="0" t="n">
        <v>0</v>
      </c>
      <c r="J848" s="0" t="n">
        <v>1</v>
      </c>
      <c r="K848" s="0" t="n">
        <v>1</v>
      </c>
      <c r="L848" s="0" t="n">
        <v>0</v>
      </c>
      <c r="M848" s="0" t="n">
        <f aca="false">VLOOKUP(A848,'Team Data'!$A$1:$P$133,2,FALSE())</f>
        <v>8</v>
      </c>
      <c r="N848" s="0" t="n">
        <f aca="false">VLOOKUP(A848,'Team Data'!$A$1:$P$133,3,FALSE())</f>
        <v>6</v>
      </c>
      <c r="O848" s="0" t="n">
        <f aca="false">VLOOKUP(B848,'Team Data'!$A$1:$P$133,2,FALSE())</f>
        <v>4</v>
      </c>
      <c r="P848" s="0" t="n">
        <f aca="false">VLOOKUP(B848,'Team Data'!$A$1:$P$133,3,FALSE())</f>
        <v>8</v>
      </c>
      <c r="Q848" s="0" t="n">
        <f aca="false">VLOOKUP(A848,'Team Data'!$A$1:$P$133,4,FALSE())</f>
        <v>103</v>
      </c>
      <c r="R848" s="0" t="n">
        <f aca="false">VLOOKUP(A848,'Team Data'!$A$1:$P$133,5,FALSE())</f>
        <v>184</v>
      </c>
      <c r="S848" s="0" t="n">
        <f aca="false">VLOOKUP(B848,'Team Data'!$A$1:$P$133,4,FALSE())</f>
        <v>98</v>
      </c>
      <c r="T848" s="0" t="n">
        <f aca="false">VLOOKUP(B848,'Team Data'!$A$1:$P$133,5,FALSE())</f>
        <v>165</v>
      </c>
      <c r="U848" s="0" t="n">
        <f aca="false">IF(K848=1,(MIN(35,(C848-D848)))*(O848/(O848+P848))*(S848/(S848+T848)),(MAX(-35,(C848-D848)))*(IF(P848=0,0.1,(P848/(O848+P848))))*(T848/(S848+T848)))</f>
        <v>1.73891001267427</v>
      </c>
      <c r="V848" s="0" t="n">
        <f aca="false">IF(L848=1,(MIN(35,(D848-C848)))*(M848/(M848+N848))*(Q848/(Q848+R848)),(MAX(-35,(D848-C848)))*(IF(N848=0,0.1,(N848/(M848+N848))))*(R848/(R848+Q848)))</f>
        <v>-3.84668989547038</v>
      </c>
    </row>
    <row r="849" customFormat="false" ht="15" hidden="false" customHeight="false" outlineLevel="0" collapsed="false">
      <c r="A849" s="0" t="s">
        <v>94</v>
      </c>
      <c r="B849" s="0" t="s">
        <v>61</v>
      </c>
      <c r="C849" s="0" t="n">
        <v>0</v>
      </c>
      <c r="D849" s="0" t="n">
        <v>37</v>
      </c>
      <c r="E849" s="0" t="n">
        <v>63</v>
      </c>
      <c r="F849" s="0" t="n">
        <v>134</v>
      </c>
      <c r="G849" s="0" t="n">
        <v>72</v>
      </c>
      <c r="H849" s="0" t="n">
        <v>379</v>
      </c>
      <c r="I849" s="0" t="n">
        <v>1</v>
      </c>
      <c r="J849" s="0" t="n">
        <v>2</v>
      </c>
      <c r="K849" s="0" t="n">
        <v>0</v>
      </c>
      <c r="L849" s="0" t="n">
        <v>1</v>
      </c>
      <c r="M849" s="0" t="n">
        <f aca="false">VLOOKUP(A849,'Team Data'!$A$1:$P$133,2,FALSE())</f>
        <v>4</v>
      </c>
      <c r="N849" s="0" t="n">
        <f aca="false">VLOOKUP(A849,'Team Data'!$A$1:$P$133,3,FALSE())</f>
        <v>8</v>
      </c>
      <c r="O849" s="0" t="n">
        <f aca="false">VLOOKUP(B849,'Team Data'!$A$1:$P$133,2,FALSE())</f>
        <v>8</v>
      </c>
      <c r="P849" s="0" t="n">
        <f aca="false">VLOOKUP(B849,'Team Data'!$A$1:$P$133,3,FALSE())</f>
        <v>5</v>
      </c>
      <c r="Q849" s="0" t="n">
        <f aca="false">VLOOKUP(A849,'Team Data'!$A$1:$P$133,4,FALSE())</f>
        <v>87</v>
      </c>
      <c r="R849" s="0" t="n">
        <f aca="false">VLOOKUP(A849,'Team Data'!$A$1:$P$133,5,FALSE())</f>
        <v>172</v>
      </c>
      <c r="S849" s="0" t="n">
        <f aca="false">VLOOKUP(B849,'Team Data'!$A$1:$P$133,4,FALSE())</f>
        <v>89</v>
      </c>
      <c r="T849" s="0" t="n">
        <f aca="false">VLOOKUP(B849,'Team Data'!$A$1:$P$133,5,FALSE())</f>
        <v>77</v>
      </c>
      <c r="U849" s="0" t="n">
        <f aca="false">IF(K849=1,(MIN(35,(C849-D849)))*(O849/(O849+P849))*(S849/(S849+T849)),(MAX(-35,(C849-D849)))*(IF(P849=0,0.1,(P849/(O849+P849))))*(T849/(S849+T849)))</f>
        <v>-6.24420759962929</v>
      </c>
      <c r="V849" s="0" t="n">
        <f aca="false">IF(L849=1,(MIN(35,(D849-C849)))*(M849/(M849+N849))*(Q849/(Q849+R849)),(MAX(-35,(D849-C849)))*(IF(N849=0,0.1,(N849/(M849+N849))))*(R849/(R849+Q849)))</f>
        <v>3.91891891891892</v>
      </c>
    </row>
    <row r="850" customFormat="false" ht="15" hidden="false" customHeight="false" outlineLevel="0" collapsed="false">
      <c r="A850" s="0" t="s">
        <v>65</v>
      </c>
      <c r="B850" s="0" t="s">
        <v>83</v>
      </c>
      <c r="C850" s="0" t="n">
        <v>45</v>
      </c>
      <c r="D850" s="0" t="n">
        <v>23</v>
      </c>
      <c r="E850" s="0" t="n">
        <v>252</v>
      </c>
      <c r="F850" s="0" t="n">
        <v>143</v>
      </c>
      <c r="G850" s="0" t="n">
        <v>278</v>
      </c>
      <c r="H850" s="0" t="n">
        <v>349</v>
      </c>
      <c r="I850" s="0" t="n">
        <v>0</v>
      </c>
      <c r="J850" s="0" t="n">
        <v>2</v>
      </c>
      <c r="K850" s="0" t="n">
        <v>1</v>
      </c>
      <c r="L850" s="0" t="n">
        <v>0</v>
      </c>
      <c r="M850" s="0" t="n">
        <f aca="false">VLOOKUP(A850,'Team Data'!$A$1:$P$133,2,FALSE())</f>
        <v>13</v>
      </c>
      <c r="N850" s="0" t="n">
        <f aca="false">VLOOKUP(A850,'Team Data'!$A$1:$P$133,3,FALSE())</f>
        <v>1</v>
      </c>
      <c r="O850" s="0" t="n">
        <f aca="false">VLOOKUP(B850,'Team Data'!$A$1:$P$133,2,FALSE())</f>
        <v>11</v>
      </c>
      <c r="P850" s="0" t="n">
        <f aca="false">VLOOKUP(B850,'Team Data'!$A$1:$P$133,3,FALSE())</f>
        <v>2</v>
      </c>
      <c r="Q850" s="0" t="n">
        <f aca="false">VLOOKUP(A850,'Team Data'!$A$1:$P$133,4,FALSE())</f>
        <v>96</v>
      </c>
      <c r="R850" s="0" t="n">
        <f aca="false">VLOOKUP(A850,'Team Data'!$A$1:$P$133,5,FALSE())</f>
        <v>84</v>
      </c>
      <c r="S850" s="0" t="n">
        <f aca="false">VLOOKUP(B850,'Team Data'!$A$1:$P$133,4,FALSE())</f>
        <v>97</v>
      </c>
      <c r="T850" s="0" t="n">
        <f aca="false">VLOOKUP(B850,'Team Data'!$A$1:$P$133,5,FALSE())</f>
        <v>71</v>
      </c>
      <c r="U850" s="0" t="n">
        <f aca="false">IF(K850=1,(MIN(35,(C850-D850)))*(O850/(O850+P850))*(S850/(S850+T850)),(MAX(-35,(C850-D850)))*(IF(P850=0,0.1,(P850/(O850+P850))))*(T850/(S850+T850)))</f>
        <v>10.7481684981685</v>
      </c>
      <c r="V850" s="0" t="n">
        <f aca="false">IF(L850=1,(MIN(35,(D850-C850)))*(M850/(M850+N850))*(Q850/(Q850+R850)),(MAX(-35,(D850-C850)))*(IF(N850=0,0.1,(N850/(M850+N850))))*(R850/(R850+Q850)))</f>
        <v>-0.733333333333333</v>
      </c>
    </row>
    <row r="851" customFormat="false" ht="15" hidden="false" customHeight="false" outlineLevel="0" collapsed="false">
      <c r="A851" s="0" t="s">
        <v>66</v>
      </c>
      <c r="B851" s="0" t="s">
        <v>90</v>
      </c>
      <c r="C851" s="0" t="n">
        <v>16</v>
      </c>
      <c r="D851" s="0" t="n">
        <v>35</v>
      </c>
      <c r="E851" s="0" t="n">
        <v>25</v>
      </c>
      <c r="F851" s="0" t="n">
        <v>160</v>
      </c>
      <c r="G851" s="0" t="n">
        <v>229</v>
      </c>
      <c r="H851" s="0" t="n">
        <v>250</v>
      </c>
      <c r="I851" s="0" t="n">
        <v>3</v>
      </c>
      <c r="J851" s="0" t="n">
        <v>0</v>
      </c>
      <c r="K851" s="0" t="n">
        <v>0</v>
      </c>
      <c r="L851" s="0" t="n">
        <v>1</v>
      </c>
      <c r="M851" s="0" t="n">
        <f aca="false">VLOOKUP(A851,'Team Data'!$A$1:$P$133,2,FALSE())</f>
        <v>5</v>
      </c>
      <c r="N851" s="0" t="n">
        <f aca="false">VLOOKUP(A851,'Team Data'!$A$1:$P$133,3,FALSE())</f>
        <v>7</v>
      </c>
      <c r="O851" s="0" t="n">
        <f aca="false">VLOOKUP(B851,'Team Data'!$A$1:$P$133,2,FALSE())</f>
        <v>11</v>
      </c>
      <c r="P851" s="0" t="n">
        <f aca="false">VLOOKUP(B851,'Team Data'!$A$1:$P$133,3,FALSE())</f>
        <v>2</v>
      </c>
      <c r="Q851" s="0" t="n">
        <f aca="false">VLOOKUP(A851,'Team Data'!$A$1:$P$133,4,FALSE())</f>
        <v>93</v>
      </c>
      <c r="R851" s="0" t="n">
        <f aca="false">VLOOKUP(A851,'Team Data'!$A$1:$P$133,5,FALSE())</f>
        <v>60</v>
      </c>
      <c r="S851" s="0" t="n">
        <f aca="false">VLOOKUP(B851,'Team Data'!$A$1:$P$133,4,FALSE())</f>
        <v>92</v>
      </c>
      <c r="T851" s="0" t="n">
        <f aca="false">VLOOKUP(B851,'Team Data'!$A$1:$P$133,5,FALSE())</f>
        <v>75</v>
      </c>
      <c r="U851" s="0" t="n">
        <f aca="false">IF(K851=1,(MIN(35,(C851-D851)))*(O851/(O851+P851))*(S851/(S851+T851)),(MAX(-35,(C851-D851)))*(IF(P851=0,0.1,(P851/(O851+P851))))*(T851/(S851+T851)))</f>
        <v>-1.31275909719024</v>
      </c>
      <c r="V851" s="0" t="n">
        <f aca="false">IF(L851=1,(MIN(35,(D851-C851)))*(M851/(M851+N851))*(Q851/(Q851+R851)),(MAX(-35,(D851-C851)))*(IF(N851=0,0.1,(N851/(M851+N851))))*(R851/(R851+Q851)))</f>
        <v>4.81209150326797</v>
      </c>
    </row>
    <row r="852" customFormat="false" ht="15" hidden="false" customHeight="false" outlineLevel="0" collapsed="false">
      <c r="A852" s="0" t="s">
        <v>71</v>
      </c>
      <c r="B852" s="0" t="s">
        <v>77</v>
      </c>
      <c r="C852" s="0" t="n">
        <v>30</v>
      </c>
      <c r="D852" s="0" t="n">
        <v>27</v>
      </c>
      <c r="E852" s="0" t="n">
        <v>59</v>
      </c>
      <c r="F852" s="0" t="n">
        <v>118</v>
      </c>
      <c r="G852" s="0" t="n">
        <v>271</v>
      </c>
      <c r="H852" s="0" t="n">
        <v>233</v>
      </c>
      <c r="I852" s="0" t="n">
        <v>1</v>
      </c>
      <c r="J852" s="0" t="n">
        <v>1</v>
      </c>
      <c r="K852" s="0" t="n">
        <v>1</v>
      </c>
      <c r="L852" s="0" t="n">
        <v>0</v>
      </c>
      <c r="M852" s="0" t="n">
        <f aca="false">VLOOKUP(A852,'Team Data'!$A$1:$P$133,2,FALSE())</f>
        <v>8</v>
      </c>
      <c r="N852" s="0" t="n">
        <f aca="false">VLOOKUP(A852,'Team Data'!$A$1:$P$133,3,FALSE())</f>
        <v>5</v>
      </c>
      <c r="O852" s="0" t="n">
        <f aca="false">VLOOKUP(B852,'Team Data'!$A$1:$P$133,2,FALSE())</f>
        <v>9</v>
      </c>
      <c r="P852" s="0" t="n">
        <f aca="false">VLOOKUP(B852,'Team Data'!$A$1:$P$133,3,FALSE())</f>
        <v>5</v>
      </c>
      <c r="Q852" s="0" t="n">
        <f aca="false">VLOOKUP(A852,'Team Data'!$A$1:$P$133,4,FALSE())</f>
        <v>97</v>
      </c>
      <c r="R852" s="0" t="n">
        <f aca="false">VLOOKUP(A852,'Team Data'!$A$1:$P$133,5,FALSE())</f>
        <v>178</v>
      </c>
      <c r="S852" s="0" t="n">
        <f aca="false">VLOOKUP(B852,'Team Data'!$A$1:$P$133,4,FALSE())</f>
        <v>98</v>
      </c>
      <c r="T852" s="0" t="n">
        <f aca="false">VLOOKUP(B852,'Team Data'!$A$1:$P$133,5,FALSE())</f>
        <v>183</v>
      </c>
      <c r="U852" s="0" t="n">
        <f aca="false">IF(K852=1,(MIN(35,(C852-D852)))*(O852/(O852+P852))*(S852/(S852+T852)),(MAX(-35,(C852-D852)))*(IF(P852=0,0.1,(P852/(O852+P852))))*(T852/(S852+T852)))</f>
        <v>0.672597864768683</v>
      </c>
      <c r="V852" s="0" t="n">
        <f aca="false">IF(L852=1,(MIN(35,(D852-C852)))*(M852/(M852+N852))*(Q852/(Q852+R852)),(MAX(-35,(D852-C852)))*(IF(N852=0,0.1,(N852/(M852+N852))))*(R852/(R852+Q852)))</f>
        <v>-0.746853146853147</v>
      </c>
    </row>
    <row r="853" customFormat="false" ht="15" hidden="false" customHeight="false" outlineLevel="0" collapsed="false">
      <c r="A853" s="0" t="s">
        <v>102</v>
      </c>
      <c r="B853" s="0" t="s">
        <v>20</v>
      </c>
      <c r="C853" s="0" t="n">
        <v>32</v>
      </c>
      <c r="D853" s="0" t="n">
        <v>23</v>
      </c>
      <c r="E853" s="0" t="n">
        <v>158</v>
      </c>
      <c r="F853" s="0" t="n">
        <v>89</v>
      </c>
      <c r="G853" s="0" t="n">
        <v>285</v>
      </c>
      <c r="H853" s="0" t="n">
        <v>252</v>
      </c>
      <c r="I853" s="0" t="n">
        <v>1</v>
      </c>
      <c r="J853" s="0" t="n">
        <v>2</v>
      </c>
      <c r="K853" s="0" t="n">
        <v>1</v>
      </c>
      <c r="L853" s="0" t="n">
        <v>0</v>
      </c>
      <c r="M853" s="0" t="n">
        <f aca="false">VLOOKUP(A853,'Team Data'!$A$1:$P$133,2,FALSE())</f>
        <v>7</v>
      </c>
      <c r="N853" s="0" t="n">
        <f aca="false">VLOOKUP(A853,'Team Data'!$A$1:$P$133,3,FALSE())</f>
        <v>6</v>
      </c>
      <c r="O853" s="0" t="n">
        <f aca="false">VLOOKUP(B853,'Team Data'!$A$1:$P$133,2,FALSE())</f>
        <v>3</v>
      </c>
      <c r="P853" s="0" t="n">
        <f aca="false">VLOOKUP(B853,'Team Data'!$A$1:$P$133,3,FALSE())</f>
        <v>9</v>
      </c>
      <c r="Q853" s="0" t="n">
        <f aca="false">VLOOKUP(A853,'Team Data'!$A$1:$P$133,4,FALSE())</f>
        <v>100</v>
      </c>
      <c r="R853" s="0" t="n">
        <f aca="false">VLOOKUP(A853,'Team Data'!$A$1:$P$133,5,FALSE())</f>
        <v>174</v>
      </c>
      <c r="S853" s="0" t="n">
        <f aca="false">VLOOKUP(B853,'Team Data'!$A$1:$P$133,4,FALSE())</f>
        <v>91</v>
      </c>
      <c r="T853" s="0" t="n">
        <f aca="false">VLOOKUP(B853,'Team Data'!$A$1:$P$133,5,FALSE())</f>
        <v>170</v>
      </c>
      <c r="U853" s="0" t="n">
        <f aca="false">IF(K853=1,(MIN(35,(C853-D853)))*(O853/(O853+P853))*(S853/(S853+T853)),(MAX(-35,(C853-D853)))*(IF(P853=0,0.1,(P853/(O853+P853))))*(T853/(S853+T853)))</f>
        <v>0.78448275862069</v>
      </c>
      <c r="V853" s="0" t="n">
        <f aca="false">IF(L853=1,(MIN(35,(D853-C853)))*(M853/(M853+N853))*(Q853/(Q853+R853)),(MAX(-35,(D853-C853)))*(IF(N853=0,0.1,(N853/(M853+N853))))*(R853/(R853+Q853)))</f>
        <v>-2.6378439079169</v>
      </c>
    </row>
    <row r="854" customFormat="false" ht="15" hidden="false" customHeight="false" outlineLevel="0" collapsed="false">
      <c r="A854" s="0" t="s">
        <v>129</v>
      </c>
      <c r="B854" s="0" t="s">
        <v>31</v>
      </c>
      <c r="C854" s="0" t="n">
        <v>31</v>
      </c>
      <c r="D854" s="0" t="n">
        <v>34</v>
      </c>
      <c r="E854" s="0" t="n">
        <v>114</v>
      </c>
      <c r="F854" s="0" t="n">
        <v>116</v>
      </c>
      <c r="G854" s="0" t="n">
        <v>347</v>
      </c>
      <c r="H854" s="0" t="n">
        <v>391</v>
      </c>
      <c r="I854" s="0" t="n">
        <v>1</v>
      </c>
      <c r="J854" s="0" t="n">
        <v>1</v>
      </c>
      <c r="K854" s="0" t="n">
        <v>0</v>
      </c>
      <c r="L854" s="0" t="n">
        <v>1</v>
      </c>
      <c r="M854" s="0" t="n">
        <f aca="false">VLOOKUP(A854,'Team Data'!$A$1:$P$133,2,FALSE())</f>
        <v>8</v>
      </c>
      <c r="N854" s="0" t="n">
        <f aca="false">VLOOKUP(A854,'Team Data'!$A$1:$P$133,3,FALSE())</f>
        <v>5</v>
      </c>
      <c r="O854" s="0" t="n">
        <f aca="false">VLOOKUP(B854,'Team Data'!$A$1:$P$133,2,FALSE())</f>
        <v>9</v>
      </c>
      <c r="P854" s="0" t="n">
        <f aca="false">VLOOKUP(B854,'Team Data'!$A$1:$P$133,3,FALSE())</f>
        <v>4</v>
      </c>
      <c r="Q854" s="0" t="n">
        <f aca="false">VLOOKUP(A854,'Team Data'!$A$1:$P$133,4,FALSE())</f>
        <v>98</v>
      </c>
      <c r="R854" s="0" t="n">
        <f aca="false">VLOOKUP(A854,'Team Data'!$A$1:$P$133,5,FALSE())</f>
        <v>177</v>
      </c>
      <c r="S854" s="0" t="n">
        <f aca="false">VLOOKUP(B854,'Team Data'!$A$1:$P$133,4,FALSE())</f>
        <v>72</v>
      </c>
      <c r="T854" s="0" t="n">
        <f aca="false">VLOOKUP(B854,'Team Data'!$A$1:$P$133,5,FALSE())</f>
        <v>196</v>
      </c>
      <c r="U854" s="0" t="n">
        <f aca="false">IF(K854=1,(MIN(35,(C854-D854)))*(O854/(O854+P854))*(S854/(S854+T854)),(MAX(-35,(C854-D854)))*(IF(P854=0,0.1,(P854/(O854+P854))))*(T854/(S854+T854)))</f>
        <v>-0.675086107921929</v>
      </c>
      <c r="V854" s="0" t="n">
        <f aca="false">IF(L854=1,(MIN(35,(D854-C854)))*(M854/(M854+N854))*(Q854/(Q854+R854)),(MAX(-35,(D854-C854)))*(IF(N854=0,0.1,(N854/(M854+N854))))*(R854/(R854+Q854)))</f>
        <v>0.657902097902098</v>
      </c>
    </row>
    <row r="855" customFormat="false" ht="15" hidden="false" customHeight="false" outlineLevel="0" collapsed="false">
      <c r="A855" s="0" t="s">
        <v>91</v>
      </c>
      <c r="B855" s="0" t="s">
        <v>63</v>
      </c>
      <c r="C855" s="0" t="n">
        <v>42</v>
      </c>
      <c r="D855" s="0" t="n">
        <v>16</v>
      </c>
      <c r="E855" s="0" t="n">
        <v>248</v>
      </c>
      <c r="F855" s="0" t="n">
        <v>106</v>
      </c>
      <c r="G855" s="0" t="n">
        <v>256</v>
      </c>
      <c r="H855" s="0" t="n">
        <v>279</v>
      </c>
      <c r="I855" s="0" t="n">
        <v>2</v>
      </c>
      <c r="J855" s="0" t="n">
        <v>3</v>
      </c>
      <c r="K855" s="0" t="n">
        <v>1</v>
      </c>
      <c r="L855" s="0" t="n">
        <v>0</v>
      </c>
      <c r="M855" s="0" t="n">
        <f aca="false">VLOOKUP(A855,'Team Data'!$A$1:$P$133,2,FALSE())</f>
        <v>9</v>
      </c>
      <c r="N855" s="0" t="n">
        <f aca="false">VLOOKUP(A855,'Team Data'!$A$1:$P$133,3,FALSE())</f>
        <v>4</v>
      </c>
      <c r="O855" s="0" t="n">
        <f aca="false">VLOOKUP(B855,'Team Data'!$A$1:$P$133,2,FALSE())</f>
        <v>5</v>
      </c>
      <c r="P855" s="0" t="n">
        <f aca="false">VLOOKUP(B855,'Team Data'!$A$1:$P$133,3,FALSE())</f>
        <v>7</v>
      </c>
      <c r="Q855" s="0" t="n">
        <f aca="false">VLOOKUP(A855,'Team Data'!$A$1:$P$133,4,FALSE())</f>
        <v>87</v>
      </c>
      <c r="R855" s="0" t="n">
        <f aca="false">VLOOKUP(A855,'Team Data'!$A$1:$P$133,5,FALSE())</f>
        <v>181</v>
      </c>
      <c r="S855" s="0" t="n">
        <f aca="false">VLOOKUP(B855,'Team Data'!$A$1:$P$133,4,FALSE())</f>
        <v>87</v>
      </c>
      <c r="T855" s="0" t="n">
        <f aca="false">VLOOKUP(B855,'Team Data'!$A$1:$P$133,5,FALSE())</f>
        <v>171</v>
      </c>
      <c r="U855" s="0" t="n">
        <f aca="false">IF(K855=1,(MIN(35,(C855-D855)))*(O855/(O855+P855))*(S855/(S855+T855)),(MAX(-35,(C855-D855)))*(IF(P855=0,0.1,(P855/(O855+P855))))*(T855/(S855+T855)))</f>
        <v>3.6531007751938</v>
      </c>
      <c r="V855" s="0" t="n">
        <f aca="false">IF(L855=1,(MIN(35,(D855-C855)))*(M855/(M855+N855))*(Q855/(Q855+R855)),(MAX(-35,(D855-C855)))*(IF(N855=0,0.1,(N855/(M855+N855))))*(R855/(R855+Q855)))</f>
        <v>-5.40298507462687</v>
      </c>
    </row>
    <row r="856" customFormat="false" ht="15" hidden="false" customHeight="false" outlineLevel="0" collapsed="false">
      <c r="A856" s="0" t="s">
        <v>6</v>
      </c>
      <c r="B856" s="0" t="s">
        <v>96</v>
      </c>
      <c r="C856" s="0" t="n">
        <v>13</v>
      </c>
      <c r="D856" s="0" t="n">
        <v>3</v>
      </c>
      <c r="E856" s="0" t="n">
        <v>271</v>
      </c>
      <c r="F856" s="0" t="n">
        <v>-1</v>
      </c>
      <c r="G856" s="0" t="n">
        <v>14</v>
      </c>
      <c r="H856" s="0" t="n">
        <v>188</v>
      </c>
      <c r="I856" s="0" t="n">
        <v>0</v>
      </c>
      <c r="J856" s="0" t="n">
        <v>3</v>
      </c>
      <c r="K856" s="0" t="n">
        <v>1</v>
      </c>
      <c r="L856" s="0" t="n">
        <v>0</v>
      </c>
      <c r="M856" s="0" t="n">
        <f aca="false">VLOOKUP(A856,'Team Data'!$A$1:$P$133,2,FALSE())</f>
        <v>10</v>
      </c>
      <c r="N856" s="0" t="n">
        <f aca="false">VLOOKUP(A856,'Team Data'!$A$1:$P$133,3,FALSE())</f>
        <v>3</v>
      </c>
      <c r="O856" s="0" t="n">
        <f aca="false">VLOOKUP(B856,'Team Data'!$A$1:$P$133,2,FALSE())</f>
        <v>7</v>
      </c>
      <c r="P856" s="0" t="n">
        <f aca="false">VLOOKUP(B856,'Team Data'!$A$1:$P$133,3,FALSE())</f>
        <v>6</v>
      </c>
      <c r="Q856" s="0" t="n">
        <f aca="false">VLOOKUP(A856,'Team Data'!$A$1:$P$133,4,FALSE())</f>
        <v>67</v>
      </c>
      <c r="R856" s="0" t="n">
        <f aca="false">VLOOKUP(A856,'Team Data'!$A$1:$P$133,5,FALSE())</f>
        <v>203</v>
      </c>
      <c r="S856" s="0" t="n">
        <f aca="false">VLOOKUP(B856,'Team Data'!$A$1:$P$133,4,FALSE())</f>
        <v>89</v>
      </c>
      <c r="T856" s="0" t="n">
        <f aca="false">VLOOKUP(B856,'Team Data'!$A$1:$P$133,5,FALSE())</f>
        <v>186</v>
      </c>
      <c r="U856" s="0" t="n">
        <f aca="false">IF(K856=1,(MIN(35,(C856-D856)))*(O856/(O856+P856))*(S856/(S856+T856)),(MAX(-35,(C856-D856)))*(IF(P856=0,0.1,(P856/(O856+P856))))*(T856/(S856+T856)))</f>
        <v>1.74265734265734</v>
      </c>
      <c r="V856" s="0" t="n">
        <f aca="false">IF(L856=1,(MIN(35,(D856-C856)))*(M856/(M856+N856))*(Q856/(Q856+R856)),(MAX(-35,(D856-C856)))*(IF(N856=0,0.1,(N856/(M856+N856))))*(R856/(R856+Q856)))</f>
        <v>-1.73504273504274</v>
      </c>
    </row>
    <row r="857" customFormat="false" ht="15" hidden="false" customHeight="false" outlineLevel="0" collapsed="false">
      <c r="A857" s="0" t="s">
        <v>75</v>
      </c>
      <c r="B857" s="0" t="s">
        <v>30</v>
      </c>
      <c r="C857" s="0" t="n">
        <v>0</v>
      </c>
      <c r="D857" s="0" t="n">
        <v>17</v>
      </c>
      <c r="E857" s="0" t="n">
        <v>71</v>
      </c>
      <c r="F857" s="0" t="n">
        <v>75</v>
      </c>
      <c r="G857" s="0" t="n">
        <v>62</v>
      </c>
      <c r="H857" s="0" t="n">
        <v>230</v>
      </c>
      <c r="I857" s="0" t="n">
        <v>1</v>
      </c>
      <c r="J857" s="0" t="n">
        <v>1</v>
      </c>
      <c r="K857" s="0" t="n">
        <v>0</v>
      </c>
      <c r="L857" s="0" t="n">
        <v>1</v>
      </c>
      <c r="M857" s="0" t="n">
        <f aca="false">VLOOKUP(A857,'Team Data'!$A$1:$P$133,2,FALSE())</f>
        <v>2</v>
      </c>
      <c r="N857" s="0" t="n">
        <f aca="false">VLOOKUP(A857,'Team Data'!$A$1:$P$133,3,FALSE())</f>
        <v>10</v>
      </c>
      <c r="O857" s="0" t="n">
        <f aca="false">VLOOKUP(B857,'Team Data'!$A$1:$P$133,2,FALSE())</f>
        <v>3</v>
      </c>
      <c r="P857" s="0" t="n">
        <f aca="false">VLOOKUP(B857,'Team Data'!$A$1:$P$133,3,FALSE())</f>
        <v>9</v>
      </c>
      <c r="Q857" s="0" t="n">
        <f aca="false">VLOOKUP(A857,'Team Data'!$A$1:$P$133,4,FALSE())</f>
        <v>88</v>
      </c>
      <c r="R857" s="0" t="n">
        <f aca="false">VLOOKUP(A857,'Team Data'!$A$1:$P$133,5,FALSE())</f>
        <v>175</v>
      </c>
      <c r="S857" s="0" t="n">
        <f aca="false">VLOOKUP(B857,'Team Data'!$A$1:$P$133,4,FALSE())</f>
        <v>83</v>
      </c>
      <c r="T857" s="0" t="n">
        <f aca="false">VLOOKUP(B857,'Team Data'!$A$1:$P$133,5,FALSE())</f>
        <v>179</v>
      </c>
      <c r="U857" s="0" t="n">
        <f aca="false">IF(K857=1,(MIN(35,(C857-D857)))*(O857/(O857+P857))*(S857/(S857+T857)),(MAX(-35,(C857-D857)))*(IF(P857=0,0.1,(P857/(O857+P857))))*(T857/(S857+T857)))</f>
        <v>-8.71087786259542</v>
      </c>
      <c r="V857" s="0" t="n">
        <f aca="false">IF(L857=1,(MIN(35,(D857-C857)))*(M857/(M857+N857))*(Q857/(Q857+R857)),(MAX(-35,(D857-C857)))*(IF(N857=0,0.1,(N857/(M857+N857))))*(R857/(R857+Q857)))</f>
        <v>0.948035487959442</v>
      </c>
    </row>
    <row r="858" customFormat="false" ht="15" hidden="false" customHeight="false" outlineLevel="0" collapsed="false">
      <c r="A858" s="0" t="s">
        <v>125</v>
      </c>
      <c r="B858" s="0" t="s">
        <v>19</v>
      </c>
      <c r="C858" s="0" t="n">
        <v>23</v>
      </c>
      <c r="D858" s="0" t="n">
        <v>42</v>
      </c>
      <c r="E858" s="0" t="n">
        <v>162</v>
      </c>
      <c r="F858" s="0" t="n">
        <v>208</v>
      </c>
      <c r="G858" s="0" t="n">
        <v>306</v>
      </c>
      <c r="H858" s="0" t="n">
        <v>220</v>
      </c>
      <c r="I858" s="0" t="n">
        <v>2</v>
      </c>
      <c r="J858" s="0" t="n">
        <v>0</v>
      </c>
      <c r="K858" s="0" t="n">
        <v>0</v>
      </c>
      <c r="L858" s="0" t="n">
        <v>1</v>
      </c>
      <c r="M858" s="0" t="n">
        <f aca="false">VLOOKUP(A858,'Team Data'!$A$1:$P$133,2,FALSE())</f>
        <v>6</v>
      </c>
      <c r="N858" s="0" t="n">
        <f aca="false">VLOOKUP(A858,'Team Data'!$A$1:$P$133,3,FALSE())</f>
        <v>7</v>
      </c>
      <c r="O858" s="0" t="n">
        <f aca="false">VLOOKUP(B858,'Team Data'!$A$1:$P$133,2,FALSE())</f>
        <v>10</v>
      </c>
      <c r="P858" s="0" t="n">
        <f aca="false">VLOOKUP(B858,'Team Data'!$A$1:$P$133,3,FALSE())</f>
        <v>4</v>
      </c>
      <c r="Q858" s="0" t="n">
        <f aca="false">VLOOKUP(A858,'Team Data'!$A$1:$P$133,4,FALSE())</f>
        <v>87</v>
      </c>
      <c r="R858" s="0" t="n">
        <f aca="false">VLOOKUP(A858,'Team Data'!$A$1:$P$133,5,FALSE())</f>
        <v>186</v>
      </c>
      <c r="S858" s="0" t="n">
        <f aca="false">VLOOKUP(B858,'Team Data'!$A$1:$P$133,4,FALSE())</f>
        <v>95</v>
      </c>
      <c r="T858" s="0" t="n">
        <f aca="false">VLOOKUP(B858,'Team Data'!$A$1:$P$133,5,FALSE())</f>
        <v>193</v>
      </c>
      <c r="U858" s="0" t="n">
        <f aca="false">IF(K858=1,(MIN(35,(C858-D858)))*(O858/(O858+P858))*(S858/(S858+T858)),(MAX(-35,(C858-D858)))*(IF(P858=0,0.1,(P858/(O858+P858))))*(T858/(S858+T858)))</f>
        <v>-3.63789682539682</v>
      </c>
      <c r="V858" s="0" t="n">
        <f aca="false">IF(L858=1,(MIN(35,(D858-C858)))*(M858/(M858+N858))*(Q858/(Q858+R858)),(MAX(-35,(D858-C858)))*(IF(N858=0,0.1,(N858/(M858+N858))))*(R858/(R858+Q858)))</f>
        <v>2.79459002535926</v>
      </c>
    </row>
    <row r="859" customFormat="false" ht="15" hidden="false" customHeight="false" outlineLevel="0" collapsed="false">
      <c r="A859" s="0" t="s">
        <v>136</v>
      </c>
      <c r="B859" s="0" t="s">
        <v>38</v>
      </c>
      <c r="C859" s="0" t="n">
        <v>0</v>
      </c>
      <c r="D859" s="0" t="n">
        <v>30</v>
      </c>
      <c r="E859" s="0" t="n">
        <v>87</v>
      </c>
      <c r="F859" s="0" t="n">
        <v>114</v>
      </c>
      <c r="G859" s="0" t="n">
        <v>104</v>
      </c>
      <c r="H859" s="0" t="n">
        <v>183</v>
      </c>
      <c r="I859" s="0" t="n">
        <v>2</v>
      </c>
      <c r="J859" s="0" t="n">
        <v>0</v>
      </c>
      <c r="K859" s="0" t="n">
        <v>0</v>
      </c>
      <c r="L859" s="0" t="n">
        <v>1</v>
      </c>
      <c r="M859" s="0" t="n">
        <f aca="false">VLOOKUP(A859,'Team Data'!$A$1:$P$133,2,FALSE())</f>
        <v>7</v>
      </c>
      <c r="N859" s="0" t="n">
        <f aca="false">VLOOKUP(A859,'Team Data'!$A$1:$P$133,3,FALSE())</f>
        <v>6</v>
      </c>
      <c r="O859" s="0" t="n">
        <f aca="false">VLOOKUP(B859,'Team Data'!$A$1:$P$133,2,FALSE())</f>
        <v>10</v>
      </c>
      <c r="P859" s="0" t="n">
        <f aca="false">VLOOKUP(B859,'Team Data'!$A$1:$P$133,3,FALSE())</f>
        <v>4</v>
      </c>
      <c r="Q859" s="0" t="n">
        <f aca="false">VLOOKUP(A859,'Team Data'!$A$1:$P$133,4,FALSE())</f>
        <v>90</v>
      </c>
      <c r="R859" s="0" t="n">
        <f aca="false">VLOOKUP(A859,'Team Data'!$A$1:$P$133,5,FALSE())</f>
        <v>185</v>
      </c>
      <c r="S859" s="0" t="n">
        <f aca="false">VLOOKUP(B859,'Team Data'!$A$1:$P$133,4,FALSE())</f>
        <v>95</v>
      </c>
      <c r="T859" s="0" t="n">
        <f aca="false">VLOOKUP(B859,'Team Data'!$A$1:$P$133,5,FALSE())</f>
        <v>193</v>
      </c>
      <c r="U859" s="0" t="n">
        <f aca="false">IF(K859=1,(MIN(35,(C859-D859)))*(O859/(O859+P859))*(S859/(S859+T859)),(MAX(-35,(C859-D859)))*(IF(P859=0,0.1,(P859/(O859+P859))))*(T859/(S859+T859)))</f>
        <v>-5.74404761904762</v>
      </c>
      <c r="V859" s="0" t="n">
        <f aca="false">IF(L859=1,(MIN(35,(D859-C859)))*(M859/(M859+N859))*(Q859/(Q859+R859)),(MAX(-35,(D859-C859)))*(IF(N859=0,0.1,(N859/(M859+N859))))*(R859/(R859+Q859)))</f>
        <v>5.28671328671329</v>
      </c>
    </row>
    <row r="860" customFormat="false" ht="15" hidden="false" customHeight="false" outlineLevel="0" collapsed="false">
      <c r="A860" s="0" t="s">
        <v>43</v>
      </c>
      <c r="B860" s="0" t="s">
        <v>97</v>
      </c>
      <c r="C860" s="0" t="n">
        <v>14</v>
      </c>
      <c r="D860" s="0" t="n">
        <v>27</v>
      </c>
      <c r="E860" s="0" t="n">
        <v>43</v>
      </c>
      <c r="F860" s="0" t="n">
        <v>191</v>
      </c>
      <c r="G860" s="0" t="n">
        <v>230</v>
      </c>
      <c r="H860" s="0" t="n">
        <v>208</v>
      </c>
      <c r="I860" s="0" t="n">
        <v>0</v>
      </c>
      <c r="J860" s="0" t="n">
        <v>1</v>
      </c>
      <c r="K860" s="0" t="n">
        <v>0</v>
      </c>
      <c r="L860" s="0" t="n">
        <v>1</v>
      </c>
      <c r="M860" s="0" t="n">
        <f aca="false">VLOOKUP(A860,'Team Data'!$A$1:$P$133,2,FALSE())</f>
        <v>3</v>
      </c>
      <c r="N860" s="0" t="n">
        <f aca="false">VLOOKUP(A860,'Team Data'!$A$1:$P$133,3,FALSE())</f>
        <v>10</v>
      </c>
      <c r="O860" s="0" t="n">
        <f aca="false">VLOOKUP(B860,'Team Data'!$A$1:$P$133,2,FALSE())</f>
        <v>7</v>
      </c>
      <c r="P860" s="0" t="n">
        <f aca="false">VLOOKUP(B860,'Team Data'!$A$1:$P$133,3,FALSE())</f>
        <v>5</v>
      </c>
      <c r="Q860" s="0" t="n">
        <f aca="false">VLOOKUP(A860,'Team Data'!$A$1:$P$133,4,FALSE())</f>
        <v>89</v>
      </c>
      <c r="R860" s="0" t="n">
        <f aca="false">VLOOKUP(A860,'Team Data'!$A$1:$P$133,5,FALSE())</f>
        <v>185</v>
      </c>
      <c r="S860" s="0" t="n">
        <f aca="false">VLOOKUP(B860,'Team Data'!$A$1:$P$133,4,FALSE())</f>
        <v>70</v>
      </c>
      <c r="T860" s="0" t="n">
        <f aca="false">VLOOKUP(B860,'Team Data'!$A$1:$P$133,5,FALSE())</f>
        <v>189</v>
      </c>
      <c r="U860" s="0" t="n">
        <f aca="false">IF(K860=1,(MIN(35,(C860-D860)))*(O860/(O860+P860))*(S860/(S860+T860)),(MAX(-35,(C860-D860)))*(IF(P860=0,0.1,(P860/(O860+P860))))*(T860/(S860+T860)))</f>
        <v>-3.9527027027027</v>
      </c>
      <c r="V860" s="0" t="n">
        <f aca="false">IF(L860=1,(MIN(35,(D860-C860)))*(M860/(M860+N860))*(Q860/(Q860+R860)),(MAX(-35,(D860-C860)))*(IF(N860=0,0.1,(N860/(M860+N860))))*(R860/(R860+Q860)))</f>
        <v>0.974452554744526</v>
      </c>
    </row>
    <row r="861" customFormat="false" ht="15" hidden="false" customHeight="false" outlineLevel="0" collapsed="false">
      <c r="A861" s="0" t="s">
        <v>74</v>
      </c>
      <c r="B861" s="0" t="s">
        <v>119</v>
      </c>
      <c r="C861" s="0" t="n">
        <v>22</v>
      </c>
      <c r="D861" s="0" t="n">
        <v>27</v>
      </c>
      <c r="E861" s="0" t="n">
        <v>182</v>
      </c>
      <c r="F861" s="0" t="n">
        <v>69</v>
      </c>
      <c r="G861" s="0" t="n">
        <v>278</v>
      </c>
      <c r="H861" s="0" t="n">
        <v>209</v>
      </c>
      <c r="I861" s="0" t="n">
        <v>3</v>
      </c>
      <c r="J861" s="0" t="n">
        <v>1</v>
      </c>
      <c r="K861" s="0" t="n">
        <v>0</v>
      </c>
      <c r="L861" s="0" t="n">
        <v>1</v>
      </c>
      <c r="M861" s="0" t="n">
        <f aca="false">VLOOKUP(A861,'Team Data'!$A$1:$P$133,2,FALSE())</f>
        <v>2</v>
      </c>
      <c r="N861" s="0" t="n">
        <f aca="false">VLOOKUP(A861,'Team Data'!$A$1:$P$133,3,FALSE())</f>
        <v>10</v>
      </c>
      <c r="O861" s="0" t="n">
        <f aca="false">VLOOKUP(B861,'Team Data'!$A$1:$P$133,2,FALSE())</f>
        <v>5</v>
      </c>
      <c r="P861" s="0" t="n">
        <f aca="false">VLOOKUP(B861,'Team Data'!$A$1:$P$133,3,FALSE())</f>
        <v>7</v>
      </c>
      <c r="Q861" s="0" t="n">
        <f aca="false">VLOOKUP(A861,'Team Data'!$A$1:$P$133,4,FALSE())</f>
        <v>82</v>
      </c>
      <c r="R861" s="0" t="n">
        <f aca="false">VLOOKUP(A861,'Team Data'!$A$1:$P$133,5,FALSE())</f>
        <v>179</v>
      </c>
      <c r="S861" s="0" t="n">
        <f aca="false">VLOOKUP(B861,'Team Data'!$A$1:$P$133,4,FALSE())</f>
        <v>75</v>
      </c>
      <c r="T861" s="0" t="n">
        <f aca="false">VLOOKUP(B861,'Team Data'!$A$1:$P$133,5,FALSE())</f>
        <v>186</v>
      </c>
      <c r="U861" s="0" t="n">
        <f aca="false">IF(K861=1,(MIN(35,(C861-D861)))*(O861/(O861+P861))*(S861/(S861+T861)),(MAX(-35,(C861-D861)))*(IF(P861=0,0.1,(P861/(O861+P861))))*(T861/(S861+T861)))</f>
        <v>-2.07854406130268</v>
      </c>
      <c r="V861" s="0" t="n">
        <f aca="false">IF(L861=1,(MIN(35,(D861-C861)))*(M861/(M861+N861))*(Q861/(Q861+R861)),(MAX(-35,(D861-C861)))*(IF(N861=0,0.1,(N861/(M861+N861))))*(R861/(R861+Q861)))</f>
        <v>0.261813537675607</v>
      </c>
    </row>
    <row r="862" customFormat="false" ht="15" hidden="false" customHeight="false" outlineLevel="0" collapsed="false">
      <c r="A862" s="0" t="s">
        <v>32</v>
      </c>
      <c r="B862" s="0" t="s">
        <v>104</v>
      </c>
      <c r="C862" s="0" t="n">
        <v>49</v>
      </c>
      <c r="D862" s="0" t="n">
        <v>46</v>
      </c>
      <c r="E862" s="0" t="n">
        <v>220</v>
      </c>
      <c r="F862" s="0" t="n">
        <v>48</v>
      </c>
      <c r="G862" s="0" t="n">
        <v>314</v>
      </c>
      <c r="H862" s="0" t="n">
        <v>527</v>
      </c>
      <c r="I862" s="0" t="n">
        <v>0</v>
      </c>
      <c r="J862" s="0" t="n">
        <v>1</v>
      </c>
      <c r="K862" s="0" t="n">
        <v>1</v>
      </c>
      <c r="L862" s="0" t="n">
        <v>0</v>
      </c>
      <c r="M862" s="0" t="n">
        <f aca="false">VLOOKUP(A862,'Team Data'!$A$1:$P$133,2,FALSE())</f>
        <v>8</v>
      </c>
      <c r="N862" s="0" t="n">
        <f aca="false">VLOOKUP(A862,'Team Data'!$A$1:$P$133,3,FALSE())</f>
        <v>5</v>
      </c>
      <c r="O862" s="0" t="n">
        <f aca="false">VLOOKUP(B862,'Team Data'!$A$1:$P$133,2,FALSE())</f>
        <v>3</v>
      </c>
      <c r="P862" s="0" t="n">
        <f aca="false">VLOOKUP(B862,'Team Data'!$A$1:$P$133,3,FALSE())</f>
        <v>9</v>
      </c>
      <c r="Q862" s="0" t="n">
        <f aca="false">VLOOKUP(A862,'Team Data'!$A$1:$P$133,4,FALSE())</f>
        <v>89</v>
      </c>
      <c r="R862" s="0" t="n">
        <f aca="false">VLOOKUP(A862,'Team Data'!$A$1:$P$133,5,FALSE())</f>
        <v>185</v>
      </c>
      <c r="S862" s="0" t="n">
        <f aca="false">VLOOKUP(B862,'Team Data'!$A$1:$P$133,4,FALSE())</f>
        <v>73</v>
      </c>
      <c r="T862" s="0" t="n">
        <f aca="false">VLOOKUP(B862,'Team Data'!$A$1:$P$133,5,FALSE())</f>
        <v>186</v>
      </c>
      <c r="U862" s="0" t="n">
        <f aca="false">IF(K862=1,(MIN(35,(C862-D862)))*(O862/(O862+P862))*(S862/(S862+T862)),(MAX(-35,(C862-D862)))*(IF(P862=0,0.1,(P862/(O862+P862))))*(T862/(S862+T862)))</f>
        <v>0.211389961389961</v>
      </c>
      <c r="V862" s="0" t="n">
        <f aca="false">IF(L862=1,(MIN(35,(D862-C862)))*(M862/(M862+N862))*(Q862/(Q862+R862)),(MAX(-35,(D862-C862)))*(IF(N862=0,0.1,(N862/(M862+N862))))*(R862/(R862+Q862)))</f>
        <v>-0.779056709713644</v>
      </c>
    </row>
    <row r="863" customFormat="false" ht="15" hidden="false" customHeight="false" outlineLevel="0" collapsed="false">
      <c r="A863" s="0" t="s">
        <v>112</v>
      </c>
      <c r="B863" s="0" t="s">
        <v>26</v>
      </c>
      <c r="C863" s="0" t="n">
        <v>27</v>
      </c>
      <c r="D863" s="0" t="n">
        <v>24</v>
      </c>
      <c r="E863" s="0" t="n">
        <v>221</v>
      </c>
      <c r="F863" s="0" t="n">
        <v>235</v>
      </c>
      <c r="G863" s="0" t="n">
        <v>162</v>
      </c>
      <c r="H863" s="0" t="n">
        <v>102</v>
      </c>
      <c r="I863" s="0" t="n">
        <v>0</v>
      </c>
      <c r="J863" s="0" t="n">
        <v>1</v>
      </c>
      <c r="K863" s="0" t="n">
        <v>1</v>
      </c>
      <c r="L863" s="0" t="n">
        <v>0</v>
      </c>
      <c r="M863" s="0" t="n">
        <f aca="false">VLOOKUP(A863,'Team Data'!$A$1:$P$133,2,FALSE())</f>
        <v>12</v>
      </c>
      <c r="N863" s="0" t="n">
        <f aca="false">VLOOKUP(A863,'Team Data'!$A$1:$P$133,3,FALSE())</f>
        <v>2</v>
      </c>
      <c r="O863" s="0" t="n">
        <f aca="false">VLOOKUP(B863,'Team Data'!$A$1:$P$133,2,FALSE())</f>
        <v>9</v>
      </c>
      <c r="P863" s="0" t="n">
        <f aca="false">VLOOKUP(B863,'Team Data'!$A$1:$P$133,3,FALSE())</f>
        <v>4</v>
      </c>
      <c r="Q863" s="0" t="n">
        <f aca="false">VLOOKUP(A863,'Team Data'!$A$1:$P$133,4,FALSE())</f>
        <v>100</v>
      </c>
      <c r="R863" s="0" t="n">
        <f aca="false">VLOOKUP(A863,'Team Data'!$A$1:$P$133,5,FALSE())</f>
        <v>190</v>
      </c>
      <c r="S863" s="0" t="n">
        <f aca="false">VLOOKUP(B863,'Team Data'!$A$1:$P$133,4,FALSE())</f>
        <v>82</v>
      </c>
      <c r="T863" s="0" t="n">
        <f aca="false">VLOOKUP(B863,'Team Data'!$A$1:$P$133,5,FALSE())</f>
        <v>191</v>
      </c>
      <c r="U863" s="0" t="n">
        <f aca="false">IF(K863=1,(MIN(35,(C863-D863)))*(O863/(O863+P863))*(S863/(S863+T863)),(MAX(-35,(C863-D863)))*(IF(P863=0,0.1,(P863/(O863+P863))))*(T863/(S863+T863)))</f>
        <v>0.623837700760778</v>
      </c>
      <c r="V863" s="0" t="n">
        <f aca="false">IF(L863=1,(MIN(35,(D863-C863)))*(M863/(M863+N863))*(Q863/(Q863+R863)),(MAX(-35,(D863-C863)))*(IF(N863=0,0.1,(N863/(M863+N863))))*(R863/(R863+Q863)))</f>
        <v>-0.280788177339901</v>
      </c>
    </row>
    <row r="864" customFormat="false" ht="15" hidden="false" customHeight="false" outlineLevel="0" collapsed="false">
      <c r="A864" s="0" t="s">
        <v>62</v>
      </c>
      <c r="B864" s="0" t="s">
        <v>95</v>
      </c>
      <c r="C864" s="0" t="n">
        <v>31</v>
      </c>
      <c r="D864" s="0" t="n">
        <v>34</v>
      </c>
      <c r="E864" s="0" t="n">
        <v>152</v>
      </c>
      <c r="F864" s="0" t="n">
        <v>113</v>
      </c>
      <c r="G864" s="0" t="n">
        <v>287</v>
      </c>
      <c r="H864" s="0" t="n">
        <v>311</v>
      </c>
      <c r="I864" s="0" t="n">
        <v>1</v>
      </c>
      <c r="J864" s="0" t="n">
        <v>0</v>
      </c>
      <c r="K864" s="0" t="n">
        <v>0</v>
      </c>
      <c r="L864" s="0" t="n">
        <v>1</v>
      </c>
      <c r="M864" s="0" t="n">
        <f aca="false">VLOOKUP(A864,'Team Data'!$A$1:$P$133,2,FALSE())</f>
        <v>7</v>
      </c>
      <c r="N864" s="0" t="n">
        <f aca="false">VLOOKUP(A864,'Team Data'!$A$1:$P$133,3,FALSE())</f>
        <v>6</v>
      </c>
      <c r="O864" s="0" t="n">
        <f aca="false">VLOOKUP(B864,'Team Data'!$A$1:$P$133,2,FALSE())</f>
        <v>7</v>
      </c>
      <c r="P864" s="0" t="n">
        <f aca="false">VLOOKUP(B864,'Team Data'!$A$1:$P$133,3,FALSE())</f>
        <v>6</v>
      </c>
      <c r="Q864" s="0" t="n">
        <f aca="false">VLOOKUP(A864,'Team Data'!$A$1:$P$133,4,FALSE())</f>
        <v>89</v>
      </c>
      <c r="R864" s="0" t="n">
        <f aca="false">VLOOKUP(A864,'Team Data'!$A$1:$P$133,5,FALSE())</f>
        <v>186</v>
      </c>
      <c r="S864" s="0" t="n">
        <f aca="false">VLOOKUP(B864,'Team Data'!$A$1:$P$133,4,FALSE())</f>
        <v>99</v>
      </c>
      <c r="T864" s="0" t="n">
        <f aca="false">VLOOKUP(B864,'Team Data'!$A$1:$P$133,5,FALSE())</f>
        <v>179</v>
      </c>
      <c r="U864" s="0" t="n">
        <f aca="false">IF(K864=1,(MIN(35,(C864-D864)))*(O864/(O864+P864))*(S864/(S864+T864)),(MAX(-35,(C864-D864)))*(IF(P864=0,0.1,(P864/(O864+P864))))*(T864/(S864+T864)))</f>
        <v>-0.891532927504151</v>
      </c>
      <c r="V864" s="0" t="n">
        <f aca="false">IF(L864=1,(MIN(35,(D864-C864)))*(M864/(M864+N864))*(Q864/(Q864+R864)),(MAX(-35,(D864-C864)))*(IF(N864=0,0.1,(N864/(M864+N864))))*(R864/(R864+Q864)))</f>
        <v>0.522797202797203</v>
      </c>
    </row>
    <row r="865" customFormat="false" ht="15" hidden="false" customHeight="false" outlineLevel="0" collapsed="false">
      <c r="A865" s="0" t="s">
        <v>115</v>
      </c>
      <c r="B865" s="0" t="s">
        <v>121</v>
      </c>
      <c r="C865" s="0" t="n">
        <v>46</v>
      </c>
      <c r="D865" s="0" t="n">
        <v>39</v>
      </c>
      <c r="E865" s="0" t="n">
        <v>345</v>
      </c>
      <c r="F865" s="0" t="n">
        <v>298</v>
      </c>
      <c r="G865" s="0" t="n">
        <v>202</v>
      </c>
      <c r="H865" s="0" t="n">
        <v>140</v>
      </c>
      <c r="I865" s="0" t="n">
        <v>3</v>
      </c>
      <c r="J865" s="0" t="n">
        <v>3</v>
      </c>
      <c r="K865" s="0" t="n">
        <v>1</v>
      </c>
      <c r="L865" s="0" t="n">
        <v>0</v>
      </c>
      <c r="M865" s="0" t="n">
        <f aca="false">VLOOKUP(A865,'Team Data'!$A$1:$P$133,2,FALSE())</f>
        <v>9</v>
      </c>
      <c r="N865" s="0" t="n">
        <f aca="false">VLOOKUP(A865,'Team Data'!$A$1:$P$133,3,FALSE())</f>
        <v>5</v>
      </c>
      <c r="O865" s="0" t="n">
        <f aca="false">VLOOKUP(B865,'Team Data'!$A$1:$P$133,2,FALSE())</f>
        <v>1</v>
      </c>
      <c r="P865" s="0" t="n">
        <f aca="false">VLOOKUP(B865,'Team Data'!$A$1:$P$133,3,FALSE())</f>
        <v>11</v>
      </c>
      <c r="Q865" s="0" t="n">
        <f aca="false">VLOOKUP(A865,'Team Data'!$A$1:$P$133,4,FALSE())</f>
        <v>98</v>
      </c>
      <c r="R865" s="0" t="n">
        <f aca="false">VLOOKUP(A865,'Team Data'!$A$1:$P$133,5,FALSE())</f>
        <v>188</v>
      </c>
      <c r="S865" s="0" t="n">
        <f aca="false">VLOOKUP(B865,'Team Data'!$A$1:$P$133,4,FALSE())</f>
        <v>91</v>
      </c>
      <c r="T865" s="0" t="n">
        <f aca="false">VLOOKUP(B865,'Team Data'!$A$1:$P$133,5,FALSE())</f>
        <v>172</v>
      </c>
      <c r="U865" s="0" t="n">
        <f aca="false">IF(K865=1,(MIN(35,(C865-D865)))*(O865/(O865+P865))*(S865/(S865+T865)),(MAX(-35,(C865-D865)))*(IF(P865=0,0.1,(P865/(O865+P865))))*(T865/(S865+T865)))</f>
        <v>0.201837769328264</v>
      </c>
      <c r="V865" s="0" t="n">
        <f aca="false">IF(L865=1,(MIN(35,(D865-C865)))*(M865/(M865+N865))*(Q865/(Q865+R865)),(MAX(-35,(D865-C865)))*(IF(N865=0,0.1,(N865/(M865+N865))))*(R865/(R865+Q865)))</f>
        <v>-1.64335664335664</v>
      </c>
    </row>
    <row r="866" customFormat="false" ht="15" hidden="false" customHeight="false" outlineLevel="0" collapsed="false">
      <c r="A866" s="0" t="s">
        <v>113</v>
      </c>
      <c r="B866" s="0" t="s">
        <v>44</v>
      </c>
      <c r="C866" s="0" t="n">
        <v>37</v>
      </c>
      <c r="D866" s="0" t="n">
        <v>30</v>
      </c>
      <c r="E866" s="0" t="n">
        <v>115</v>
      </c>
      <c r="F866" s="0" t="n">
        <v>120</v>
      </c>
      <c r="G866" s="0" t="n">
        <v>316</v>
      </c>
      <c r="H866" s="0" t="n">
        <v>386</v>
      </c>
      <c r="I866" s="0" t="n">
        <v>0</v>
      </c>
      <c r="J866" s="0" t="n">
        <v>1</v>
      </c>
      <c r="K866" s="0" t="n">
        <v>1</v>
      </c>
      <c r="L866" s="0" t="n">
        <v>0</v>
      </c>
      <c r="M866" s="0" t="n">
        <f aca="false">VLOOKUP(A866,'Team Data'!$A$1:$P$133,2,FALSE())</f>
        <v>5</v>
      </c>
      <c r="N866" s="0" t="n">
        <f aca="false">VLOOKUP(A866,'Team Data'!$A$1:$P$133,3,FALSE())</f>
        <v>7</v>
      </c>
      <c r="O866" s="0" t="n">
        <f aca="false">VLOOKUP(B866,'Team Data'!$A$1:$P$133,2,FALSE())</f>
        <v>8</v>
      </c>
      <c r="P866" s="0" t="n">
        <f aca="false">VLOOKUP(B866,'Team Data'!$A$1:$P$133,3,FALSE())</f>
        <v>5</v>
      </c>
      <c r="Q866" s="0" t="n">
        <f aca="false">VLOOKUP(A866,'Team Data'!$A$1:$P$133,4,FALSE())</f>
        <v>77</v>
      </c>
      <c r="R866" s="0" t="n">
        <f aca="false">VLOOKUP(A866,'Team Data'!$A$1:$P$133,5,FALSE())</f>
        <v>183</v>
      </c>
      <c r="S866" s="0" t="n">
        <f aca="false">VLOOKUP(B866,'Team Data'!$A$1:$P$133,4,FALSE())</f>
        <v>83</v>
      </c>
      <c r="T866" s="0" t="n">
        <f aca="false">VLOOKUP(B866,'Team Data'!$A$1:$P$133,5,FALSE())</f>
        <v>84</v>
      </c>
      <c r="U866" s="0" t="n">
        <f aca="false">IF(K866=1,(MIN(35,(C866-D866)))*(O866/(O866+P866))*(S866/(S866+T866)),(MAX(-35,(C866-D866)))*(IF(P866=0,0.1,(P866/(O866+P866))))*(T866/(S866+T866)))</f>
        <v>2.14094887148779</v>
      </c>
      <c r="V866" s="0" t="n">
        <f aca="false">IF(L866=1,(MIN(35,(D866-C866)))*(M866/(M866+N866))*(Q866/(Q866+R866)),(MAX(-35,(D866-C866)))*(IF(N866=0,0.1,(N866/(M866+N866))))*(R866/(R866+Q866)))</f>
        <v>-2.87403846153846</v>
      </c>
    </row>
    <row r="867" customFormat="false" ht="15" hidden="false" customHeight="false" outlineLevel="0" collapsed="false">
      <c r="A867" s="0" t="s">
        <v>17</v>
      </c>
      <c r="B867" s="0" t="s">
        <v>64</v>
      </c>
      <c r="C867" s="0" t="n">
        <v>17</v>
      </c>
      <c r="D867" s="0" t="n">
        <v>18</v>
      </c>
      <c r="E867" s="0" t="n">
        <v>265</v>
      </c>
      <c r="F867" s="0" t="n">
        <v>130</v>
      </c>
      <c r="G867" s="0" t="n">
        <v>142</v>
      </c>
      <c r="H867" s="0" t="n">
        <v>217</v>
      </c>
      <c r="I867" s="0" t="n">
        <v>2</v>
      </c>
      <c r="J867" s="0" t="n">
        <v>1</v>
      </c>
      <c r="K867" s="0" t="n">
        <v>0</v>
      </c>
      <c r="L867" s="0" t="n">
        <v>1</v>
      </c>
      <c r="M867" s="0" t="n">
        <f aca="false">VLOOKUP(A867,'Team Data'!$A$1:$P$133,2,FALSE())</f>
        <v>5</v>
      </c>
      <c r="N867" s="0" t="n">
        <f aca="false">VLOOKUP(A867,'Team Data'!$A$1:$P$133,3,FALSE())</f>
        <v>7</v>
      </c>
      <c r="O867" s="0" t="n">
        <f aca="false">VLOOKUP(B867,'Team Data'!$A$1:$P$133,2,FALSE())</f>
        <v>6</v>
      </c>
      <c r="P867" s="0" t="n">
        <f aca="false">VLOOKUP(B867,'Team Data'!$A$1:$P$133,3,FALSE())</f>
        <v>7</v>
      </c>
      <c r="Q867" s="0" t="n">
        <f aca="false">VLOOKUP(A867,'Team Data'!$A$1:$P$133,4,FALSE())</f>
        <v>82</v>
      </c>
      <c r="R867" s="0" t="n">
        <f aca="false">VLOOKUP(A867,'Team Data'!$A$1:$P$133,5,FALSE())</f>
        <v>179</v>
      </c>
      <c r="S867" s="0" t="n">
        <f aca="false">VLOOKUP(B867,'Team Data'!$A$1:$P$133,4,FALSE())</f>
        <v>75</v>
      </c>
      <c r="T867" s="0" t="n">
        <f aca="false">VLOOKUP(B867,'Team Data'!$A$1:$P$133,5,FALSE())</f>
        <v>196</v>
      </c>
      <c r="U867" s="0" t="n">
        <f aca="false">IF(K867=1,(MIN(35,(C867-D867)))*(O867/(O867+P867))*(S867/(S867+T867)),(MAX(-35,(C867-D867)))*(IF(P867=0,0.1,(P867/(O867+P867))))*(T867/(S867+T867)))</f>
        <v>-0.389440817485098</v>
      </c>
      <c r="V867" s="0" t="n">
        <f aca="false">IF(L867=1,(MIN(35,(D867-C867)))*(M867/(M867+N867))*(Q867/(Q867+R867)),(MAX(-35,(D867-C867)))*(IF(N867=0,0.1,(N867/(M867+N867))))*(R867/(R867+Q867)))</f>
        <v>0.130906768837803</v>
      </c>
    </row>
    <row r="868" customFormat="false" ht="15" hidden="false" customHeight="false" outlineLevel="0" collapsed="false">
      <c r="A868" s="0" t="s">
        <v>21</v>
      </c>
      <c r="B868" s="0" t="s">
        <v>82</v>
      </c>
      <c r="C868" s="0" t="n">
        <v>14</v>
      </c>
      <c r="D868" s="0" t="n">
        <v>38</v>
      </c>
      <c r="E868" s="0" t="n">
        <v>50</v>
      </c>
      <c r="F868" s="0" t="n">
        <v>188</v>
      </c>
      <c r="G868" s="0" t="n">
        <v>229</v>
      </c>
      <c r="H868" s="0" t="n">
        <v>196</v>
      </c>
      <c r="I868" s="0" t="n">
        <v>4</v>
      </c>
      <c r="J868" s="0" t="n">
        <v>0</v>
      </c>
      <c r="K868" s="0" t="n">
        <v>0</v>
      </c>
      <c r="L868" s="0" t="n">
        <v>1</v>
      </c>
      <c r="M868" s="0" t="n">
        <f aca="false">VLOOKUP(A868,'Team Data'!$A$1:$P$133,2,FALSE())</f>
        <v>6</v>
      </c>
      <c r="N868" s="0" t="n">
        <f aca="false">VLOOKUP(A868,'Team Data'!$A$1:$P$133,3,FALSE())</f>
        <v>7</v>
      </c>
      <c r="O868" s="0" t="n">
        <f aca="false">VLOOKUP(B868,'Team Data'!$A$1:$P$133,2,FALSE())</f>
        <v>10</v>
      </c>
      <c r="P868" s="0" t="n">
        <f aca="false">VLOOKUP(B868,'Team Data'!$A$1:$P$133,3,FALSE())</f>
        <v>4</v>
      </c>
      <c r="Q868" s="0" t="n">
        <f aca="false">VLOOKUP(A868,'Team Data'!$A$1:$P$133,4,FALSE())</f>
        <v>90</v>
      </c>
      <c r="R868" s="0" t="n">
        <f aca="false">VLOOKUP(A868,'Team Data'!$A$1:$P$133,5,FALSE())</f>
        <v>184</v>
      </c>
      <c r="S868" s="0" t="n">
        <f aca="false">VLOOKUP(B868,'Team Data'!$A$1:$P$133,4,FALSE())</f>
        <v>83</v>
      </c>
      <c r="T868" s="0" t="n">
        <f aca="false">VLOOKUP(B868,'Team Data'!$A$1:$P$133,5,FALSE())</f>
        <v>200</v>
      </c>
      <c r="U868" s="0" t="n">
        <f aca="false">IF(K868=1,(MIN(35,(C868-D868)))*(O868/(O868+P868))*(S868/(S868+T868)),(MAX(-35,(C868-D868)))*(IF(P868=0,0.1,(P868/(O868+P868))))*(T868/(S868+T868)))</f>
        <v>-4.84603735487128</v>
      </c>
      <c r="V868" s="0" t="n">
        <f aca="false">IF(L868=1,(MIN(35,(D868-C868)))*(M868/(M868+N868))*(Q868/(Q868+R868)),(MAX(-35,(D868-C868)))*(IF(N868=0,0.1,(N868/(M868+N868))))*(R868/(R868+Q868)))</f>
        <v>3.63840539023021</v>
      </c>
    </row>
    <row r="869" customFormat="false" ht="15" hidden="false" customHeight="false" outlineLevel="0" collapsed="false">
      <c r="A869" s="0" t="s">
        <v>24</v>
      </c>
      <c r="B869" s="0" t="s">
        <v>33</v>
      </c>
      <c r="C869" s="0" t="n">
        <v>19</v>
      </c>
      <c r="D869" s="0" t="n">
        <v>38</v>
      </c>
      <c r="E869" s="0" t="n">
        <v>161</v>
      </c>
      <c r="F869" s="0" t="n">
        <v>171</v>
      </c>
      <c r="G869" s="0" t="n">
        <v>68</v>
      </c>
      <c r="H869" s="0" t="n">
        <v>266</v>
      </c>
      <c r="I869" s="0" t="n">
        <v>3</v>
      </c>
      <c r="J869" s="0" t="n">
        <v>0</v>
      </c>
      <c r="K869" s="0" t="n">
        <v>0</v>
      </c>
      <c r="L869" s="0" t="n">
        <v>1</v>
      </c>
      <c r="M869" s="0" t="n">
        <f aca="false">VLOOKUP(A869,'Team Data'!$A$1:$P$133,2,FALSE())</f>
        <v>4</v>
      </c>
      <c r="N869" s="0" t="n">
        <f aca="false">VLOOKUP(A869,'Team Data'!$A$1:$P$133,3,FALSE())</f>
        <v>8</v>
      </c>
      <c r="O869" s="0" t="n">
        <f aca="false">VLOOKUP(B869,'Team Data'!$A$1:$P$133,2,FALSE())</f>
        <v>9</v>
      </c>
      <c r="P869" s="0" t="n">
        <f aca="false">VLOOKUP(B869,'Team Data'!$A$1:$P$133,3,FALSE())</f>
        <v>4</v>
      </c>
      <c r="Q869" s="0" t="n">
        <f aca="false">VLOOKUP(A869,'Team Data'!$A$1:$P$133,4,FALSE())</f>
        <v>82</v>
      </c>
      <c r="R869" s="0" t="n">
        <f aca="false">VLOOKUP(A869,'Team Data'!$A$1:$P$133,5,FALSE())</f>
        <v>178</v>
      </c>
      <c r="S869" s="0" t="n">
        <f aca="false">VLOOKUP(B869,'Team Data'!$A$1:$P$133,4,FALSE())</f>
        <v>65</v>
      </c>
      <c r="T869" s="0" t="n">
        <f aca="false">VLOOKUP(B869,'Team Data'!$A$1:$P$133,5,FALSE())</f>
        <v>203</v>
      </c>
      <c r="U869" s="0" t="n">
        <f aca="false">IF(K869=1,(MIN(35,(C869-D869)))*(O869/(O869+P869))*(S869/(S869+T869)),(MAX(-35,(C869-D869)))*(IF(P869=0,0.1,(P869/(O869+P869))))*(T869/(S869+T869)))</f>
        <v>-4.42824339839265</v>
      </c>
      <c r="V869" s="0" t="n">
        <f aca="false">IF(L869=1,(MIN(35,(D869-C869)))*(M869/(M869+N869))*(Q869/(Q869+R869)),(MAX(-35,(D869-C869)))*(IF(N869=0,0.1,(N869/(M869+N869))))*(R869/(R869+Q869)))</f>
        <v>1.9974358974359</v>
      </c>
    </row>
    <row r="870" customFormat="false" ht="15" hidden="false" customHeight="false" outlineLevel="0" collapsed="false">
      <c r="A870" s="0" t="s">
        <v>110</v>
      </c>
      <c r="B870" s="0" t="s">
        <v>134</v>
      </c>
      <c r="C870" s="0" t="n">
        <v>14</v>
      </c>
      <c r="D870" s="0" t="n">
        <v>20</v>
      </c>
      <c r="E870" s="0" t="n">
        <v>99</v>
      </c>
      <c r="F870" s="0" t="n">
        <v>134</v>
      </c>
      <c r="G870" s="0" t="n">
        <v>235</v>
      </c>
      <c r="H870" s="0" t="n">
        <v>54</v>
      </c>
      <c r="I870" s="0" t="n">
        <v>4</v>
      </c>
      <c r="J870" s="0" t="n">
        <v>1</v>
      </c>
      <c r="K870" s="0" t="n">
        <v>0</v>
      </c>
      <c r="L870" s="0" t="n">
        <v>1</v>
      </c>
      <c r="M870" s="0" t="n">
        <f aca="false">VLOOKUP(A870,'Team Data'!$A$1:$P$133,2,FALSE())</f>
        <v>9</v>
      </c>
      <c r="N870" s="0" t="n">
        <f aca="false">VLOOKUP(A870,'Team Data'!$A$1:$P$133,3,FALSE())</f>
        <v>5</v>
      </c>
      <c r="O870" s="0" t="n">
        <f aca="false">VLOOKUP(B870,'Team Data'!$A$1:$P$133,2,FALSE())</f>
        <v>5</v>
      </c>
      <c r="P870" s="0" t="n">
        <f aca="false">VLOOKUP(B870,'Team Data'!$A$1:$P$133,3,FALSE())</f>
        <v>7</v>
      </c>
      <c r="Q870" s="0" t="n">
        <f aca="false">VLOOKUP(A870,'Team Data'!$A$1:$P$133,4,FALSE())</f>
        <v>89</v>
      </c>
      <c r="R870" s="0" t="n">
        <f aca="false">VLOOKUP(A870,'Team Data'!$A$1:$P$133,5,FALSE())</f>
        <v>195</v>
      </c>
      <c r="S870" s="0" t="n">
        <f aca="false">VLOOKUP(B870,'Team Data'!$A$1:$P$133,4,FALSE())</f>
        <v>81</v>
      </c>
      <c r="T870" s="0" t="n">
        <f aca="false">VLOOKUP(B870,'Team Data'!$A$1:$P$133,5,FALSE())</f>
        <v>179</v>
      </c>
      <c r="U870" s="0" t="n">
        <f aca="false">IF(K870=1,(MIN(35,(C870-D870)))*(O870/(O870+P870))*(S870/(S870+T870)),(MAX(-35,(C870-D870)))*(IF(P870=0,0.1,(P870/(O870+P870))))*(T870/(S870+T870)))</f>
        <v>-2.40961538461538</v>
      </c>
      <c r="V870" s="0" t="n">
        <f aca="false">IF(L870=1,(MIN(35,(D870-C870)))*(M870/(M870+N870))*(Q870/(Q870+R870)),(MAX(-35,(D870-C870)))*(IF(N870=0,0.1,(N870/(M870+N870))))*(R870/(R870+Q870)))</f>
        <v>1.20875251509054</v>
      </c>
    </row>
    <row r="871" customFormat="false" ht="15" hidden="false" customHeight="false" outlineLevel="0" collapsed="false">
      <c r="A871" s="0" t="s">
        <v>7</v>
      </c>
      <c r="B871" s="0" t="s">
        <v>79</v>
      </c>
      <c r="C871" s="0" t="n">
        <v>44</v>
      </c>
      <c r="D871" s="0" t="n">
        <v>12</v>
      </c>
      <c r="E871" s="0" t="n">
        <v>200</v>
      </c>
      <c r="F871" s="0" t="n">
        <v>89</v>
      </c>
      <c r="G871" s="0" t="n">
        <v>312</v>
      </c>
      <c r="H871" s="0" t="n">
        <v>172</v>
      </c>
      <c r="I871" s="0" t="n">
        <v>2</v>
      </c>
      <c r="J871" s="0" t="n">
        <v>2</v>
      </c>
      <c r="K871" s="0" t="n">
        <v>1</v>
      </c>
      <c r="L871" s="0" t="n">
        <v>0</v>
      </c>
      <c r="M871" s="0" t="n">
        <f aca="false">VLOOKUP(A871,'Team Data'!$A$1:$P$133,2,FALSE())</f>
        <v>2</v>
      </c>
      <c r="N871" s="0" t="n">
        <f aca="false">VLOOKUP(A871,'Team Data'!$A$1:$P$133,3,FALSE())</f>
        <v>10</v>
      </c>
      <c r="O871" s="0" t="n">
        <f aca="false">VLOOKUP(B871,'Team Data'!$A$1:$P$133,2,FALSE())</f>
        <v>3</v>
      </c>
      <c r="P871" s="0" t="n">
        <f aca="false">VLOOKUP(B871,'Team Data'!$A$1:$P$133,3,FALSE())</f>
        <v>9</v>
      </c>
      <c r="Q871" s="0" t="n">
        <f aca="false">VLOOKUP(A871,'Team Data'!$A$1:$P$133,4,FALSE())</f>
        <v>82</v>
      </c>
      <c r="R871" s="0" t="n">
        <f aca="false">VLOOKUP(A871,'Team Data'!$A$1:$P$133,5,FALSE())</f>
        <v>178</v>
      </c>
      <c r="S871" s="0" t="n">
        <f aca="false">VLOOKUP(B871,'Team Data'!$A$1:$P$133,4,FALSE())</f>
        <v>75</v>
      </c>
      <c r="T871" s="0" t="n">
        <f aca="false">VLOOKUP(B871,'Team Data'!$A$1:$P$133,5,FALSE())</f>
        <v>184</v>
      </c>
      <c r="U871" s="0" t="n">
        <f aca="false">IF(K871=1,(MIN(35,(C871-D871)))*(O871/(O871+P871))*(S871/(S871+T871)),(MAX(-35,(C871-D871)))*(IF(P871=0,0.1,(P871/(O871+P871))))*(T871/(S871+T871)))</f>
        <v>2.31660231660232</v>
      </c>
      <c r="V871" s="0" t="n">
        <f aca="false">IF(L871=1,(MIN(35,(D871-C871)))*(M871/(M871+N871))*(Q871/(Q871+R871)),(MAX(-35,(D871-C871)))*(IF(N871=0,0.1,(N871/(M871+N871))))*(R871/(R871+Q871)))</f>
        <v>-18.2564102564103</v>
      </c>
    </row>
    <row r="872" customFormat="false" ht="15" hidden="false" customHeight="false" outlineLevel="0" collapsed="false">
      <c r="A872" s="0" t="s">
        <v>52</v>
      </c>
      <c r="B872" s="0" t="s">
        <v>22</v>
      </c>
      <c r="C872" s="0" t="n">
        <v>30</v>
      </c>
      <c r="D872" s="0" t="n">
        <v>27</v>
      </c>
      <c r="E872" s="0" t="n">
        <v>214</v>
      </c>
      <c r="F872" s="0" t="n">
        <v>181</v>
      </c>
      <c r="G872" s="0" t="n">
        <v>150</v>
      </c>
      <c r="H872" s="0" t="n">
        <v>165</v>
      </c>
      <c r="I872" s="0" t="n">
        <v>1</v>
      </c>
      <c r="J872" s="0" t="n">
        <v>1</v>
      </c>
      <c r="K872" s="0" t="n">
        <v>1</v>
      </c>
      <c r="L872" s="0" t="n">
        <v>0</v>
      </c>
      <c r="M872" s="0" t="n">
        <f aca="false">VLOOKUP(A872,'Team Data'!$A$1:$P$133,2,FALSE())</f>
        <v>5</v>
      </c>
      <c r="N872" s="0" t="n">
        <f aca="false">VLOOKUP(A872,'Team Data'!$A$1:$P$133,3,FALSE())</f>
        <v>7</v>
      </c>
      <c r="O872" s="0" t="n">
        <f aca="false">VLOOKUP(B872,'Team Data'!$A$1:$P$133,2,FALSE())</f>
        <v>7</v>
      </c>
      <c r="P872" s="0" t="n">
        <f aca="false">VLOOKUP(B872,'Team Data'!$A$1:$P$133,3,FALSE())</f>
        <v>6</v>
      </c>
      <c r="Q872" s="0" t="n">
        <f aca="false">VLOOKUP(A872,'Team Data'!$A$1:$P$133,4,FALSE())</f>
        <v>94</v>
      </c>
      <c r="R872" s="0" t="n">
        <f aca="false">VLOOKUP(A872,'Team Data'!$A$1:$P$133,5,FALSE())</f>
        <v>171</v>
      </c>
      <c r="S872" s="0" t="n">
        <f aca="false">VLOOKUP(B872,'Team Data'!$A$1:$P$133,4,FALSE())</f>
        <v>83</v>
      </c>
      <c r="T872" s="0" t="n">
        <f aca="false">VLOOKUP(B872,'Team Data'!$A$1:$P$133,5,FALSE())</f>
        <v>191</v>
      </c>
      <c r="U872" s="0" t="n">
        <f aca="false">IF(K872=1,(MIN(35,(C872-D872)))*(O872/(O872+P872))*(S872/(S872+T872)),(MAX(-35,(C872-D872)))*(IF(P872=0,0.1,(P872/(O872+P872))))*(T872/(S872+T872)))</f>
        <v>0.489331836047165</v>
      </c>
      <c r="V872" s="0" t="n">
        <f aca="false">IF(L872=1,(MIN(35,(D872-C872)))*(M872/(M872+N872))*(Q872/(Q872+R872)),(MAX(-35,(D872-C872)))*(IF(N872=0,0.1,(N872/(M872+N872))))*(R872/(R872+Q872)))</f>
        <v>-1.12924528301887</v>
      </c>
    </row>
    <row r="873" customFormat="false" ht="15" hidden="false" customHeight="false" outlineLevel="0" collapsed="false">
      <c r="A873" s="0" t="s">
        <v>9</v>
      </c>
      <c r="B873" s="0" t="s">
        <v>40</v>
      </c>
      <c r="C873" s="0" t="n">
        <v>48</v>
      </c>
      <c r="D873" s="0" t="n">
        <v>51</v>
      </c>
      <c r="E873" s="0" t="n">
        <v>376</v>
      </c>
      <c r="F873" s="0" t="n">
        <v>102</v>
      </c>
      <c r="G873" s="0" t="n">
        <v>253</v>
      </c>
      <c r="H873" s="0" t="n">
        <v>385</v>
      </c>
      <c r="I873" s="0" t="n">
        <v>0</v>
      </c>
      <c r="J873" s="0" t="n">
        <v>2</v>
      </c>
      <c r="K873" s="0" t="n">
        <v>0</v>
      </c>
      <c r="L873" s="0" t="n">
        <v>1</v>
      </c>
      <c r="M873" s="0" t="n">
        <f aca="false">VLOOKUP(A873,'Team Data'!$A$1:$P$133,2,FALSE())</f>
        <v>6</v>
      </c>
      <c r="N873" s="0" t="n">
        <f aca="false">VLOOKUP(A873,'Team Data'!$A$1:$P$133,3,FALSE())</f>
        <v>6</v>
      </c>
      <c r="O873" s="0" t="n">
        <f aca="false">VLOOKUP(B873,'Team Data'!$A$1:$P$133,2,FALSE())</f>
        <v>6</v>
      </c>
      <c r="P873" s="0" t="n">
        <f aca="false">VLOOKUP(B873,'Team Data'!$A$1:$P$133,3,FALSE())</f>
        <v>7</v>
      </c>
      <c r="Q873" s="0" t="n">
        <f aca="false">VLOOKUP(A873,'Team Data'!$A$1:$P$133,4,FALSE())</f>
        <v>85</v>
      </c>
      <c r="R873" s="0" t="n">
        <f aca="false">VLOOKUP(A873,'Team Data'!$A$1:$P$133,5,FALSE())</f>
        <v>281</v>
      </c>
      <c r="S873" s="0" t="n">
        <f aca="false">VLOOKUP(B873,'Team Data'!$A$1:$P$133,4,FALSE())</f>
        <v>86</v>
      </c>
      <c r="T873" s="0" t="n">
        <f aca="false">VLOOKUP(B873,'Team Data'!$A$1:$P$133,5,FALSE())</f>
        <v>183</v>
      </c>
      <c r="U873" s="0" t="n">
        <f aca="false">IF(K873=1,(MIN(35,(C873-D873)))*(O873/(O873+P873))*(S873/(S873+T873)),(MAX(-35,(C873-D873)))*(IF(P873=0,0.1,(P873/(O873+P873))))*(T873/(S873+T873)))</f>
        <v>-1.09894195024307</v>
      </c>
      <c r="V873" s="0" t="n">
        <f aca="false">IF(L873=1,(MIN(35,(D873-C873)))*(M873/(M873+N873))*(Q873/(Q873+R873)),(MAX(-35,(D873-C873)))*(IF(N873=0,0.1,(N873/(M873+N873))))*(R873/(R873+Q873)))</f>
        <v>0.348360655737705</v>
      </c>
    </row>
    <row r="874" customFormat="false" ht="15" hidden="false" customHeight="false" outlineLevel="0" collapsed="false">
      <c r="A874" s="0" t="s">
        <v>28</v>
      </c>
      <c r="B874" s="0" t="s">
        <v>49</v>
      </c>
      <c r="C874" s="0" t="n">
        <v>7</v>
      </c>
      <c r="D874" s="0" t="n">
        <v>47</v>
      </c>
      <c r="E874" s="0" t="n">
        <v>90</v>
      </c>
      <c r="F874" s="0" t="n">
        <v>215</v>
      </c>
      <c r="G874" s="0" t="n">
        <v>93</v>
      </c>
      <c r="H874" s="0" t="n">
        <v>287</v>
      </c>
      <c r="I874" s="0" t="n">
        <v>2</v>
      </c>
      <c r="J874" s="0" t="n">
        <v>0</v>
      </c>
      <c r="K874" s="0" t="n">
        <v>0</v>
      </c>
      <c r="L874" s="0" t="n">
        <v>1</v>
      </c>
      <c r="M874" s="0" t="n">
        <f aca="false">VLOOKUP(A874,'Team Data'!$A$1:$P$133,2,FALSE())</f>
        <v>9</v>
      </c>
      <c r="N874" s="0" t="n">
        <f aca="false">VLOOKUP(A874,'Team Data'!$A$1:$P$133,3,FALSE())</f>
        <v>4</v>
      </c>
      <c r="O874" s="0" t="n">
        <f aca="false">VLOOKUP(B874,'Team Data'!$A$1:$P$133,2,FALSE())</f>
        <v>8</v>
      </c>
      <c r="P874" s="0" t="n">
        <f aca="false">VLOOKUP(B874,'Team Data'!$A$1:$P$133,3,FALSE())</f>
        <v>3</v>
      </c>
      <c r="Q874" s="0" t="n">
        <f aca="false">VLOOKUP(A874,'Team Data'!$A$1:$P$133,4,FALSE())</f>
        <v>88</v>
      </c>
      <c r="R874" s="0" t="n">
        <f aca="false">VLOOKUP(A874,'Team Data'!$A$1:$P$133,5,FALSE())</f>
        <v>182</v>
      </c>
      <c r="S874" s="0" t="n">
        <f aca="false">VLOOKUP(B874,'Team Data'!$A$1:$P$133,4,FALSE())</f>
        <v>68</v>
      </c>
      <c r="T874" s="0" t="n">
        <f aca="false">VLOOKUP(B874,'Team Data'!$A$1:$P$133,5,FALSE())</f>
        <v>177</v>
      </c>
      <c r="U874" s="0" t="n">
        <f aca="false">IF(K874=1,(MIN(35,(C874-D874)))*(O874/(O874+P874))*(S874/(S874+T874)),(MAX(-35,(C874-D874)))*(IF(P874=0,0.1,(P874/(O874+P874))))*(T874/(S874+T874)))</f>
        <v>-6.8961038961039</v>
      </c>
      <c r="V874" s="0" t="n">
        <f aca="false">IF(L874=1,(MIN(35,(D874-C874)))*(M874/(M874+N874))*(Q874/(Q874+R874)),(MAX(-35,(D874-C874)))*(IF(N874=0,0.1,(N874/(M874+N874))))*(R874/(R874+Q874)))</f>
        <v>7.8974358974359</v>
      </c>
    </row>
    <row r="875" customFormat="false" ht="15" hidden="false" customHeight="false" outlineLevel="0" collapsed="false">
      <c r="A875" s="0" t="s">
        <v>111</v>
      </c>
      <c r="B875" s="0" t="s">
        <v>13</v>
      </c>
      <c r="C875" s="0" t="n">
        <v>48</v>
      </c>
      <c r="D875" s="0" t="n">
        <v>19</v>
      </c>
      <c r="E875" s="0" t="n">
        <v>268</v>
      </c>
      <c r="F875" s="0" t="n">
        <v>38</v>
      </c>
      <c r="G875" s="0" t="n">
        <v>144</v>
      </c>
      <c r="H875" s="0" t="n">
        <v>221</v>
      </c>
      <c r="I875" s="0" t="n">
        <v>2</v>
      </c>
      <c r="J875" s="0" t="n">
        <v>2</v>
      </c>
      <c r="K875" s="0" t="n">
        <v>1</v>
      </c>
      <c r="L875" s="0" t="n">
        <v>0</v>
      </c>
      <c r="M875" s="0" t="n">
        <f aca="false">VLOOKUP(A875,'Team Data'!$A$1:$P$133,2,FALSE())</f>
        <v>12</v>
      </c>
      <c r="N875" s="0" t="n">
        <f aca="false">VLOOKUP(A875,'Team Data'!$A$1:$P$133,3,FALSE())</f>
        <v>2</v>
      </c>
      <c r="O875" s="0" t="n">
        <f aca="false">VLOOKUP(B875,'Team Data'!$A$1:$P$133,2,FALSE())</f>
        <v>3</v>
      </c>
      <c r="P875" s="0" t="n">
        <f aca="false">VLOOKUP(B875,'Team Data'!$A$1:$P$133,3,FALSE())</f>
        <v>9</v>
      </c>
      <c r="Q875" s="0" t="n">
        <f aca="false">VLOOKUP(A875,'Team Data'!$A$1:$P$133,4,FALSE())</f>
        <v>100</v>
      </c>
      <c r="R875" s="0" t="n">
        <f aca="false">VLOOKUP(A875,'Team Data'!$A$1:$P$133,5,FALSE())</f>
        <v>186</v>
      </c>
      <c r="S875" s="0" t="n">
        <f aca="false">VLOOKUP(B875,'Team Data'!$A$1:$P$133,4,FALSE())</f>
        <v>81</v>
      </c>
      <c r="T875" s="0" t="n">
        <f aca="false">VLOOKUP(B875,'Team Data'!$A$1:$P$133,5,FALSE())</f>
        <v>177</v>
      </c>
      <c r="U875" s="0" t="n">
        <f aca="false">IF(K875=1,(MIN(35,(C875-D875)))*(O875/(O875+P875))*(S875/(S875+T875)),(MAX(-35,(C875-D875)))*(IF(P875=0,0.1,(P875/(O875+P875))))*(T875/(S875+T875)))</f>
        <v>2.27616279069767</v>
      </c>
      <c r="V875" s="0" t="n">
        <f aca="false">IF(L875=1,(MIN(35,(D875-C875)))*(M875/(M875+N875))*(Q875/(Q875+R875)),(MAX(-35,(D875-C875)))*(IF(N875=0,0.1,(N875/(M875+N875))))*(R875/(R875+Q875)))</f>
        <v>-2.69430569430569</v>
      </c>
    </row>
    <row r="876" customFormat="false" ht="15" hidden="false" customHeight="false" outlineLevel="0" collapsed="false">
      <c r="A876" s="0" t="s">
        <v>100</v>
      </c>
      <c r="B876" s="0" t="s">
        <v>58</v>
      </c>
      <c r="C876" s="0" t="n">
        <v>20</v>
      </c>
      <c r="D876" s="0" t="n">
        <v>10</v>
      </c>
      <c r="E876" s="0" t="n">
        <v>265</v>
      </c>
      <c r="F876" s="0" t="n">
        <v>109</v>
      </c>
      <c r="G876" s="0" t="n">
        <v>183</v>
      </c>
      <c r="H876" s="0" t="n">
        <v>122</v>
      </c>
      <c r="I876" s="0" t="n">
        <v>0</v>
      </c>
      <c r="J876" s="0" t="n">
        <v>0</v>
      </c>
      <c r="K876" s="0" t="n">
        <v>1</v>
      </c>
      <c r="L876" s="0" t="n">
        <v>0</v>
      </c>
      <c r="M876" s="0" t="n">
        <f aca="false">VLOOKUP(A876,'Team Data'!$A$1:$P$133,2,FALSE())</f>
        <v>7</v>
      </c>
      <c r="N876" s="0" t="n">
        <f aca="false">VLOOKUP(A876,'Team Data'!$A$1:$P$133,3,FALSE())</f>
        <v>6</v>
      </c>
      <c r="O876" s="0" t="n">
        <f aca="false">VLOOKUP(B876,'Team Data'!$A$1:$P$133,2,FALSE())</f>
        <v>4</v>
      </c>
      <c r="P876" s="0" t="n">
        <f aca="false">VLOOKUP(B876,'Team Data'!$A$1:$P$133,3,FALSE())</f>
        <v>8</v>
      </c>
      <c r="Q876" s="0" t="n">
        <f aca="false">VLOOKUP(A876,'Team Data'!$A$1:$P$133,4,FALSE())</f>
        <v>90</v>
      </c>
      <c r="R876" s="0" t="n">
        <f aca="false">VLOOKUP(A876,'Team Data'!$A$1:$P$133,5,FALSE())</f>
        <v>183</v>
      </c>
      <c r="S876" s="0" t="n">
        <f aca="false">VLOOKUP(B876,'Team Data'!$A$1:$P$133,4,FALSE())</f>
        <v>88</v>
      </c>
      <c r="T876" s="0" t="n">
        <f aca="false">VLOOKUP(B876,'Team Data'!$A$1:$P$133,5,FALSE())</f>
        <v>172</v>
      </c>
      <c r="U876" s="0" t="n">
        <f aca="false">IF(K876=1,(MIN(35,(C876-D876)))*(O876/(O876+P876))*(S876/(S876+T876)),(MAX(-35,(C876-D876)))*(IF(P876=0,0.1,(P876/(O876+P876))))*(T876/(S876+T876)))</f>
        <v>1.12820512820513</v>
      </c>
      <c r="V876" s="0" t="n">
        <f aca="false">IF(L876=1,(MIN(35,(D876-C876)))*(M876/(M876+N876))*(Q876/(Q876+R876)),(MAX(-35,(D876-C876)))*(IF(N876=0,0.1,(N876/(M876+N876))))*(R876/(R876+Q876)))</f>
        <v>-3.0938292476754</v>
      </c>
    </row>
    <row r="877" customFormat="false" ht="15" hidden="false" customHeight="false" outlineLevel="0" collapsed="false">
      <c r="A877" s="0" t="s">
        <v>56</v>
      </c>
      <c r="B877" s="0" t="s">
        <v>108</v>
      </c>
      <c r="C877" s="0" t="n">
        <v>41</v>
      </c>
      <c r="D877" s="0" t="n">
        <v>13</v>
      </c>
      <c r="E877" s="0" t="n">
        <v>165</v>
      </c>
      <c r="F877" s="0" t="n">
        <v>223</v>
      </c>
      <c r="G877" s="0" t="n">
        <v>271</v>
      </c>
      <c r="H877" s="0" t="n">
        <v>133</v>
      </c>
      <c r="I877" s="0" t="n">
        <v>1</v>
      </c>
      <c r="J877" s="0" t="n">
        <v>2</v>
      </c>
      <c r="K877" s="0" t="n">
        <v>1</v>
      </c>
      <c r="L877" s="0" t="n">
        <v>0</v>
      </c>
      <c r="M877" s="0" t="n">
        <f aca="false">VLOOKUP(A877,'Team Data'!$A$1:$P$133,2,FALSE())</f>
        <v>6</v>
      </c>
      <c r="N877" s="0" t="n">
        <f aca="false">VLOOKUP(A877,'Team Data'!$A$1:$P$133,3,FALSE())</f>
        <v>7</v>
      </c>
      <c r="O877" s="0" t="n">
        <f aca="false">VLOOKUP(B877,'Team Data'!$A$1:$P$133,2,FALSE())</f>
        <v>4</v>
      </c>
      <c r="P877" s="0" t="n">
        <f aca="false">VLOOKUP(B877,'Team Data'!$A$1:$P$133,3,FALSE())</f>
        <v>8</v>
      </c>
      <c r="Q877" s="0" t="n">
        <f aca="false">VLOOKUP(A877,'Team Data'!$A$1:$P$133,4,FALSE())</f>
        <v>95</v>
      </c>
      <c r="R877" s="0" t="n">
        <f aca="false">VLOOKUP(A877,'Team Data'!$A$1:$P$133,5,FALSE())</f>
        <v>179</v>
      </c>
      <c r="S877" s="0" t="n">
        <f aca="false">VLOOKUP(B877,'Team Data'!$A$1:$P$133,4,FALSE())</f>
        <v>76</v>
      </c>
      <c r="T877" s="0" t="n">
        <f aca="false">VLOOKUP(B877,'Team Data'!$A$1:$P$133,5,FALSE())</f>
        <v>181</v>
      </c>
      <c r="U877" s="0" t="n">
        <f aca="false">IF(K877=1,(MIN(35,(C877-D877)))*(O877/(O877+P877))*(S877/(S877+T877)),(MAX(-35,(C877-D877)))*(IF(P877=0,0.1,(P877/(O877+P877))))*(T877/(S877+T877)))</f>
        <v>2.76005188067445</v>
      </c>
      <c r="V877" s="0" t="n">
        <f aca="false">IF(L877=1,(MIN(35,(D877-C877)))*(M877/(M877+N877))*(Q877/(Q877+R877)),(MAX(-35,(D877-C877)))*(IF(N877=0,0.1,(N877/(M877+N877))))*(R877/(R877+Q877)))</f>
        <v>-9.84952274003369</v>
      </c>
    </row>
    <row r="878" customFormat="false" ht="15" hidden="false" customHeight="false" outlineLevel="0" collapsed="false">
      <c r="A878" s="0" t="s">
        <v>86</v>
      </c>
      <c r="B878" s="0" t="s">
        <v>98</v>
      </c>
      <c r="C878" s="0" t="n">
        <v>20</v>
      </c>
      <c r="D878" s="0" t="n">
        <v>27</v>
      </c>
      <c r="E878" s="0" t="n">
        <v>96</v>
      </c>
      <c r="F878" s="0" t="n">
        <v>208</v>
      </c>
      <c r="G878" s="0" t="n">
        <v>285</v>
      </c>
      <c r="H878" s="0" t="n">
        <v>190</v>
      </c>
      <c r="I878" s="0" t="n">
        <v>0</v>
      </c>
      <c r="J878" s="0" t="n">
        <v>1</v>
      </c>
      <c r="K878" s="0" t="n">
        <v>0</v>
      </c>
      <c r="L878" s="0" t="n">
        <v>1</v>
      </c>
      <c r="M878" s="0" t="n">
        <f aca="false">VLOOKUP(A878,'Team Data'!$A$1:$P$133,2,FALSE())</f>
        <v>3</v>
      </c>
      <c r="N878" s="0" t="n">
        <f aca="false">VLOOKUP(A878,'Team Data'!$A$1:$P$133,3,FALSE())</f>
        <v>9</v>
      </c>
      <c r="O878" s="0" t="n">
        <f aca="false">VLOOKUP(B878,'Team Data'!$A$1:$P$133,2,FALSE())</f>
        <v>10</v>
      </c>
      <c r="P878" s="0" t="n">
        <f aca="false">VLOOKUP(B878,'Team Data'!$A$1:$P$133,3,FALSE())</f>
        <v>3</v>
      </c>
      <c r="Q878" s="0" t="n">
        <f aca="false">VLOOKUP(A878,'Team Data'!$A$1:$P$133,4,FALSE())</f>
        <v>77</v>
      </c>
      <c r="R878" s="0" t="n">
        <f aca="false">VLOOKUP(A878,'Team Data'!$A$1:$P$133,5,FALSE())</f>
        <v>69</v>
      </c>
      <c r="S878" s="0" t="n">
        <f aca="false">VLOOKUP(B878,'Team Data'!$A$1:$P$133,4,FALSE())</f>
        <v>78</v>
      </c>
      <c r="T878" s="0" t="n">
        <f aca="false">VLOOKUP(B878,'Team Data'!$A$1:$P$133,5,FALSE())</f>
        <v>194</v>
      </c>
      <c r="U878" s="0" t="n">
        <f aca="false">IF(K878=1,(MIN(35,(C878-D878)))*(O878/(O878+P878))*(S878/(S878+T878)),(MAX(-35,(C878-D878)))*(IF(P878=0,0.1,(P878/(O878+P878))))*(T878/(S878+T878)))</f>
        <v>-1.15214932126697</v>
      </c>
      <c r="V878" s="0" t="n">
        <f aca="false">IF(L878=1,(MIN(35,(D878-C878)))*(M878/(M878+N878))*(Q878/(Q878+R878)),(MAX(-35,(D878-C878)))*(IF(N878=0,0.1,(N878/(M878+N878))))*(R878/(R878+Q878)))</f>
        <v>0.922945205479452</v>
      </c>
    </row>
    <row r="879" customFormat="false" ht="15" hidden="false" customHeight="false" outlineLevel="0" collapsed="false">
      <c r="A879" s="0" t="s">
        <v>41</v>
      </c>
      <c r="B879" s="0" t="s">
        <v>60</v>
      </c>
      <c r="C879" s="0" t="n">
        <v>23</v>
      </c>
      <c r="D879" s="0" t="n">
        <v>28</v>
      </c>
      <c r="E879" s="0" t="n">
        <v>74</v>
      </c>
      <c r="F879" s="0" t="n">
        <v>278</v>
      </c>
      <c r="G879" s="0" t="n">
        <v>291</v>
      </c>
      <c r="H879" s="0" t="n">
        <v>208</v>
      </c>
      <c r="I879" s="0" t="n">
        <v>0</v>
      </c>
      <c r="J879" s="0" t="n">
        <v>0</v>
      </c>
      <c r="K879" s="0" t="n">
        <v>0</v>
      </c>
      <c r="L879" s="0" t="n">
        <v>1</v>
      </c>
      <c r="M879" s="0" t="n">
        <f aca="false">VLOOKUP(A879,'Team Data'!$A$1:$P$133,2,FALSE())</f>
        <v>4</v>
      </c>
      <c r="N879" s="0" t="n">
        <f aca="false">VLOOKUP(A879,'Team Data'!$A$1:$P$133,3,FALSE())</f>
        <v>8</v>
      </c>
      <c r="O879" s="0" t="n">
        <f aca="false">VLOOKUP(B879,'Team Data'!$A$1:$P$133,2,FALSE())</f>
        <v>9</v>
      </c>
      <c r="P879" s="0" t="n">
        <f aca="false">VLOOKUP(B879,'Team Data'!$A$1:$P$133,3,FALSE())</f>
        <v>4</v>
      </c>
      <c r="Q879" s="0" t="n">
        <f aca="false">VLOOKUP(A879,'Team Data'!$A$1:$P$133,4,FALSE())</f>
        <v>78</v>
      </c>
      <c r="R879" s="0" t="n">
        <f aca="false">VLOOKUP(A879,'Team Data'!$A$1:$P$133,5,FALSE())</f>
        <v>72</v>
      </c>
      <c r="S879" s="0" t="n">
        <f aca="false">VLOOKUP(B879,'Team Data'!$A$1:$P$133,4,FALSE())</f>
        <v>91</v>
      </c>
      <c r="T879" s="0" t="n">
        <f aca="false">VLOOKUP(B879,'Team Data'!$A$1:$P$133,5,FALSE())</f>
        <v>288</v>
      </c>
      <c r="U879" s="0" t="n">
        <f aca="false">IF(K879=1,(MIN(35,(C879-D879)))*(O879/(O879+P879))*(S879/(S879+T879)),(MAX(-35,(C879-D879)))*(IF(P879=0,0.1,(P879/(O879+P879))))*(T879/(S879+T879)))</f>
        <v>-1.16906839861985</v>
      </c>
      <c r="V879" s="0" t="n">
        <f aca="false">IF(L879=1,(MIN(35,(D879-C879)))*(M879/(M879+N879))*(Q879/(Q879+R879)),(MAX(-35,(D879-C879)))*(IF(N879=0,0.1,(N879/(M879+N879))))*(R879/(R879+Q879)))</f>
        <v>0.866666666666667</v>
      </c>
    </row>
    <row r="880" customFormat="false" ht="15" hidden="false" customHeight="false" outlineLevel="0" collapsed="false">
      <c r="A880" s="0" t="s">
        <v>67</v>
      </c>
      <c r="B880" s="0" t="s">
        <v>34</v>
      </c>
      <c r="C880" s="0" t="n">
        <v>33</v>
      </c>
      <c r="D880" s="0" t="n">
        <v>28</v>
      </c>
      <c r="E880" s="0" t="n">
        <v>168</v>
      </c>
      <c r="F880" s="0" t="n">
        <v>83</v>
      </c>
      <c r="G880" s="0" t="n">
        <v>279</v>
      </c>
      <c r="H880" s="0" t="n">
        <v>414</v>
      </c>
      <c r="I880" s="0" t="n">
        <v>0</v>
      </c>
      <c r="J880" s="0" t="n">
        <v>4</v>
      </c>
      <c r="K880" s="0" t="n">
        <v>1</v>
      </c>
      <c r="L880" s="0" t="n">
        <v>0</v>
      </c>
      <c r="M880" s="0" t="n">
        <f aca="false">VLOOKUP(A880,'Team Data'!$A$1:$P$133,2,FALSE())</f>
        <v>8</v>
      </c>
      <c r="N880" s="0" t="n">
        <f aca="false">VLOOKUP(A880,'Team Data'!$A$1:$P$133,3,FALSE())</f>
        <v>5</v>
      </c>
      <c r="O880" s="0" t="n">
        <f aca="false">VLOOKUP(B880,'Team Data'!$A$1:$P$133,2,FALSE())</f>
        <v>4</v>
      </c>
      <c r="P880" s="0" t="n">
        <f aca="false">VLOOKUP(B880,'Team Data'!$A$1:$P$133,3,FALSE())</f>
        <v>8</v>
      </c>
      <c r="Q880" s="0" t="n">
        <f aca="false">VLOOKUP(A880,'Team Data'!$A$1:$P$133,4,FALSE())</f>
        <v>78</v>
      </c>
      <c r="R880" s="0" t="n">
        <f aca="false">VLOOKUP(A880,'Team Data'!$A$1:$P$133,5,FALSE())</f>
        <v>191</v>
      </c>
      <c r="S880" s="0" t="n">
        <f aca="false">VLOOKUP(B880,'Team Data'!$A$1:$P$133,4,FALSE())</f>
        <v>76</v>
      </c>
      <c r="T880" s="0" t="n">
        <f aca="false">VLOOKUP(B880,'Team Data'!$A$1:$P$133,5,FALSE())</f>
        <v>185</v>
      </c>
      <c r="U880" s="0" t="n">
        <f aca="false">IF(K880=1,(MIN(35,(C880-D880)))*(O880/(O880+P880))*(S880/(S880+T880)),(MAX(-35,(C880-D880)))*(IF(P880=0,0.1,(P880/(O880+P880))))*(T880/(S880+T880)))</f>
        <v>0.485312899106003</v>
      </c>
      <c r="V880" s="0" t="n">
        <f aca="false">IF(L880=1,(MIN(35,(D880-C880)))*(M880/(M880+N880))*(Q880/(Q880+R880)),(MAX(-35,(D880-C880)))*(IF(N880=0,0.1,(N880/(M880+N880))))*(R880/(R880+Q880)))</f>
        <v>-1.36545610523306</v>
      </c>
    </row>
    <row r="881" customFormat="false" ht="15" hidden="false" customHeight="false" outlineLevel="0" collapsed="false">
      <c r="A881" s="0" t="s">
        <v>133</v>
      </c>
      <c r="B881" s="0" t="s">
        <v>36</v>
      </c>
      <c r="C881" s="0" t="n">
        <v>32</v>
      </c>
      <c r="D881" s="0" t="n">
        <v>31</v>
      </c>
      <c r="E881" s="0" t="n">
        <v>161</v>
      </c>
      <c r="F881" s="0" t="n">
        <v>178</v>
      </c>
      <c r="G881" s="0" t="n">
        <v>410</v>
      </c>
      <c r="H881" s="0" t="n">
        <v>283</v>
      </c>
      <c r="I881" s="0" t="n">
        <v>2</v>
      </c>
      <c r="J881" s="0" t="n">
        <v>0</v>
      </c>
      <c r="K881" s="0" t="n">
        <v>1</v>
      </c>
      <c r="L881" s="0" t="n">
        <v>0</v>
      </c>
      <c r="M881" s="0" t="n">
        <f aca="false">VLOOKUP(A881,'Team Data'!$A$1:$P$133,2,FALSE())</f>
        <v>9</v>
      </c>
      <c r="N881" s="0" t="n">
        <f aca="false">VLOOKUP(A881,'Team Data'!$A$1:$P$133,3,FALSE())</f>
        <v>5</v>
      </c>
      <c r="O881" s="0" t="n">
        <f aca="false">VLOOKUP(B881,'Team Data'!$A$1:$P$133,2,FALSE())</f>
        <v>5</v>
      </c>
      <c r="P881" s="0" t="n">
        <f aca="false">VLOOKUP(B881,'Team Data'!$A$1:$P$133,3,FALSE())</f>
        <v>7</v>
      </c>
      <c r="Q881" s="0" t="n">
        <f aca="false">VLOOKUP(A881,'Team Data'!$A$1:$P$133,4,FALSE())</f>
        <v>92</v>
      </c>
      <c r="R881" s="0" t="n">
        <f aca="false">VLOOKUP(A881,'Team Data'!$A$1:$P$133,5,FALSE())</f>
        <v>195</v>
      </c>
      <c r="S881" s="0" t="n">
        <f aca="false">VLOOKUP(B881,'Team Data'!$A$1:$P$133,4,FALSE())</f>
        <v>83</v>
      </c>
      <c r="T881" s="0" t="n">
        <f aca="false">VLOOKUP(B881,'Team Data'!$A$1:$P$133,5,FALSE())</f>
        <v>182</v>
      </c>
      <c r="U881" s="0" t="n">
        <f aca="false">IF(K881=1,(MIN(35,(C881-D881)))*(O881/(O881+P881))*(S881/(S881+T881)),(MAX(-35,(C881-D881)))*(IF(P881=0,0.1,(P881/(O881+P881))))*(T881/(S881+T881)))</f>
        <v>0.130503144654088</v>
      </c>
      <c r="V881" s="0" t="n">
        <f aca="false">IF(L881=1,(MIN(35,(D881-C881)))*(M881/(M881+N881))*(Q881/(Q881+R881)),(MAX(-35,(D881-C881)))*(IF(N881=0,0.1,(N881/(M881+N881))))*(R881/(R881+Q881)))</f>
        <v>-0.242658038825286</v>
      </c>
    </row>
    <row r="882" customFormat="false" ht="15" hidden="false" customHeight="false" outlineLevel="0" collapsed="false">
      <c r="A882" s="0" t="s">
        <v>114</v>
      </c>
      <c r="B882" s="0" t="s">
        <v>57</v>
      </c>
      <c r="C882" s="0" t="n">
        <v>37</v>
      </c>
      <c r="D882" s="0" t="n">
        <v>27</v>
      </c>
      <c r="E882" s="0" t="n">
        <v>406</v>
      </c>
      <c r="F882" s="0" t="n">
        <v>220</v>
      </c>
      <c r="G882" s="0" t="n">
        <v>91</v>
      </c>
      <c r="H882" s="0" t="n">
        <v>247</v>
      </c>
      <c r="I882" s="0" t="n">
        <v>1</v>
      </c>
      <c r="J882" s="0" t="n">
        <v>1</v>
      </c>
      <c r="K882" s="0" t="n">
        <v>1</v>
      </c>
      <c r="L882" s="0" t="n">
        <v>0</v>
      </c>
      <c r="M882" s="0" t="n">
        <f aca="false">VLOOKUP(A882,'Team Data'!$A$1:$P$133,2,FALSE())</f>
        <v>7</v>
      </c>
      <c r="N882" s="0" t="n">
        <f aca="false">VLOOKUP(A882,'Team Data'!$A$1:$P$133,3,FALSE())</f>
        <v>6</v>
      </c>
      <c r="O882" s="0" t="n">
        <f aca="false">VLOOKUP(B882,'Team Data'!$A$1:$P$133,2,FALSE())</f>
        <v>3</v>
      </c>
      <c r="P882" s="0" t="n">
        <f aca="false">VLOOKUP(B882,'Team Data'!$A$1:$P$133,3,FALSE())</f>
        <v>9</v>
      </c>
      <c r="Q882" s="0" t="n">
        <f aca="false">VLOOKUP(A882,'Team Data'!$A$1:$P$133,4,FALSE())</f>
        <v>89</v>
      </c>
      <c r="R882" s="0" t="n">
        <f aca="false">VLOOKUP(A882,'Team Data'!$A$1:$P$133,5,FALSE())</f>
        <v>188</v>
      </c>
      <c r="S882" s="0" t="n">
        <f aca="false">VLOOKUP(B882,'Team Data'!$A$1:$P$133,4,FALSE())</f>
        <v>85</v>
      </c>
      <c r="T882" s="0" t="n">
        <f aca="false">VLOOKUP(B882,'Team Data'!$A$1:$P$133,5,FALSE())</f>
        <v>178</v>
      </c>
      <c r="U882" s="0" t="n">
        <f aca="false">IF(K882=1,(MIN(35,(C882-D882)))*(O882/(O882+P882))*(S882/(S882+T882)),(MAX(-35,(C882-D882)))*(IF(P882=0,0.1,(P882/(O882+P882))))*(T882/(S882+T882)))</f>
        <v>0.807984790874525</v>
      </c>
      <c r="V882" s="0" t="n">
        <f aca="false">IF(L882=1,(MIN(35,(D882-C882)))*(M882/(M882+N882))*(Q882/(Q882+R882)),(MAX(-35,(D882-C882)))*(IF(N882=0,0.1,(N882/(M882+N882))))*(R882/(R882+Q882)))</f>
        <v>-3.13246320466537</v>
      </c>
    </row>
    <row r="883" customFormat="false" ht="15" hidden="false" customHeight="false" outlineLevel="0" collapsed="false">
      <c r="A883" s="0" t="s">
        <v>93</v>
      </c>
      <c r="B883" s="0" t="s">
        <v>78</v>
      </c>
      <c r="C883" s="0" t="n">
        <v>17</v>
      </c>
      <c r="D883" s="0" t="n">
        <v>21</v>
      </c>
      <c r="E883" s="0" t="n">
        <v>186</v>
      </c>
      <c r="F883" s="0" t="n">
        <v>159</v>
      </c>
      <c r="G883" s="0" t="n">
        <v>229</v>
      </c>
      <c r="H883" s="0" t="n">
        <v>203</v>
      </c>
      <c r="I883" s="0" t="n">
        <v>2</v>
      </c>
      <c r="J883" s="0" t="n">
        <v>0</v>
      </c>
      <c r="K883" s="0" t="n">
        <v>0</v>
      </c>
      <c r="L883" s="0" t="n">
        <v>1</v>
      </c>
      <c r="M883" s="0" t="n">
        <f aca="false">VLOOKUP(A883,'Team Data'!$A$1:$P$133,2,FALSE())</f>
        <v>5</v>
      </c>
      <c r="N883" s="0" t="n">
        <f aca="false">VLOOKUP(A883,'Team Data'!$A$1:$P$133,3,FALSE())</f>
        <v>8</v>
      </c>
      <c r="O883" s="0" t="n">
        <f aca="false">VLOOKUP(B883,'Team Data'!$A$1:$P$133,2,FALSE())</f>
        <v>7</v>
      </c>
      <c r="P883" s="0" t="n">
        <f aca="false">VLOOKUP(B883,'Team Data'!$A$1:$P$133,3,FALSE())</f>
        <v>7</v>
      </c>
      <c r="Q883" s="0" t="n">
        <f aca="false">VLOOKUP(A883,'Team Data'!$A$1:$P$133,4,FALSE())</f>
        <v>90</v>
      </c>
      <c r="R883" s="0" t="n">
        <f aca="false">VLOOKUP(A883,'Team Data'!$A$1:$P$133,5,FALSE())</f>
        <v>186</v>
      </c>
      <c r="S883" s="0" t="n">
        <f aca="false">VLOOKUP(B883,'Team Data'!$A$1:$P$133,4,FALSE())</f>
        <v>97</v>
      </c>
      <c r="T883" s="0" t="n">
        <f aca="false">VLOOKUP(B883,'Team Data'!$A$1:$P$133,5,FALSE())</f>
        <v>191</v>
      </c>
      <c r="U883" s="0" t="n">
        <f aca="false">IF(K883=1,(MIN(35,(C883-D883)))*(O883/(O883+P883))*(S883/(S883+T883)),(MAX(-35,(C883-D883)))*(IF(P883=0,0.1,(P883/(O883+P883))))*(T883/(S883+T883)))</f>
        <v>-1.32638888888889</v>
      </c>
      <c r="V883" s="0" t="n">
        <f aca="false">IF(L883=1,(MIN(35,(D883-C883)))*(M883/(M883+N883))*(Q883/(Q883+R883)),(MAX(-35,(D883-C883)))*(IF(N883=0,0.1,(N883/(M883+N883))))*(R883/(R883+Q883)))</f>
        <v>0.501672240802676</v>
      </c>
    </row>
    <row r="884" customFormat="false" ht="15" hidden="false" customHeight="false" outlineLevel="0" collapsed="false">
      <c r="A884" s="0" t="s">
        <v>122</v>
      </c>
      <c r="B884" s="0" t="s">
        <v>123</v>
      </c>
      <c r="C884" s="0" t="n">
        <v>31</v>
      </c>
      <c r="D884" s="0" t="n">
        <v>34</v>
      </c>
      <c r="E884" s="0" t="n">
        <v>253</v>
      </c>
      <c r="F884" s="0" t="n">
        <v>76</v>
      </c>
      <c r="G884" s="0" t="n">
        <v>245</v>
      </c>
      <c r="H884" s="0" t="n">
        <v>382</v>
      </c>
      <c r="I884" s="0" t="n">
        <v>2</v>
      </c>
      <c r="J884" s="0" t="n">
        <v>0</v>
      </c>
      <c r="K884" s="0" t="n">
        <v>0</v>
      </c>
      <c r="L884" s="0" t="n">
        <v>1</v>
      </c>
      <c r="M884" s="0" t="n">
        <f aca="false">VLOOKUP(A884,'Team Data'!$A$1:$P$133,2,FALSE())</f>
        <v>5</v>
      </c>
      <c r="N884" s="0" t="n">
        <f aca="false">VLOOKUP(A884,'Team Data'!$A$1:$P$133,3,FALSE())</f>
        <v>7</v>
      </c>
      <c r="O884" s="0" t="n">
        <f aca="false">VLOOKUP(B884,'Team Data'!$A$1:$P$133,2,FALSE())</f>
        <v>11</v>
      </c>
      <c r="P884" s="0" t="n">
        <f aca="false">VLOOKUP(B884,'Team Data'!$A$1:$P$133,3,FALSE())</f>
        <v>3</v>
      </c>
      <c r="Q884" s="0" t="n">
        <f aca="false">VLOOKUP(A884,'Team Data'!$A$1:$P$133,4,FALSE())</f>
        <v>71</v>
      </c>
      <c r="R884" s="0" t="n">
        <f aca="false">VLOOKUP(A884,'Team Data'!$A$1:$P$133,5,FALSE())</f>
        <v>83</v>
      </c>
      <c r="S884" s="0" t="n">
        <f aca="false">VLOOKUP(B884,'Team Data'!$A$1:$P$133,4,FALSE())</f>
        <v>97</v>
      </c>
      <c r="T884" s="0" t="n">
        <f aca="false">VLOOKUP(B884,'Team Data'!$A$1:$P$133,5,FALSE())</f>
        <v>192</v>
      </c>
      <c r="U884" s="0" t="n">
        <f aca="false">IF(K884=1,(MIN(35,(C884-D884)))*(O884/(O884+P884))*(S884/(S884+T884)),(MAX(-35,(C884-D884)))*(IF(P884=0,0.1,(P884/(O884+P884))))*(T884/(S884+T884)))</f>
        <v>-0.427088482451804</v>
      </c>
      <c r="V884" s="0" t="n">
        <f aca="false">IF(L884=1,(MIN(35,(D884-C884)))*(M884/(M884+N884))*(Q884/(Q884+R884)),(MAX(-35,(D884-C884)))*(IF(N884=0,0.1,(N884/(M884+N884))))*(R884/(R884+Q884)))</f>
        <v>0.576298701298701</v>
      </c>
    </row>
    <row r="885" customFormat="false" ht="15" hidden="false" customHeight="false" outlineLevel="0" collapsed="false">
      <c r="A885" s="0" t="s">
        <v>115</v>
      </c>
      <c r="B885" s="0" t="s">
        <v>112</v>
      </c>
      <c r="C885" s="0" t="n">
        <v>28</v>
      </c>
      <c r="D885" s="0" t="n">
        <v>45</v>
      </c>
      <c r="E885" s="0" t="n">
        <v>145</v>
      </c>
      <c r="F885" s="0" t="n">
        <v>255</v>
      </c>
      <c r="G885" s="0" t="n">
        <v>265</v>
      </c>
      <c r="H885" s="0" t="n">
        <v>394</v>
      </c>
      <c r="I885" s="0" t="n">
        <v>0</v>
      </c>
      <c r="J885" s="0" t="n">
        <v>3</v>
      </c>
      <c r="K885" s="0" t="n">
        <v>0</v>
      </c>
      <c r="L885" s="0" t="n">
        <v>1</v>
      </c>
      <c r="M885" s="0" t="n">
        <f aca="false">VLOOKUP(A885,'Team Data'!$A$1:$P$133,2,FALSE())</f>
        <v>9</v>
      </c>
      <c r="N885" s="0" t="n">
        <f aca="false">VLOOKUP(A885,'Team Data'!$A$1:$P$133,3,FALSE())</f>
        <v>5</v>
      </c>
      <c r="O885" s="0" t="n">
        <f aca="false">VLOOKUP(B885,'Team Data'!$A$1:$P$133,2,FALSE())</f>
        <v>12</v>
      </c>
      <c r="P885" s="0" t="n">
        <f aca="false">VLOOKUP(B885,'Team Data'!$A$1:$P$133,3,FALSE())</f>
        <v>2</v>
      </c>
      <c r="Q885" s="0" t="n">
        <f aca="false">VLOOKUP(A885,'Team Data'!$A$1:$P$133,4,FALSE())</f>
        <v>98</v>
      </c>
      <c r="R885" s="0" t="n">
        <f aca="false">VLOOKUP(A885,'Team Data'!$A$1:$P$133,5,FALSE())</f>
        <v>188</v>
      </c>
      <c r="S885" s="0" t="n">
        <f aca="false">VLOOKUP(B885,'Team Data'!$A$1:$P$133,4,FALSE())</f>
        <v>100</v>
      </c>
      <c r="T885" s="0" t="n">
        <f aca="false">VLOOKUP(B885,'Team Data'!$A$1:$P$133,5,FALSE())</f>
        <v>190</v>
      </c>
      <c r="U885" s="0" t="n">
        <f aca="false">IF(K885=1,(MIN(35,(C885-D885)))*(O885/(O885+P885))*(S885/(S885+T885)),(MAX(-35,(C885-D885)))*(IF(P885=0,0.1,(P885/(O885+P885))))*(T885/(S885+T885)))</f>
        <v>-1.59113300492611</v>
      </c>
      <c r="V885" s="0" t="n">
        <f aca="false">IF(L885=1,(MIN(35,(D885-C885)))*(M885/(M885+N885))*(Q885/(Q885+R885)),(MAX(-35,(D885-C885)))*(IF(N885=0,0.1,(N885/(M885+N885))))*(R885/(R885+Q885)))</f>
        <v>3.74475524475525</v>
      </c>
    </row>
    <row r="886" customFormat="false" ht="15" hidden="false" customHeight="false" outlineLevel="0" collapsed="false">
      <c r="A886" s="0" t="s">
        <v>27</v>
      </c>
      <c r="B886" s="0" t="s">
        <v>77</v>
      </c>
      <c r="C886" s="0" t="n">
        <v>39</v>
      </c>
      <c r="D886" s="0" t="n">
        <v>10</v>
      </c>
      <c r="E886" s="0" t="n">
        <v>68</v>
      </c>
      <c r="F886" s="0" t="n">
        <v>111</v>
      </c>
      <c r="G886" s="0" t="n">
        <v>317</v>
      </c>
      <c r="H886" s="0" t="n">
        <v>273</v>
      </c>
      <c r="I886" s="0" t="n">
        <v>0</v>
      </c>
      <c r="J886" s="0" t="n">
        <v>3</v>
      </c>
      <c r="K886" s="0" t="n">
        <v>1</v>
      </c>
      <c r="L886" s="0" t="n">
        <v>0</v>
      </c>
      <c r="M886" s="0" t="n">
        <f aca="false">VLOOKUP(A886,'Team Data'!$A$1:$P$133,2,FALSE())</f>
        <v>11</v>
      </c>
      <c r="N886" s="0" t="n">
        <f aca="false">VLOOKUP(A886,'Team Data'!$A$1:$P$133,3,FALSE())</f>
        <v>3</v>
      </c>
      <c r="O886" s="0" t="n">
        <f aca="false">VLOOKUP(B886,'Team Data'!$A$1:$P$133,2,FALSE())</f>
        <v>9</v>
      </c>
      <c r="P886" s="0" t="n">
        <f aca="false">VLOOKUP(B886,'Team Data'!$A$1:$P$133,3,FALSE())</f>
        <v>5</v>
      </c>
      <c r="Q886" s="0" t="n">
        <f aca="false">VLOOKUP(A886,'Team Data'!$A$1:$P$133,4,FALSE())</f>
        <v>102</v>
      </c>
      <c r="R886" s="0" t="n">
        <f aca="false">VLOOKUP(A886,'Team Data'!$A$1:$P$133,5,FALSE())</f>
        <v>184</v>
      </c>
      <c r="S886" s="0" t="n">
        <f aca="false">VLOOKUP(B886,'Team Data'!$A$1:$P$133,4,FALSE())</f>
        <v>98</v>
      </c>
      <c r="T886" s="0" t="n">
        <f aca="false">VLOOKUP(B886,'Team Data'!$A$1:$P$133,5,FALSE())</f>
        <v>183</v>
      </c>
      <c r="U886" s="0" t="n">
        <f aca="false">IF(K886=1,(MIN(35,(C886-D886)))*(O886/(O886+P886))*(S886/(S886+T886)),(MAX(-35,(C886-D886)))*(IF(P886=0,0.1,(P886/(O886+P886))))*(T886/(S886+T886)))</f>
        <v>6.50177935943061</v>
      </c>
      <c r="V886" s="0" t="n">
        <f aca="false">IF(L886=1,(MIN(35,(D886-C886)))*(M886/(M886+N886))*(Q886/(Q886+R886)),(MAX(-35,(D886-C886)))*(IF(N886=0,0.1,(N886/(M886+N886))))*(R886/(R886+Q886)))</f>
        <v>-3.998001998002</v>
      </c>
    </row>
    <row r="887" customFormat="false" ht="15" hidden="false" customHeight="false" outlineLevel="0" collapsed="false">
      <c r="A887" s="0" t="s">
        <v>51</v>
      </c>
      <c r="B887" s="0" t="s">
        <v>103</v>
      </c>
      <c r="C887" s="0" t="n">
        <v>31</v>
      </c>
      <c r="D887" s="0" t="n">
        <v>28</v>
      </c>
      <c r="E887" s="0" t="n">
        <v>205</v>
      </c>
      <c r="F887" s="0" t="n">
        <v>218</v>
      </c>
      <c r="G887" s="0" t="n">
        <v>199</v>
      </c>
      <c r="H887" s="0" t="n">
        <v>251</v>
      </c>
      <c r="I887" s="0" t="n">
        <v>1</v>
      </c>
      <c r="J887" s="0" t="n">
        <v>2</v>
      </c>
      <c r="K887" s="0" t="n">
        <v>1</v>
      </c>
      <c r="L887" s="0" t="n">
        <v>0</v>
      </c>
      <c r="M887" s="0" t="n">
        <f aca="false">VLOOKUP(A887,'Team Data'!$A$1:$P$133,2,FALSE())</f>
        <v>10</v>
      </c>
      <c r="N887" s="0" t="n">
        <f aca="false">VLOOKUP(A887,'Team Data'!$A$1:$P$133,3,FALSE())</f>
        <v>4</v>
      </c>
      <c r="O887" s="0" t="n">
        <f aca="false">VLOOKUP(B887,'Team Data'!$A$1:$P$133,2,FALSE())</f>
        <v>13</v>
      </c>
      <c r="P887" s="0" t="n">
        <f aca="false">VLOOKUP(B887,'Team Data'!$A$1:$P$133,3,FALSE())</f>
        <v>2</v>
      </c>
      <c r="Q887" s="0" t="n">
        <f aca="false">VLOOKUP(A887,'Team Data'!$A$1:$P$133,4,FALSE())</f>
        <v>113</v>
      </c>
      <c r="R887" s="0" t="n">
        <f aca="false">VLOOKUP(A887,'Team Data'!$A$1:$P$133,5,FALSE())</f>
        <v>179</v>
      </c>
      <c r="S887" s="0" t="n">
        <f aca="false">VLOOKUP(B887,'Team Data'!$A$1:$P$133,4,FALSE())</f>
        <v>114</v>
      </c>
      <c r="T887" s="0" t="n">
        <f aca="false">VLOOKUP(B887,'Team Data'!$A$1:$P$133,5,FALSE())</f>
        <v>190</v>
      </c>
      <c r="U887" s="0" t="n">
        <f aca="false">IF(K887=1,(MIN(35,(C887-D887)))*(O887/(O887+P887))*(S887/(S887+T887)),(MAX(-35,(C887-D887)))*(IF(P887=0,0.1,(P887/(O887+P887))))*(T887/(S887+T887)))</f>
        <v>0.975</v>
      </c>
      <c r="V887" s="0" t="n">
        <f aca="false">IF(L887=1,(MIN(35,(D887-C887)))*(M887/(M887+N887))*(Q887/(Q887+R887)),(MAX(-35,(D887-C887)))*(IF(N887=0,0.1,(N887/(M887+N887))))*(R887/(R887+Q887)))</f>
        <v>-0.525440313111546</v>
      </c>
    </row>
    <row r="888" customFormat="false" ht="15" hidden="false" customHeight="false" outlineLevel="0" collapsed="false">
      <c r="A888" s="0" t="s">
        <v>92</v>
      </c>
      <c r="B888" s="0" t="s">
        <v>65</v>
      </c>
      <c r="C888" s="0" t="n">
        <v>22</v>
      </c>
      <c r="D888" s="0" t="n">
        <v>43</v>
      </c>
      <c r="E888" s="0" t="n">
        <v>90</v>
      </c>
      <c r="F888" s="0" t="n">
        <v>225</v>
      </c>
      <c r="G888" s="0" t="n">
        <v>366</v>
      </c>
      <c r="H888" s="0" t="n">
        <v>161</v>
      </c>
      <c r="I888" s="0" t="n">
        <v>2</v>
      </c>
      <c r="J888" s="0" t="n">
        <v>1</v>
      </c>
      <c r="K888" s="0" t="n">
        <v>0</v>
      </c>
      <c r="L888" s="0" t="n">
        <v>1</v>
      </c>
      <c r="M888" s="0" t="n">
        <f aca="false">VLOOKUP(A888,'Team Data'!$A$1:$P$133,2,FALSE())</f>
        <v>8</v>
      </c>
      <c r="N888" s="0" t="n">
        <f aca="false">VLOOKUP(A888,'Team Data'!$A$1:$P$133,3,FALSE())</f>
        <v>6</v>
      </c>
      <c r="O888" s="0" t="n">
        <f aca="false">VLOOKUP(B888,'Team Data'!$A$1:$P$133,2,FALSE())</f>
        <v>13</v>
      </c>
      <c r="P888" s="0" t="n">
        <f aca="false">VLOOKUP(B888,'Team Data'!$A$1:$P$133,3,FALSE())</f>
        <v>1</v>
      </c>
      <c r="Q888" s="0" t="n">
        <f aca="false">VLOOKUP(A888,'Team Data'!$A$1:$P$133,4,FALSE())</f>
        <v>103</v>
      </c>
      <c r="R888" s="0" t="n">
        <f aca="false">VLOOKUP(A888,'Team Data'!$A$1:$P$133,5,FALSE())</f>
        <v>184</v>
      </c>
      <c r="S888" s="0" t="n">
        <f aca="false">VLOOKUP(B888,'Team Data'!$A$1:$P$133,4,FALSE())</f>
        <v>96</v>
      </c>
      <c r="T888" s="0" t="n">
        <f aca="false">VLOOKUP(B888,'Team Data'!$A$1:$P$133,5,FALSE())</f>
        <v>84</v>
      </c>
      <c r="U888" s="0" t="n">
        <f aca="false">IF(K888=1,(MIN(35,(C888-D888)))*(O888/(O888+P888))*(S888/(S888+T888)),(MAX(-35,(C888-D888)))*(IF(P888=0,0.1,(P888/(O888+P888))))*(T888/(S888+T888)))</f>
        <v>-0.7</v>
      </c>
      <c r="V888" s="0" t="n">
        <f aca="false">IF(L888=1,(MIN(35,(D888-C888)))*(M888/(M888+N888))*(Q888/(Q888+R888)),(MAX(-35,(D888-C888)))*(IF(N888=0,0.1,(N888/(M888+N888))))*(R888/(R888+Q888)))</f>
        <v>4.30662020905923</v>
      </c>
    </row>
    <row r="889" customFormat="false" ht="15" hidden="false" customHeight="false" outlineLevel="0" collapsed="false">
      <c r="A889" s="0" t="s">
        <v>78</v>
      </c>
      <c r="B889" s="0" t="s">
        <v>123</v>
      </c>
      <c r="C889" s="0" t="n">
        <v>27</v>
      </c>
      <c r="D889" s="0" t="n">
        <v>48</v>
      </c>
      <c r="E889" s="0" t="n">
        <v>144</v>
      </c>
      <c r="F889" s="0" t="n">
        <v>227</v>
      </c>
      <c r="G889" s="0" t="n">
        <v>194</v>
      </c>
      <c r="H889" s="0" t="n">
        <v>344</v>
      </c>
      <c r="I889" s="0" t="n">
        <v>2</v>
      </c>
      <c r="J889" s="0" t="n">
        <v>0</v>
      </c>
      <c r="K889" s="0" t="n">
        <v>0</v>
      </c>
      <c r="L889" s="0" t="n">
        <v>1</v>
      </c>
      <c r="M889" s="0" t="n">
        <f aca="false">VLOOKUP(A889,'Team Data'!$A$1:$P$133,2,FALSE())</f>
        <v>7</v>
      </c>
      <c r="N889" s="0" t="n">
        <f aca="false">VLOOKUP(A889,'Team Data'!$A$1:$P$133,3,FALSE())</f>
        <v>7</v>
      </c>
      <c r="O889" s="0" t="n">
        <f aca="false">VLOOKUP(B889,'Team Data'!$A$1:$P$133,2,FALSE())</f>
        <v>11</v>
      </c>
      <c r="P889" s="0" t="n">
        <f aca="false">VLOOKUP(B889,'Team Data'!$A$1:$P$133,3,FALSE())</f>
        <v>3</v>
      </c>
      <c r="Q889" s="0" t="n">
        <f aca="false">VLOOKUP(A889,'Team Data'!$A$1:$P$133,4,FALSE())</f>
        <v>97</v>
      </c>
      <c r="R889" s="0" t="n">
        <f aca="false">VLOOKUP(A889,'Team Data'!$A$1:$P$133,5,FALSE())</f>
        <v>191</v>
      </c>
      <c r="S889" s="0" t="n">
        <f aca="false">VLOOKUP(B889,'Team Data'!$A$1:$P$133,4,FALSE())</f>
        <v>97</v>
      </c>
      <c r="T889" s="0" t="n">
        <f aca="false">VLOOKUP(B889,'Team Data'!$A$1:$P$133,5,FALSE())</f>
        <v>192</v>
      </c>
      <c r="U889" s="0" t="n">
        <f aca="false">IF(K889=1,(MIN(35,(C889-D889)))*(O889/(O889+P889))*(S889/(S889+T889)),(MAX(-35,(C889-D889)))*(IF(P889=0,0.1,(P889/(O889+P889))))*(T889/(S889+T889)))</f>
        <v>-2.98961937716263</v>
      </c>
      <c r="V889" s="0" t="n">
        <f aca="false">IF(L889=1,(MIN(35,(D889-C889)))*(M889/(M889+N889))*(Q889/(Q889+R889)),(MAX(-35,(D889-C889)))*(IF(N889=0,0.1,(N889/(M889+N889))))*(R889/(R889+Q889)))</f>
        <v>3.53645833333333</v>
      </c>
    </row>
    <row r="890" customFormat="false" ht="15" hidden="false" customHeight="false" outlineLevel="0" collapsed="false">
      <c r="A890" s="0" t="s">
        <v>110</v>
      </c>
      <c r="B890" s="0" t="s">
        <v>82</v>
      </c>
      <c r="C890" s="0" t="n">
        <v>17</v>
      </c>
      <c r="D890" s="0" t="n">
        <v>7</v>
      </c>
      <c r="E890" s="0" t="n">
        <v>237</v>
      </c>
      <c r="F890" s="0" t="n">
        <v>99</v>
      </c>
      <c r="G890" s="0" t="n">
        <v>154</v>
      </c>
      <c r="H890" s="0" t="n">
        <v>163</v>
      </c>
      <c r="I890" s="0" t="n">
        <v>0</v>
      </c>
      <c r="J890" s="0" t="n">
        <v>1</v>
      </c>
      <c r="K890" s="0" t="n">
        <v>1</v>
      </c>
      <c r="L890" s="0" t="n">
        <v>0</v>
      </c>
      <c r="M890" s="0" t="n">
        <f aca="false">VLOOKUP(A890,'Team Data'!$A$1:$P$133,2,FALSE())</f>
        <v>9</v>
      </c>
      <c r="N890" s="0" t="n">
        <f aca="false">VLOOKUP(A890,'Team Data'!$A$1:$P$133,3,FALSE())</f>
        <v>5</v>
      </c>
      <c r="O890" s="0" t="n">
        <f aca="false">VLOOKUP(B890,'Team Data'!$A$1:$P$133,2,FALSE())</f>
        <v>10</v>
      </c>
      <c r="P890" s="0" t="n">
        <f aca="false">VLOOKUP(B890,'Team Data'!$A$1:$P$133,3,FALSE())</f>
        <v>4</v>
      </c>
      <c r="Q890" s="0" t="n">
        <f aca="false">VLOOKUP(A890,'Team Data'!$A$1:$P$133,4,FALSE())</f>
        <v>89</v>
      </c>
      <c r="R890" s="0" t="n">
        <f aca="false">VLOOKUP(A890,'Team Data'!$A$1:$P$133,5,FALSE())</f>
        <v>195</v>
      </c>
      <c r="S890" s="0" t="n">
        <f aca="false">VLOOKUP(B890,'Team Data'!$A$1:$P$133,4,FALSE())</f>
        <v>83</v>
      </c>
      <c r="T890" s="0" t="n">
        <f aca="false">VLOOKUP(B890,'Team Data'!$A$1:$P$133,5,FALSE())</f>
        <v>200</v>
      </c>
      <c r="U890" s="0" t="n">
        <f aca="false">IF(K890=1,(MIN(35,(C890-D890)))*(O890/(O890+P890))*(S890/(S890+T890)),(MAX(-35,(C890-D890)))*(IF(P890=0,0.1,(P890/(O890+P890))))*(T890/(S890+T890)))</f>
        <v>2.09490156486623</v>
      </c>
      <c r="V890" s="0" t="n">
        <f aca="false">IF(L890=1,(MIN(35,(D890-C890)))*(M890/(M890+N890))*(Q890/(Q890+R890)),(MAX(-35,(D890-C890)))*(IF(N890=0,0.1,(N890/(M890+N890))))*(R890/(R890+Q890)))</f>
        <v>-2.45221327967807</v>
      </c>
    </row>
    <row r="891" customFormat="false" ht="15" hidden="false" customHeight="false" outlineLevel="0" collapsed="false">
      <c r="A891" s="0" t="s">
        <v>38</v>
      </c>
      <c r="B891" s="0" t="s">
        <v>19</v>
      </c>
      <c r="C891" s="0" t="n">
        <v>28</v>
      </c>
      <c r="D891" s="0" t="n">
        <v>16</v>
      </c>
      <c r="E891" s="0" t="n">
        <v>61</v>
      </c>
      <c r="F891" s="0" t="n">
        <v>146</v>
      </c>
      <c r="G891" s="0" t="n">
        <v>184</v>
      </c>
      <c r="H891" s="0" t="n">
        <v>175</v>
      </c>
      <c r="I891" s="0" t="n">
        <v>0</v>
      </c>
      <c r="J891" s="0" t="n">
        <v>2</v>
      </c>
      <c r="K891" s="0" t="n">
        <v>1</v>
      </c>
      <c r="L891" s="0" t="n">
        <v>0</v>
      </c>
      <c r="M891" s="0" t="n">
        <f aca="false">VLOOKUP(A891,'Team Data'!$A$1:$P$133,2,FALSE())</f>
        <v>10</v>
      </c>
      <c r="N891" s="0" t="n">
        <f aca="false">VLOOKUP(A891,'Team Data'!$A$1:$P$133,3,FALSE())</f>
        <v>4</v>
      </c>
      <c r="O891" s="0" t="n">
        <f aca="false">VLOOKUP(B891,'Team Data'!$A$1:$P$133,2,FALSE())</f>
        <v>10</v>
      </c>
      <c r="P891" s="0" t="n">
        <f aca="false">VLOOKUP(B891,'Team Data'!$A$1:$P$133,3,FALSE())</f>
        <v>4</v>
      </c>
      <c r="Q891" s="0" t="n">
        <f aca="false">VLOOKUP(A891,'Team Data'!$A$1:$P$133,4,FALSE())</f>
        <v>95</v>
      </c>
      <c r="R891" s="0" t="n">
        <f aca="false">VLOOKUP(A891,'Team Data'!$A$1:$P$133,5,FALSE())</f>
        <v>193</v>
      </c>
      <c r="S891" s="0" t="n">
        <f aca="false">VLOOKUP(B891,'Team Data'!$A$1:$P$133,4,FALSE())</f>
        <v>95</v>
      </c>
      <c r="T891" s="0" t="n">
        <f aca="false">VLOOKUP(B891,'Team Data'!$A$1:$P$133,5,FALSE())</f>
        <v>193</v>
      </c>
      <c r="U891" s="0" t="n">
        <f aca="false">IF(K891=1,(MIN(35,(C891-D891)))*(O891/(O891+P891))*(S891/(S891+T891)),(MAX(-35,(C891-D891)))*(IF(P891=0,0.1,(P891/(O891+P891))))*(T891/(S891+T891)))</f>
        <v>2.82738095238095</v>
      </c>
      <c r="V891" s="0" t="n">
        <f aca="false">IF(L891=1,(MIN(35,(D891-C891)))*(M891/(M891+N891))*(Q891/(Q891+R891)),(MAX(-35,(D891-C891)))*(IF(N891=0,0.1,(N891/(M891+N891))))*(R891/(R891+Q891)))</f>
        <v>-2.29761904761905</v>
      </c>
    </row>
    <row r="892" customFormat="false" ht="15" hidden="false" customHeight="false" outlineLevel="0" collapsed="false">
      <c r="A892" s="0" t="s">
        <v>124</v>
      </c>
      <c r="B892" s="0" t="s">
        <v>120</v>
      </c>
      <c r="C892" s="0" t="n">
        <v>47</v>
      </c>
      <c r="D892" s="0" t="n">
        <v>24</v>
      </c>
      <c r="E892" s="0" t="n">
        <v>223</v>
      </c>
      <c r="F892" s="0" t="n">
        <v>56</v>
      </c>
      <c r="G892" s="0" t="n">
        <v>310</v>
      </c>
      <c r="H892" s="0" t="n">
        <v>363</v>
      </c>
      <c r="I892" s="0" t="n">
        <v>1</v>
      </c>
      <c r="J892" s="0" t="n">
        <v>2</v>
      </c>
      <c r="K892" s="0" t="n">
        <v>1</v>
      </c>
      <c r="L892" s="0" t="n">
        <v>0</v>
      </c>
      <c r="M892" s="0" t="n">
        <f aca="false">VLOOKUP(A892,'Team Data'!$A$1:$P$133,2,FALSE())</f>
        <v>10</v>
      </c>
      <c r="N892" s="0" t="n">
        <f aca="false">VLOOKUP(A892,'Team Data'!$A$1:$P$133,3,FALSE())</f>
        <v>4</v>
      </c>
      <c r="O892" s="0" t="n">
        <f aca="false">VLOOKUP(B892,'Team Data'!$A$1:$P$133,2,FALSE())</f>
        <v>11</v>
      </c>
      <c r="P892" s="0" t="n">
        <f aca="false">VLOOKUP(B892,'Team Data'!$A$1:$P$133,3,FALSE())</f>
        <v>3</v>
      </c>
      <c r="Q892" s="0" t="n">
        <f aca="false">VLOOKUP(A892,'Team Data'!$A$1:$P$133,4,FALSE())</f>
        <v>102</v>
      </c>
      <c r="R892" s="0" t="n">
        <f aca="false">VLOOKUP(A892,'Team Data'!$A$1:$P$133,5,FALSE())</f>
        <v>185</v>
      </c>
      <c r="S892" s="0" t="n">
        <f aca="false">VLOOKUP(B892,'Team Data'!$A$1:$P$133,4,FALSE())</f>
        <v>98</v>
      </c>
      <c r="T892" s="0" t="n">
        <f aca="false">VLOOKUP(B892,'Team Data'!$A$1:$P$133,5,FALSE())</f>
        <v>83</v>
      </c>
      <c r="U892" s="0" t="n">
        <f aca="false">IF(K892=1,(MIN(35,(C892-D892)))*(O892/(O892+P892))*(S892/(S892+T892)),(MAX(-35,(C892-D892)))*(IF(P892=0,0.1,(P892/(O892+P892))))*(T892/(S892+T892)))</f>
        <v>9.78453038674033</v>
      </c>
      <c r="V892" s="0" t="n">
        <f aca="false">IF(L892=1,(MIN(35,(D892-C892)))*(M892/(M892+N892))*(Q892/(Q892+R892)),(MAX(-35,(D892-C892)))*(IF(N892=0,0.1,(N892/(M892+N892))))*(R892/(R892+Q892)))</f>
        <v>-4.23593827775012</v>
      </c>
    </row>
    <row r="893" customFormat="false" ht="15" hidden="false" customHeight="false" outlineLevel="0" collapsed="false">
      <c r="A893" s="0" t="s">
        <v>54</v>
      </c>
      <c r="B893" s="0" t="s">
        <v>39</v>
      </c>
      <c r="C893" s="0" t="n">
        <v>30</v>
      </c>
      <c r="D893" s="0" t="n">
        <v>50</v>
      </c>
      <c r="E893" s="0" t="n">
        <v>47</v>
      </c>
      <c r="F893" s="0" t="n">
        <v>255</v>
      </c>
      <c r="G893" s="0" t="n">
        <v>502</v>
      </c>
      <c r="H893" s="0" t="n">
        <v>274</v>
      </c>
      <c r="I893" s="0" t="n">
        <v>3</v>
      </c>
      <c r="J893" s="0" t="n">
        <v>1</v>
      </c>
      <c r="K893" s="0" t="n">
        <v>0</v>
      </c>
      <c r="L893" s="0" t="n">
        <v>1</v>
      </c>
      <c r="M893" s="0" t="n">
        <f aca="false">VLOOKUP(A893,'Team Data'!$A$1:$P$133,2,FALSE())</f>
        <v>10</v>
      </c>
      <c r="N893" s="0" t="n">
        <f aca="false">VLOOKUP(A893,'Team Data'!$A$1:$P$133,3,FALSE())</f>
        <v>4</v>
      </c>
      <c r="O893" s="0" t="n">
        <f aca="false">VLOOKUP(B893,'Team Data'!$A$1:$P$133,2,FALSE())</f>
        <v>15</v>
      </c>
      <c r="P893" s="0" t="n">
        <f aca="false">VLOOKUP(B893,'Team Data'!$A$1:$P$133,3,FALSE())</f>
        <v>0</v>
      </c>
      <c r="Q893" s="0" t="n">
        <f aca="false">VLOOKUP(A893,'Team Data'!$A$1:$P$133,4,FALSE())</f>
        <v>112</v>
      </c>
      <c r="R893" s="0" t="n">
        <f aca="false">VLOOKUP(A893,'Team Data'!$A$1:$P$133,5,FALSE())</f>
        <v>177</v>
      </c>
      <c r="S893" s="0" t="n">
        <f aca="false">VLOOKUP(B893,'Team Data'!$A$1:$P$133,4,FALSE())</f>
        <v>119</v>
      </c>
      <c r="T893" s="0" t="n">
        <f aca="false">VLOOKUP(B893,'Team Data'!$A$1:$P$133,5,FALSE())</f>
        <v>182</v>
      </c>
      <c r="U893" s="0" t="n">
        <f aca="false">IF(K893=1,(MIN(35,(C893-D893)))*(O893/(O893+P893))*(S893/(S893+T893)),(MAX(-35,(C893-D893)))*(IF(P893=0,0.1,(P893/(O893+P893))))*(T893/(S893+T893)))</f>
        <v>-1.2093023255814</v>
      </c>
      <c r="V893" s="0" t="n">
        <f aca="false">IF(L893=1,(MIN(35,(D893-C893)))*(M893/(M893+N893))*(Q893/(Q893+R893)),(MAX(-35,(D893-C893)))*(IF(N893=0,0.1,(N893/(M893+N893))))*(R893/(R893+Q893)))</f>
        <v>5.5363321799308</v>
      </c>
    </row>
    <row r="894" customFormat="false" ht="15" hidden="false" customHeight="false" outlineLevel="0" collapsed="false">
      <c r="A894" s="0" t="s">
        <v>28</v>
      </c>
      <c r="B894" s="0" t="s">
        <v>111</v>
      </c>
      <c r="C894" s="0" t="n">
        <v>26</v>
      </c>
      <c r="D894" s="0" t="n">
        <v>45</v>
      </c>
      <c r="E894" s="0" t="n">
        <v>113</v>
      </c>
      <c r="F894" s="0" t="n">
        <v>93</v>
      </c>
      <c r="G894" s="0" t="n">
        <v>319</v>
      </c>
      <c r="H894" s="0" t="n">
        <v>319</v>
      </c>
      <c r="I894" s="0" t="n">
        <v>2</v>
      </c>
      <c r="J894" s="0" t="n">
        <v>0</v>
      </c>
      <c r="K894" s="0" t="n">
        <v>0</v>
      </c>
      <c r="L894" s="0" t="n">
        <v>1</v>
      </c>
      <c r="M894" s="0" t="n">
        <f aca="false">VLOOKUP(A894,'Team Data'!$A$1:$P$133,2,FALSE())</f>
        <v>9</v>
      </c>
      <c r="N894" s="0" t="n">
        <f aca="false">VLOOKUP(A894,'Team Data'!$A$1:$P$133,3,FALSE())</f>
        <v>4</v>
      </c>
      <c r="O894" s="0" t="n">
        <f aca="false">VLOOKUP(B894,'Team Data'!$A$1:$P$133,2,FALSE())</f>
        <v>12</v>
      </c>
      <c r="P894" s="0" t="n">
        <f aca="false">VLOOKUP(B894,'Team Data'!$A$1:$P$133,3,FALSE())</f>
        <v>2</v>
      </c>
      <c r="Q894" s="0" t="n">
        <f aca="false">VLOOKUP(A894,'Team Data'!$A$1:$P$133,4,FALSE())</f>
        <v>88</v>
      </c>
      <c r="R894" s="0" t="n">
        <f aca="false">VLOOKUP(A894,'Team Data'!$A$1:$P$133,5,FALSE())</f>
        <v>182</v>
      </c>
      <c r="S894" s="0" t="n">
        <f aca="false">VLOOKUP(B894,'Team Data'!$A$1:$P$133,4,FALSE())</f>
        <v>100</v>
      </c>
      <c r="T894" s="0" t="n">
        <f aca="false">VLOOKUP(B894,'Team Data'!$A$1:$P$133,5,FALSE())</f>
        <v>186</v>
      </c>
      <c r="U894" s="0" t="n">
        <f aca="false">IF(K894=1,(MIN(35,(C894-D894)))*(O894/(O894+P894))*(S894/(S894+T894)),(MAX(-35,(C894-D894)))*(IF(P894=0,0.1,(P894/(O894+P894))))*(T894/(S894+T894)))</f>
        <v>-1.76523476523476</v>
      </c>
      <c r="V894" s="0" t="n">
        <f aca="false">IF(L894=1,(MIN(35,(D894-C894)))*(M894/(M894+N894))*(Q894/(Q894+R894)),(MAX(-35,(D894-C894)))*(IF(N894=0,0.1,(N894/(M894+N894))))*(R894/(R894+Q894)))</f>
        <v>4.28717948717949</v>
      </c>
    </row>
    <row r="895" customFormat="false" ht="15" hidden="false" customHeight="false" outlineLevel="0" collapsed="false">
      <c r="A895" s="0" t="s">
        <v>7</v>
      </c>
      <c r="B895" s="0" t="s">
        <v>22</v>
      </c>
      <c r="C895" s="0" t="n">
        <v>22</v>
      </c>
      <c r="D895" s="0" t="n">
        <v>23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1</v>
      </c>
      <c r="M895" s="0" t="n">
        <f aca="false">VLOOKUP(A895,'Team Data'!$A$1:$P$133,2,FALSE())</f>
        <v>2</v>
      </c>
      <c r="N895" s="0" t="n">
        <f aca="false">VLOOKUP(A895,'Team Data'!$A$1:$P$133,3,FALSE())</f>
        <v>10</v>
      </c>
      <c r="O895" s="0" t="n">
        <f aca="false">VLOOKUP(B895,'Team Data'!$A$1:$P$133,2,FALSE())</f>
        <v>7</v>
      </c>
      <c r="P895" s="0" t="n">
        <f aca="false">VLOOKUP(B895,'Team Data'!$A$1:$P$133,3,FALSE())</f>
        <v>6</v>
      </c>
      <c r="Q895" s="0" t="n">
        <f aca="false">VLOOKUP(A895,'Team Data'!$A$1:$P$133,4,FALSE())</f>
        <v>82</v>
      </c>
      <c r="R895" s="0" t="n">
        <f aca="false">VLOOKUP(A895,'Team Data'!$A$1:$P$133,5,FALSE())</f>
        <v>178</v>
      </c>
      <c r="S895" s="0" t="n">
        <f aca="false">VLOOKUP(B895,'Team Data'!$A$1:$P$133,4,FALSE())</f>
        <v>83</v>
      </c>
      <c r="T895" s="0" t="n">
        <f aca="false">VLOOKUP(B895,'Team Data'!$A$1:$P$133,5,FALSE())</f>
        <v>191</v>
      </c>
      <c r="U895" s="0" t="n">
        <f aca="false">IF(K895=1,(MIN(35,(C895-D895)))*(O895/(O895+P895))*(S895/(S895+T895)),(MAX(-35,(C895-D895)))*(IF(P895=0,0.1,(P895/(O895+P895))))*(T895/(S895+T895)))</f>
        <v>-0.321729365524986</v>
      </c>
      <c r="V895" s="0" t="n">
        <f aca="false">IF(L895=1,(MIN(35,(D895-C895)))*(M895/(M895+N895))*(Q895/(Q895+R895)),(MAX(-35,(D895-C895)))*(IF(N895=0,0.1,(N895/(M895+N895))))*(R895/(R895+Q895)))</f>
        <v>0.0525641025641026</v>
      </c>
    </row>
    <row r="896" customFormat="false" ht="15" hidden="false" customHeight="false" outlineLevel="0" collapsed="false">
      <c r="A896" s="0" t="s">
        <v>198</v>
      </c>
      <c r="B896" s="0" t="s">
        <v>76</v>
      </c>
      <c r="C896" s="0" t="n">
        <v>3</v>
      </c>
      <c r="D896" s="0" t="n">
        <v>65</v>
      </c>
      <c r="E896" s="0" t="n">
        <v>28</v>
      </c>
      <c r="F896" s="0" t="n">
        <v>232</v>
      </c>
      <c r="G896" s="0" t="n">
        <v>160</v>
      </c>
      <c r="H896" s="0" t="n">
        <v>389</v>
      </c>
      <c r="I896" s="0" t="n">
        <v>0</v>
      </c>
      <c r="J896" s="0" t="n">
        <v>1</v>
      </c>
      <c r="K896" s="0" t="n">
        <v>0</v>
      </c>
      <c r="L896" s="0" t="n">
        <v>1</v>
      </c>
      <c r="M896" s="0" t="n">
        <f aca="false">VLOOKUP(A896,'Team Data'!$A$1:$P$133,2,FALSE())</f>
        <v>8</v>
      </c>
      <c r="N896" s="0" t="n">
        <f aca="false">VLOOKUP(A896,'Team Data'!$A$1:$P$133,3,FALSE())</f>
        <v>112</v>
      </c>
      <c r="O896" s="0" t="n">
        <f aca="false">VLOOKUP(B896,'Team Data'!$A$1:$P$133,2,FALSE())</f>
        <v>7</v>
      </c>
      <c r="P896" s="0" t="n">
        <f aca="false">VLOOKUP(B896,'Team Data'!$A$1:$P$133,3,FALSE())</f>
        <v>6</v>
      </c>
      <c r="Q896" s="0" t="n">
        <f aca="false">VLOOKUP(A896,'Team Data'!$A$1:$P$133,4,FALSE())</f>
        <v>805</v>
      </c>
      <c r="R896" s="0" t="n">
        <f aca="false">VLOOKUP(A896,'Team Data'!$A$1:$P$133,5,FALSE())</f>
        <v>725</v>
      </c>
      <c r="S896" s="0" t="n">
        <f aca="false">VLOOKUP(B896,'Team Data'!$A$1:$P$133,4,FALSE())</f>
        <v>69</v>
      </c>
      <c r="T896" s="0" t="n">
        <f aca="false">VLOOKUP(B896,'Team Data'!$A$1:$P$133,5,FALSE())</f>
        <v>309</v>
      </c>
      <c r="U896" s="0" t="n">
        <f aca="false">IF(K896=1,(MIN(35,(C896-D896)))*(O896/(O896+P896))*(S896/(S896+T896)),(MAX(-35,(C896-D896)))*(IF(P896=0,0.1,(P896/(O896+P896))))*(T896/(S896+T896)))</f>
        <v>-13.2051282051282</v>
      </c>
      <c r="V896" s="0" t="n">
        <f aca="false">IF(L896=1,(MIN(35,(D896-C896)))*(M896/(M896+N896))*(Q896/(Q896+R896)),(MAX(-35,(D896-C896)))*(IF(N896=0,0.1,(N896/(M896+N896))))*(R896/(R896+Q896)))</f>
        <v>1.2276688453159</v>
      </c>
    </row>
    <row r="897" customFormat="false" ht="15" hidden="false" customHeight="false" outlineLevel="0" collapsed="false">
      <c r="A897" s="0" t="s">
        <v>72</v>
      </c>
      <c r="B897" s="0" t="s">
        <v>14</v>
      </c>
      <c r="C897" s="0" t="n">
        <v>17</v>
      </c>
      <c r="D897" s="0" t="n">
        <v>20</v>
      </c>
      <c r="E897" s="0" t="n">
        <v>259</v>
      </c>
      <c r="F897" s="0" t="n">
        <v>125</v>
      </c>
      <c r="G897" s="0" t="n">
        <v>25</v>
      </c>
      <c r="H897" s="0" t="n">
        <v>28</v>
      </c>
      <c r="I897" s="0" t="n">
        <v>1</v>
      </c>
      <c r="J897" s="0" t="n">
        <v>0</v>
      </c>
      <c r="K897" s="0" t="n">
        <v>0</v>
      </c>
      <c r="L897" s="0" t="n">
        <v>1</v>
      </c>
      <c r="M897" s="0" t="n">
        <f aca="false">VLOOKUP(A897,'Team Data'!$A$1:$P$133,2,FALSE())</f>
        <v>4</v>
      </c>
      <c r="N897" s="0" t="n">
        <f aca="false">VLOOKUP(A897,'Team Data'!$A$1:$P$133,3,FALSE())</f>
        <v>8</v>
      </c>
      <c r="O897" s="0" t="n">
        <f aca="false">VLOOKUP(B897,'Team Data'!$A$1:$P$133,2,FALSE())</f>
        <v>6</v>
      </c>
      <c r="P897" s="0" t="n">
        <f aca="false">VLOOKUP(B897,'Team Data'!$A$1:$P$133,3,FALSE())</f>
        <v>6</v>
      </c>
      <c r="Q897" s="0" t="n">
        <f aca="false">VLOOKUP(A897,'Team Data'!$A$1:$P$133,4,FALSE())</f>
        <v>89</v>
      </c>
      <c r="R897" s="0" t="n">
        <f aca="false">VLOOKUP(A897,'Team Data'!$A$1:$P$133,5,FALSE())</f>
        <v>172</v>
      </c>
      <c r="S897" s="0" t="n">
        <f aca="false">VLOOKUP(B897,'Team Data'!$A$1:$P$133,4,FALSE())</f>
        <v>85</v>
      </c>
      <c r="T897" s="0" t="n">
        <f aca="false">VLOOKUP(B897,'Team Data'!$A$1:$P$133,5,FALSE())</f>
        <v>283</v>
      </c>
      <c r="U897" s="0" t="n">
        <f aca="false">IF(K897=1,(MIN(35,(C897-D897)))*(O897/(O897+P897))*(S897/(S897+T897)),(MAX(-35,(C897-D897)))*(IF(P897=0,0.1,(P897/(O897+P897))))*(T897/(S897+T897)))</f>
        <v>-1.15353260869565</v>
      </c>
      <c r="V897" s="0" t="n">
        <f aca="false">IF(L897=1,(MIN(35,(D897-C897)))*(M897/(M897+N897))*(Q897/(Q897+R897)),(MAX(-35,(D897-C897)))*(IF(N897=0,0.1,(N897/(M897+N897))))*(R897/(R897+Q897)))</f>
        <v>0.340996168582375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/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</row>
    <row r="2" customFormat="false" ht="15" hidden="false" customHeight="false" outlineLevel="0" collapsed="false">
      <c r="A2" s="0" t="s">
        <v>6</v>
      </c>
      <c r="B2" s="0" t="n">
        <f aca="false">SUMIF(Games!$A$2:$A$897,$A2,Games!$K$2:$K$897)+SUMIF(Games!$B$2:$B$897,$A2,Games!$L$2:$L$897)</f>
        <v>10</v>
      </c>
      <c r="C2" s="0" t="n">
        <f aca="false">SUMIF(Games!$A$2:$A$897,$A2,Games!$L$2:$L$897)+SUMIF(Games!$B$2:$B$897,$A2,Games!$K$2:$K$897)</f>
        <v>3</v>
      </c>
      <c r="D2" s="0" t="n">
        <f aca="false">SUMIF(Games!$A$2:$A$897,$A2,Games!$O$2:$O$897)+SUMIF(Games!$B$2:$B$897,$A2,Games!$M$2:$M$897)</f>
        <v>67</v>
      </c>
      <c r="E2" s="0" t="n">
        <f aca="false">SUMIF(Games!$A$2:$A$897,$A2,Games!$P$2:$P$897)+SUMIF(Games!$B$2:$B$897,$A2,Games!$N$2:$N$897)</f>
        <v>203</v>
      </c>
      <c r="F2" s="0" t="n">
        <f aca="false">SUMIF(Games!$A$2:$A$897,$A2,Games!$S$2:$S$897)+SUMIF(Games!$B$2:$B$897,$A2,Games!$Q$2:$Q$897)</f>
        <v>1870</v>
      </c>
      <c r="G2" s="0" t="n">
        <f aca="false">SUMIF(Games!$A$2:$A$897,$A2,Games!$T$2:$T$897)+SUMIF(Games!$B$2:$B$897,$A2,Games!$R$2:$R$897)</f>
        <v>2880</v>
      </c>
      <c r="H2" s="0" t="n">
        <f aca="false">SUMIF(Games!$A$2:$A$897,$A2,Games!$U$2:$U$897)+SUMIF(Games!$B$2:$B$897,$A2,Games!$V$2:$V$897)</f>
        <v>11.9596002702383</v>
      </c>
      <c r="I2" s="0" t="n">
        <f aca="false">SUMIF(Games!$A$2:$A$897,$A2,Games!$E$2:$E$897)+SUMIF(Games!$B$2:$B$897,$A2,Games!$F$2:$F$897)</f>
        <v>4254</v>
      </c>
      <c r="J2" s="0" t="n">
        <f aca="false">IFERROR(I2/(B2+C2),0)</f>
        <v>327.230769230769</v>
      </c>
      <c r="K2" s="0" t="n">
        <f aca="false">SUMIF(Games!$A$2:$A$897,$A2,Games!$F$2:$F$897)+SUMIF(Games!$B$2:$B$897,$A2,Games!$E$2:$E$897)</f>
        <v>1239</v>
      </c>
      <c r="L2" s="0" t="n">
        <f aca="false">SUMIF(Games!$A$2:$A$897,$A2,Games!$G$2:$G$897)+SUMIF(Games!$B$2:$B$897,$A2,Games!$H$2:$H$897)</f>
        <v>916</v>
      </c>
      <c r="M2" s="0" t="n">
        <f aca="false">IFERROR(L2/(B2+C2),0)</f>
        <v>70.4615384615385</v>
      </c>
      <c r="N2" s="0" t="n">
        <f aca="false">SUMIF(Games!$A$2:$A$897,$A2,Games!$H$2:$H$897)+SUMIF(Games!$B$2:$B$897,$A2,Games!$G$2:$G$897)</f>
        <v>2048</v>
      </c>
      <c r="O2" s="0" t="n">
        <f aca="false">SUMIF(Games!$A$2:$A$897,$A2,Games!$I$2:$I$897)+SUMIF(Games!$B$2:$B$897,$A2,Games!$J$2:$J$897)</f>
        <v>13</v>
      </c>
      <c r="P2" s="0" t="n">
        <f aca="false">SUMIF(Games!$A$2:$A$897,$A2,Games!$J$2:$J$897)+SUMIF(Games!$B$2:$B$897,$A2,Games!$I$2:$I$897)</f>
        <v>16</v>
      </c>
      <c r="R2" s="0" t="n">
        <f aca="false">IFERROR((K2+N2)/(B2+C2),0)</f>
        <v>252.846153846154</v>
      </c>
      <c r="S2" s="0" t="n">
        <f aca="false">P2-O2</f>
        <v>3</v>
      </c>
      <c r="T2" s="0" t="n">
        <f aca="false">IFERROR((D2/(D2+E2))*(F2/(F2+G2)),0)</f>
        <v>0.097692007797271</v>
      </c>
      <c r="U2" s="0" t="n">
        <f aca="false">RANK(T2,T$2:T$132)</f>
        <v>129</v>
      </c>
      <c r="V2" s="0" t="n">
        <f aca="false">IFERROR((B2/(B2+C2))*25,0)+IFERROR((D2/(D2+E2))*25,0)+IFERROR((F2/(F2+G2))*10,0)+H2+((J2-RMEAN)/RDEV)*5+((M2-PMEAN)/PDEV)*5+((DMEAN-R2)/DDEV)*7+((S2-TOMEAN)/TODEV)*3</f>
        <v>62.7103392368984</v>
      </c>
    </row>
    <row r="3" customFormat="false" ht="15" hidden="false" customHeight="false" outlineLevel="0" collapsed="false">
      <c r="A3" s="0" t="s">
        <v>7</v>
      </c>
      <c r="B3" s="0" t="n">
        <f aca="false">SUMIF(Games!$A$2:$A$897,$A3,Games!$K$2:$K$897)+SUMIF(Games!$B$2:$B$897,$A3,Games!$L$2:$L$897)</f>
        <v>2</v>
      </c>
      <c r="C3" s="0" t="n">
        <f aca="false">SUMIF(Games!$A$2:$A$897,$A3,Games!$L$2:$L$897)+SUMIF(Games!$B$2:$B$897,$A3,Games!$K$2:$K$897)</f>
        <v>10</v>
      </c>
      <c r="D3" s="0" t="n">
        <f aca="false">SUMIF(Games!$A$2:$A$897,$A3,Games!$O$2:$O$897)+SUMIF(Games!$B$2:$B$897,$A3,Games!$M$2:$M$897)</f>
        <v>82</v>
      </c>
      <c r="E3" s="0" t="n">
        <f aca="false">SUMIF(Games!$A$2:$A$897,$A3,Games!$P$2:$P$897)+SUMIF(Games!$B$2:$B$897,$A3,Games!$N$2:$N$897)</f>
        <v>178</v>
      </c>
      <c r="F3" s="0" t="n">
        <f aca="false">SUMIF(Games!$A$2:$A$897,$A3,Games!$S$2:$S$897)+SUMIF(Games!$B$2:$B$897,$A3,Games!$Q$2:$Q$897)</f>
        <v>1724</v>
      </c>
      <c r="G3" s="0" t="n">
        <f aca="false">SUMIF(Games!$A$2:$A$897,$A3,Games!$T$2:$T$897)+SUMIF(Games!$B$2:$B$897,$A3,Games!$R$2:$R$897)</f>
        <v>2662</v>
      </c>
      <c r="H3" s="0" t="n">
        <f aca="false">SUMIF(Games!$A$2:$A$897,$A3,Games!$U$2:$U$897)+SUMIF(Games!$B$2:$B$897,$A3,Games!$V$2:$V$897)</f>
        <v>-30.8296231410673</v>
      </c>
      <c r="I3" s="0" t="n">
        <f aca="false">SUMIF(Games!$A$2:$A$897,$A3,Games!$E$2:$E$897)+SUMIF(Games!$B$2:$B$897,$A3,Games!$F$2:$F$897)</f>
        <v>1026</v>
      </c>
      <c r="J3" s="0" t="n">
        <f aca="false">IFERROR(I3/(B3+C3),0)</f>
        <v>85.5</v>
      </c>
      <c r="K3" s="0" t="n">
        <f aca="false">SUMIF(Games!$A$2:$A$897,$A3,Games!$F$2:$F$897)+SUMIF(Games!$B$2:$B$897,$A3,Games!$E$2:$E$897)</f>
        <v>1922</v>
      </c>
      <c r="L3" s="0" t="n">
        <f aca="false">SUMIF(Games!$A$2:$A$897,$A3,Games!$G$2:$G$897)+SUMIF(Games!$B$2:$B$897,$A3,Games!$H$2:$H$897)</f>
        <v>3124</v>
      </c>
      <c r="M3" s="0" t="n">
        <f aca="false">IFERROR(L3/(B3+C3),0)</f>
        <v>260.333333333333</v>
      </c>
      <c r="N3" s="0" t="n">
        <f aca="false">SUMIF(Games!$A$2:$A$897,$A3,Games!$H$2:$H$897)+SUMIF(Games!$B$2:$B$897,$A3,Games!$G$2:$G$897)</f>
        <v>2644</v>
      </c>
      <c r="O3" s="0" t="n">
        <f aca="false">SUMIF(Games!$A$2:$A$897,$A3,Games!$I$2:$I$897)+SUMIF(Games!$B$2:$B$897,$A3,Games!$J$2:$J$897)</f>
        <v>22</v>
      </c>
      <c r="P3" s="0" t="n">
        <f aca="false">SUMIF(Games!$A$2:$A$897,$A3,Games!$J$2:$J$897)+SUMIF(Games!$B$2:$B$897,$A3,Games!$I$2:$I$897)</f>
        <v>10</v>
      </c>
      <c r="R3" s="0" t="n">
        <f aca="false">IFERROR((K3+N3)/(B3+C3),0)</f>
        <v>380.5</v>
      </c>
      <c r="S3" s="0" t="n">
        <f aca="false">P3-O3</f>
        <v>-12</v>
      </c>
      <c r="T3" s="0" t="n">
        <f aca="false">IFERROR((D3/(D3+E3))*(F3/(F3+G3)),0)</f>
        <v>0.123967869795503</v>
      </c>
      <c r="U3" s="0" t="n">
        <f aca="false">RANK(T3,T$2:T$132)</f>
        <v>89</v>
      </c>
      <c r="V3" s="0" t="n">
        <f aca="false">IFERROR((B3/(B3+C3))*25,0)+IFERROR((D3/(D3+E3))*25,0)+IFERROR((F3/(F3+G3))*10,0)+H3+((J3-RMEAN)/RDEV)*5+((M3-PMEAN)/PDEV)*5+((DMEAN-R3)/DDEV)*7+((S3-TOMEAN)/TODEV)*3</f>
        <v>-25.9564539700259</v>
      </c>
    </row>
    <row r="4" customFormat="false" ht="15" hidden="false" customHeight="false" outlineLevel="0" collapsed="false">
      <c r="A4" s="0" t="s">
        <v>8</v>
      </c>
      <c r="B4" s="0" t="n">
        <f aca="false">SUMIF(Games!$A$2:$A$897,$A4,Games!$K$2:$K$897)+SUMIF(Games!$B$2:$B$897,$A4,Games!$L$2:$L$897)</f>
        <v>11</v>
      </c>
      <c r="C4" s="0" t="n">
        <f aca="false">SUMIF(Games!$A$2:$A$897,$A4,Games!$L$2:$L$897)+SUMIF(Games!$B$2:$B$897,$A4,Games!$K$2:$K$897)</f>
        <v>2</v>
      </c>
      <c r="D4" s="0" t="n">
        <f aca="false">SUMIF(Games!$A$2:$A$897,$A4,Games!$O$2:$O$897)+SUMIF(Games!$B$2:$B$897,$A4,Games!$M$2:$M$897)</f>
        <v>96</v>
      </c>
      <c r="E4" s="0" t="n">
        <f aca="false">SUMIF(Games!$A$2:$A$897,$A4,Games!$P$2:$P$897)+SUMIF(Games!$B$2:$B$897,$A4,Games!$N$2:$N$897)</f>
        <v>178</v>
      </c>
      <c r="F4" s="0" t="n">
        <f aca="false">SUMIF(Games!$A$2:$A$897,$A4,Games!$S$2:$S$897)+SUMIF(Games!$B$2:$B$897,$A4,Games!$Q$2:$Q$897)</f>
        <v>1994</v>
      </c>
      <c r="G4" s="0" t="n">
        <f aca="false">SUMIF(Games!$A$2:$A$897,$A4,Games!$T$2:$T$897)+SUMIF(Games!$B$2:$B$897,$A4,Games!$R$2:$R$897)</f>
        <v>2710</v>
      </c>
      <c r="H4" s="0" t="n">
        <f aca="false">SUMIF(Games!$A$2:$A$897,$A4,Games!$U$2:$U$897)+SUMIF(Games!$B$2:$B$897,$A4,Games!$V$2:$V$897)</f>
        <v>38.502630119528</v>
      </c>
      <c r="I4" s="0" t="n">
        <f aca="false">SUMIF(Games!$A$2:$A$897,$A4,Games!$E$2:$E$897)+SUMIF(Games!$B$2:$B$897,$A4,Games!$F$2:$F$897)</f>
        <v>2544</v>
      </c>
      <c r="J4" s="0" t="n">
        <f aca="false">IFERROR(I4/(B4+C4),0)</f>
        <v>195.692307692308</v>
      </c>
      <c r="K4" s="0" t="n">
        <f aca="false">SUMIF(Games!$A$2:$A$897,$A4,Games!$F$2:$F$897)+SUMIF(Games!$B$2:$B$897,$A4,Games!$E$2:$E$897)</f>
        <v>1695</v>
      </c>
      <c r="L4" s="0" t="n">
        <f aca="false">SUMIF(Games!$A$2:$A$897,$A4,Games!$G$2:$G$897)+SUMIF(Games!$B$2:$B$897,$A4,Games!$H$2:$H$897)</f>
        <v>3660</v>
      </c>
      <c r="M4" s="0" t="n">
        <f aca="false">IFERROR(L4/(B4+C4),0)</f>
        <v>281.538461538462</v>
      </c>
      <c r="N4" s="0" t="n">
        <f aca="false">SUMIF(Games!$A$2:$A$897,$A4,Games!$H$2:$H$897)+SUMIF(Games!$B$2:$B$897,$A4,Games!$G$2:$G$897)</f>
        <v>2442</v>
      </c>
      <c r="O4" s="0" t="n">
        <f aca="false">SUMIF(Games!$A$2:$A$897,$A4,Games!$I$2:$I$897)+SUMIF(Games!$B$2:$B$897,$A4,Games!$J$2:$J$897)</f>
        <v>16</v>
      </c>
      <c r="P4" s="0" t="n">
        <f aca="false">SUMIF(Games!$A$2:$A$897,$A4,Games!$J$2:$J$897)+SUMIF(Games!$B$2:$B$897,$A4,Games!$I$2:$I$897)</f>
        <v>14</v>
      </c>
      <c r="R4" s="0" t="n">
        <f aca="false">IFERROR((K4+N4)/(B4+C4),0)</f>
        <v>318.230769230769</v>
      </c>
      <c r="S4" s="0" t="n">
        <f aca="false">P4-O4</f>
        <v>-2</v>
      </c>
      <c r="T4" s="0" t="n">
        <f aca="false">IFERROR((D4/(D4+E4))*(F4/(F4+G4)),0)</f>
        <v>0.148517801281096</v>
      </c>
      <c r="U4" s="0" t="n">
        <f aca="false">RANK(T4,T$2:T$132)</f>
        <v>39</v>
      </c>
      <c r="V4" s="0" t="n">
        <f aca="false">IFERROR((B4/(B4+C4))*25,0)+IFERROR((D4/(D4+E4))*25,0)+IFERROR((F4/(F4+G4))*10,0)+H4+((J4-RMEAN)/RDEV)*5+((M4-PMEAN)/PDEV)*5+((DMEAN-R4)/DDEV)*7+((S4-TOMEAN)/TODEV)*3</f>
        <v>88.5573100976711</v>
      </c>
    </row>
    <row r="5" customFormat="false" ht="15" hidden="false" customHeight="false" outlineLevel="0" collapsed="false">
      <c r="A5" s="0" t="s">
        <v>9</v>
      </c>
      <c r="B5" s="0" t="n">
        <f aca="false">SUMIF(Games!$A$2:$A$897,$A5,Games!$K$2:$K$897)+SUMIF(Games!$B$2:$B$897,$A5,Games!$L$2:$L$897)</f>
        <v>6</v>
      </c>
      <c r="C5" s="0" t="n">
        <f aca="false">SUMIF(Games!$A$2:$A$897,$A5,Games!$L$2:$L$897)+SUMIF(Games!$B$2:$B$897,$A5,Games!$K$2:$K$897)</f>
        <v>6</v>
      </c>
      <c r="D5" s="0" t="n">
        <f aca="false">SUMIF(Games!$A$2:$A$897,$A5,Games!$O$2:$O$897)+SUMIF(Games!$B$2:$B$897,$A5,Games!$M$2:$M$897)</f>
        <v>85</v>
      </c>
      <c r="E5" s="0" t="n">
        <f aca="false">SUMIF(Games!$A$2:$A$897,$A5,Games!$P$2:$P$897)+SUMIF(Games!$B$2:$B$897,$A5,Games!$N$2:$N$897)</f>
        <v>281</v>
      </c>
      <c r="F5" s="0" t="n">
        <f aca="false">SUMIF(Games!$A$2:$A$897,$A5,Games!$S$2:$S$897)+SUMIF(Games!$B$2:$B$897,$A5,Games!$Q$2:$Q$897)</f>
        <v>2456</v>
      </c>
      <c r="G5" s="0" t="n">
        <f aca="false">SUMIF(Games!$A$2:$A$897,$A5,Games!$T$2:$T$897)+SUMIF(Games!$B$2:$B$897,$A5,Games!$R$2:$R$897)</f>
        <v>3147</v>
      </c>
      <c r="H5" s="0" t="n">
        <f aca="false">SUMIF(Games!$A$2:$A$897,$A5,Games!$U$2:$U$897)+SUMIF(Games!$B$2:$B$897,$A5,Games!$V$2:$V$897)</f>
        <v>-0.969672886351738</v>
      </c>
      <c r="I5" s="0" t="n">
        <f aca="false">SUMIF(Games!$A$2:$A$897,$A5,Games!$E$2:$E$897)+SUMIF(Games!$B$2:$B$897,$A5,Games!$F$2:$F$897)</f>
        <v>2459</v>
      </c>
      <c r="J5" s="0" t="n">
        <f aca="false">IFERROR(I5/(B5+C5),0)</f>
        <v>204.916666666667</v>
      </c>
      <c r="K5" s="0" t="n">
        <f aca="false">SUMIF(Games!$A$2:$A$897,$A5,Games!$F$2:$F$897)+SUMIF(Games!$B$2:$B$897,$A5,Games!$E$2:$E$897)</f>
        <v>1554</v>
      </c>
      <c r="L5" s="0" t="n">
        <f aca="false">SUMIF(Games!$A$2:$A$897,$A5,Games!$G$2:$G$897)+SUMIF(Games!$B$2:$B$897,$A5,Games!$H$2:$H$897)</f>
        <v>3005</v>
      </c>
      <c r="M5" s="0" t="n">
        <f aca="false">IFERROR(L5/(B5+C5),0)</f>
        <v>250.416666666667</v>
      </c>
      <c r="N5" s="0" t="n">
        <f aca="false">SUMIF(Games!$A$2:$A$897,$A5,Games!$H$2:$H$897)+SUMIF(Games!$B$2:$B$897,$A5,Games!$G$2:$G$897)</f>
        <v>2627</v>
      </c>
      <c r="O5" s="0" t="n">
        <f aca="false">SUMIF(Games!$A$2:$A$897,$A5,Games!$I$2:$I$897)+SUMIF(Games!$B$2:$B$897,$A5,Games!$J$2:$J$897)</f>
        <v>11</v>
      </c>
      <c r="P5" s="0" t="n">
        <f aca="false">SUMIF(Games!$A$2:$A$897,$A5,Games!$J$2:$J$897)+SUMIF(Games!$B$2:$B$897,$A5,Games!$I$2:$I$897)</f>
        <v>20</v>
      </c>
      <c r="R5" s="0" t="n">
        <f aca="false">IFERROR((K5+N5)/(B5+C5),0)</f>
        <v>348.416666666667</v>
      </c>
      <c r="S5" s="0" t="n">
        <f aca="false">P5-O5</f>
        <v>9</v>
      </c>
      <c r="T5" s="0" t="n">
        <f aca="false">IFERROR((D5/(D5+E5))*(F5/(F5+G5)),0)</f>
        <v>0.101799484858326</v>
      </c>
      <c r="U5" s="0" t="n">
        <f aca="false">RANK(T5,T$2:T$132)</f>
        <v>127</v>
      </c>
      <c r="V5" s="0" t="n">
        <f aca="false">IFERROR((B5/(B5+C5))*25,0)+IFERROR((D5/(D5+E5))*25,0)+IFERROR((F5/(F5+G5))*10,0)+H5+((J5-RMEAN)/RDEV)*5+((M5-PMEAN)/PDEV)*5+((DMEAN-R5)/DDEV)*7+((S5-TOMEAN)/TODEV)*3</f>
        <v>36.3765399699834</v>
      </c>
    </row>
    <row r="6" customFormat="false" ht="15" hidden="false" customHeight="false" outlineLevel="0" collapsed="false">
      <c r="A6" s="0" t="s">
        <v>10</v>
      </c>
      <c r="B6" s="0" t="n">
        <f aca="false">SUMIF(Games!$A$2:$A$897,$A6,Games!$K$2:$K$897)+SUMIF(Games!$B$2:$B$897,$A6,Games!$L$2:$L$897)</f>
        <v>5</v>
      </c>
      <c r="C6" s="0" t="n">
        <f aca="false">SUMIF(Games!$A$2:$A$897,$A6,Games!$L$2:$L$897)+SUMIF(Games!$B$2:$B$897,$A6,Games!$K$2:$K$897)</f>
        <v>7</v>
      </c>
      <c r="D6" s="0" t="n">
        <f aca="false">SUMIF(Games!$A$2:$A$897,$A6,Games!$O$2:$O$897)+SUMIF(Games!$B$2:$B$897,$A6,Games!$M$2:$M$897)</f>
        <v>90</v>
      </c>
      <c r="E6" s="0" t="n">
        <f aca="false">SUMIF(Games!$A$2:$A$897,$A6,Games!$P$2:$P$897)+SUMIF(Games!$B$2:$B$897,$A6,Games!$N$2:$N$897)</f>
        <v>172</v>
      </c>
      <c r="F6" s="0" t="n">
        <f aca="false">SUMIF(Games!$A$2:$A$897,$A6,Games!$S$2:$S$897)+SUMIF(Games!$B$2:$B$897,$A6,Games!$Q$2:$Q$897)</f>
        <v>1845</v>
      </c>
      <c r="G6" s="0" t="n">
        <f aca="false">SUMIF(Games!$A$2:$A$897,$A6,Games!$T$2:$T$897)+SUMIF(Games!$B$2:$B$897,$A6,Games!$R$2:$R$897)</f>
        <v>2475</v>
      </c>
      <c r="H6" s="0" t="n">
        <f aca="false">SUMIF(Games!$A$2:$A$897,$A6,Games!$U$2:$U$897)+SUMIF(Games!$B$2:$B$897,$A6,Games!$V$2:$V$897)</f>
        <v>-19.7635702556426</v>
      </c>
      <c r="I6" s="0" t="n">
        <f aca="false">SUMIF(Games!$A$2:$A$897,$A6,Games!$E$2:$E$897)+SUMIF(Games!$B$2:$B$897,$A6,Games!$F$2:$F$897)</f>
        <v>1728</v>
      </c>
      <c r="J6" s="0" t="n">
        <f aca="false">IFERROR(I6/(B6+C6),0)</f>
        <v>144</v>
      </c>
      <c r="K6" s="0" t="n">
        <f aca="false">SUMIF(Games!$A$2:$A$897,$A6,Games!$F$2:$F$897)+SUMIF(Games!$B$2:$B$897,$A6,Games!$E$2:$E$897)</f>
        <v>2510</v>
      </c>
      <c r="L6" s="0" t="n">
        <f aca="false">SUMIF(Games!$A$2:$A$897,$A6,Games!$G$2:$G$897)+SUMIF(Games!$B$2:$B$897,$A6,Games!$H$2:$H$897)</f>
        <v>3821</v>
      </c>
      <c r="M6" s="0" t="n">
        <f aca="false">IFERROR(L6/(B6+C6),0)</f>
        <v>318.416666666667</v>
      </c>
      <c r="N6" s="0" t="n">
        <f aca="false">SUMIF(Games!$A$2:$A$897,$A6,Games!$H$2:$H$897)+SUMIF(Games!$B$2:$B$897,$A6,Games!$G$2:$G$897)</f>
        <v>3103</v>
      </c>
      <c r="O6" s="0" t="n">
        <f aca="false">SUMIF(Games!$A$2:$A$897,$A6,Games!$I$2:$I$897)+SUMIF(Games!$B$2:$B$897,$A6,Games!$J$2:$J$897)</f>
        <v>21</v>
      </c>
      <c r="P6" s="0" t="n">
        <f aca="false">SUMIF(Games!$A$2:$A$897,$A6,Games!$J$2:$J$897)+SUMIF(Games!$B$2:$B$897,$A6,Games!$I$2:$I$897)</f>
        <v>16</v>
      </c>
      <c r="R6" s="0" t="n">
        <f aca="false">IFERROR((K6+N6)/(B6+C6),0)</f>
        <v>467.75</v>
      </c>
      <c r="S6" s="0" t="n">
        <f aca="false">P6-O6</f>
        <v>-5</v>
      </c>
      <c r="T6" s="0" t="n">
        <f aca="false">IFERROR((D6/(D6+E6))*(F6/(F6+G6)),0)</f>
        <v>0.146708015267176</v>
      </c>
      <c r="U6" s="0" t="n">
        <f aca="false">RANK(T6,T$2:T$132)</f>
        <v>43</v>
      </c>
      <c r="V6" s="0" t="n">
        <f aca="false">IFERROR((B6/(B6+C6))*25,0)+IFERROR((D6/(D6+E6))*25,0)+IFERROR((F6/(F6+G6))*10,0)+H6+((J6-RMEAN)/RDEV)*5+((M6-PMEAN)/PDEV)*5+((DMEAN-R6)/DDEV)*7+((S6-TOMEAN)/TODEV)*3</f>
        <v>-4.39469864557279</v>
      </c>
    </row>
    <row r="7" customFormat="false" ht="15" hidden="false" customHeight="false" outlineLevel="0" collapsed="false">
      <c r="A7" s="0" t="s">
        <v>11</v>
      </c>
      <c r="B7" s="0" t="n">
        <f aca="false">SUMIF(Games!$A$2:$A$897,$A7,Games!$K$2:$K$897)+SUMIF(Games!$B$2:$B$897,$A7,Games!$L$2:$L$897)</f>
        <v>3</v>
      </c>
      <c r="C7" s="0" t="n">
        <f aca="false">SUMIF(Games!$A$2:$A$897,$A7,Games!$L$2:$L$897)+SUMIF(Games!$B$2:$B$897,$A7,Games!$K$2:$K$897)</f>
        <v>9</v>
      </c>
      <c r="D7" s="0" t="n">
        <f aca="false">SUMIF(Games!$A$2:$A$897,$A7,Games!$O$2:$O$897)+SUMIF(Games!$B$2:$B$897,$A7,Games!$M$2:$M$897)</f>
        <v>91</v>
      </c>
      <c r="E7" s="0" t="n">
        <f aca="false">SUMIF(Games!$A$2:$A$897,$A7,Games!$P$2:$P$897)+SUMIF(Games!$B$2:$B$897,$A7,Games!$N$2:$N$897)</f>
        <v>171</v>
      </c>
      <c r="F7" s="0" t="n">
        <f aca="false">SUMIF(Games!$A$2:$A$897,$A7,Games!$S$2:$S$897)+SUMIF(Games!$B$2:$B$897,$A7,Games!$Q$2:$Q$897)</f>
        <v>1811</v>
      </c>
      <c r="G7" s="0" t="n">
        <f aca="false">SUMIF(Games!$A$2:$A$897,$A7,Games!$T$2:$T$897)+SUMIF(Games!$B$2:$B$897,$A7,Games!$R$2:$R$897)</f>
        <v>2504</v>
      </c>
      <c r="H7" s="0" t="n">
        <f aca="false">SUMIF(Games!$A$2:$A$897,$A7,Games!$U$2:$U$897)+SUMIF(Games!$B$2:$B$897,$A7,Games!$V$2:$V$897)</f>
        <v>-20.732862694217</v>
      </c>
      <c r="I7" s="0" t="n">
        <f aca="false">SUMIF(Games!$A$2:$A$897,$A7,Games!$E$2:$E$897)+SUMIF(Games!$B$2:$B$897,$A7,Games!$F$2:$F$897)</f>
        <v>1623</v>
      </c>
      <c r="J7" s="0" t="n">
        <f aca="false">IFERROR(I7/(B7+C7),0)</f>
        <v>135.25</v>
      </c>
      <c r="K7" s="0" t="n">
        <f aca="false">SUMIF(Games!$A$2:$A$897,$A7,Games!$F$2:$F$897)+SUMIF(Games!$B$2:$B$897,$A7,Games!$E$2:$E$897)</f>
        <v>2257</v>
      </c>
      <c r="L7" s="0" t="n">
        <f aca="false">SUMIF(Games!$A$2:$A$897,$A7,Games!$G$2:$G$897)+SUMIF(Games!$B$2:$B$897,$A7,Games!$H$2:$H$897)</f>
        <v>3023</v>
      </c>
      <c r="M7" s="0" t="n">
        <f aca="false">IFERROR(L7/(B7+C7),0)</f>
        <v>251.916666666667</v>
      </c>
      <c r="N7" s="0" t="n">
        <f aca="false">SUMIF(Games!$A$2:$A$897,$A7,Games!$H$2:$H$897)+SUMIF(Games!$B$2:$B$897,$A7,Games!$G$2:$G$897)</f>
        <v>2801</v>
      </c>
      <c r="O7" s="0" t="n">
        <f aca="false">SUMIF(Games!$A$2:$A$897,$A7,Games!$I$2:$I$897)+SUMIF(Games!$B$2:$B$897,$A7,Games!$J$2:$J$897)</f>
        <v>18</v>
      </c>
      <c r="P7" s="0" t="n">
        <f aca="false">SUMIF(Games!$A$2:$A$897,$A7,Games!$J$2:$J$897)+SUMIF(Games!$B$2:$B$897,$A7,Games!$I$2:$I$897)</f>
        <v>12</v>
      </c>
      <c r="R7" s="0" t="n">
        <f aca="false">IFERROR((K7+N7)/(B7+C7),0)</f>
        <v>421.5</v>
      </c>
      <c r="S7" s="0" t="n">
        <f aca="false">P7-O7</f>
        <v>-6</v>
      </c>
      <c r="T7" s="0" t="n">
        <f aca="false">IFERROR((D7/(D7+E7))*(F7/(F7+G7)),0)</f>
        <v>0.145773221409427</v>
      </c>
      <c r="U7" s="0" t="n">
        <f aca="false">RANK(T7,T$2:T$132)</f>
        <v>49</v>
      </c>
      <c r="V7" s="0" t="n">
        <f aca="false">IFERROR((B7/(B7+C7))*25,0)+IFERROR((D7/(D7+E7))*25,0)+IFERROR((F7/(F7+G7))*10,0)+H7+((J7-RMEAN)/RDEV)*5+((M7-PMEAN)/PDEV)*5+((DMEAN-R7)/DDEV)*7+((S7-TOMEAN)/TODEV)*3</f>
        <v>-10.9679532539405</v>
      </c>
    </row>
    <row r="8" customFormat="false" ht="15" hidden="false" customHeight="false" outlineLevel="0" collapsed="false">
      <c r="A8" s="0" t="s">
        <v>12</v>
      </c>
      <c r="B8" s="0" t="n">
        <f aca="false">SUMIF(Games!$A$2:$A$897,$A8,Games!$K$2:$K$897)+SUMIF(Games!$B$2:$B$897,$A8,Games!$L$2:$L$897)</f>
        <v>7</v>
      </c>
      <c r="C8" s="0" t="n">
        <f aca="false">SUMIF(Games!$A$2:$A$897,$A8,Games!$L$2:$L$897)+SUMIF(Games!$B$2:$B$897,$A8,Games!$K$2:$K$897)</f>
        <v>6</v>
      </c>
      <c r="D8" s="0" t="n">
        <f aca="false">SUMIF(Games!$A$2:$A$897,$A8,Games!$O$2:$O$897)+SUMIF(Games!$B$2:$B$897,$A8,Games!$M$2:$M$897)</f>
        <v>101</v>
      </c>
      <c r="E8" s="0" t="n">
        <f aca="false">SUMIF(Games!$A$2:$A$897,$A8,Games!$P$2:$P$897)+SUMIF(Games!$B$2:$B$897,$A8,Games!$N$2:$N$897)</f>
        <v>174</v>
      </c>
      <c r="F8" s="0" t="n">
        <f aca="false">SUMIF(Games!$A$2:$A$897,$A8,Games!$S$2:$S$897)+SUMIF(Games!$B$2:$B$897,$A8,Games!$Q$2:$Q$897)</f>
        <v>1946</v>
      </c>
      <c r="G8" s="0" t="n">
        <f aca="false">SUMIF(Games!$A$2:$A$897,$A8,Games!$T$2:$T$897)+SUMIF(Games!$B$2:$B$897,$A8,Games!$R$2:$R$897)</f>
        <v>2869</v>
      </c>
      <c r="H8" s="0" t="n">
        <f aca="false">SUMIF(Games!$A$2:$A$897,$A8,Games!$U$2:$U$897)+SUMIF(Games!$B$2:$B$897,$A8,Games!$V$2:$V$897)</f>
        <v>4.93117047532128</v>
      </c>
      <c r="I8" s="0" t="n">
        <f aca="false">SUMIF(Games!$A$2:$A$897,$A8,Games!$E$2:$E$897)+SUMIF(Games!$B$2:$B$897,$A8,Games!$F$2:$F$897)</f>
        <v>3085</v>
      </c>
      <c r="J8" s="0" t="n">
        <f aca="false">IFERROR(I8/(B8+C8),0)</f>
        <v>237.307692307692</v>
      </c>
      <c r="K8" s="0" t="n">
        <f aca="false">SUMIF(Games!$A$2:$A$897,$A8,Games!$F$2:$F$897)+SUMIF(Games!$B$2:$B$897,$A8,Games!$E$2:$E$897)</f>
        <v>2222</v>
      </c>
      <c r="L8" s="0" t="n">
        <f aca="false">SUMIF(Games!$A$2:$A$897,$A8,Games!$G$2:$G$897)+SUMIF(Games!$B$2:$B$897,$A8,Games!$H$2:$H$897)</f>
        <v>3041</v>
      </c>
      <c r="M8" s="0" t="n">
        <f aca="false">IFERROR(L8/(B8+C8),0)</f>
        <v>233.923076923077</v>
      </c>
      <c r="N8" s="0" t="n">
        <f aca="false">SUMIF(Games!$A$2:$A$897,$A8,Games!$H$2:$H$897)+SUMIF(Games!$B$2:$B$897,$A8,Games!$G$2:$G$897)</f>
        <v>3819</v>
      </c>
      <c r="O8" s="0" t="n">
        <f aca="false">SUMIF(Games!$A$2:$A$897,$A8,Games!$I$2:$I$897)+SUMIF(Games!$B$2:$B$897,$A8,Games!$J$2:$J$897)</f>
        <v>18</v>
      </c>
      <c r="P8" s="0" t="n">
        <f aca="false">SUMIF(Games!$A$2:$A$897,$A8,Games!$J$2:$J$897)+SUMIF(Games!$B$2:$B$897,$A8,Games!$I$2:$I$897)</f>
        <v>18</v>
      </c>
      <c r="R8" s="0" t="n">
        <f aca="false">IFERROR((K8+N8)/(B8+C8),0)</f>
        <v>464.692307692308</v>
      </c>
      <c r="S8" s="0" t="n">
        <f aca="false">P8-O8</f>
        <v>0</v>
      </c>
      <c r="T8" s="0" t="n">
        <f aca="false">IFERROR((D8/(D8+E8))*(F8/(F8+G8)),0)</f>
        <v>0.148434626640234</v>
      </c>
      <c r="U8" s="0" t="n">
        <f aca="false">RANK(T8,T$2:T$132)</f>
        <v>40</v>
      </c>
      <c r="V8" s="0" t="n">
        <f aca="false">IFERROR((B8/(B8+C8))*25,0)+IFERROR((D8/(D8+E8))*25,0)+IFERROR((F8/(F8+G8))*10,0)+H8+((J8-RMEAN)/RDEV)*5+((M8-PMEAN)/PDEV)*5+((DMEAN-R8)/DDEV)*7+((S8-TOMEAN)/TODEV)*3</f>
        <v>28.5616340559601</v>
      </c>
    </row>
    <row r="9" customFormat="false" ht="15" hidden="false" customHeight="false" outlineLevel="0" collapsed="false">
      <c r="A9" s="0" t="s">
        <v>13</v>
      </c>
      <c r="B9" s="0" t="n">
        <f aca="false">SUMIF(Games!$A$2:$A$897,$A9,Games!$K$2:$K$897)+SUMIF(Games!$B$2:$B$897,$A9,Games!$L$2:$L$897)</f>
        <v>3</v>
      </c>
      <c r="C9" s="0" t="n">
        <f aca="false">SUMIF(Games!$A$2:$A$897,$A9,Games!$L$2:$L$897)+SUMIF(Games!$B$2:$B$897,$A9,Games!$K$2:$K$897)</f>
        <v>9</v>
      </c>
      <c r="D9" s="0" t="n">
        <f aca="false">SUMIF(Games!$A$2:$A$897,$A9,Games!$O$2:$O$897)+SUMIF(Games!$B$2:$B$897,$A9,Games!$M$2:$M$897)</f>
        <v>81</v>
      </c>
      <c r="E9" s="0" t="n">
        <f aca="false">SUMIF(Games!$A$2:$A$897,$A9,Games!$P$2:$P$897)+SUMIF(Games!$B$2:$B$897,$A9,Games!$N$2:$N$897)</f>
        <v>177</v>
      </c>
      <c r="F9" s="0" t="n">
        <f aca="false">SUMIF(Games!$A$2:$A$897,$A9,Games!$S$2:$S$897)+SUMIF(Games!$B$2:$B$897,$A9,Games!$Q$2:$Q$897)</f>
        <v>1746</v>
      </c>
      <c r="G9" s="0" t="n">
        <f aca="false">SUMIF(Games!$A$2:$A$897,$A9,Games!$T$2:$T$897)+SUMIF(Games!$B$2:$B$897,$A9,Games!$R$2:$R$897)</f>
        <v>2501</v>
      </c>
      <c r="H9" s="0" t="n">
        <f aca="false">SUMIF(Games!$A$2:$A$897,$A9,Games!$U$2:$U$897)+SUMIF(Games!$B$2:$B$897,$A9,Games!$V$2:$V$897)</f>
        <v>-24.1472691843126</v>
      </c>
      <c r="I9" s="0" t="n">
        <f aca="false">SUMIF(Games!$A$2:$A$897,$A9,Games!$E$2:$E$897)+SUMIF(Games!$B$2:$B$897,$A9,Games!$F$2:$F$897)</f>
        <v>1058</v>
      </c>
      <c r="J9" s="0" t="n">
        <f aca="false">IFERROR(I9/(B9+C9),0)</f>
        <v>88.1666666666667</v>
      </c>
      <c r="K9" s="0" t="n">
        <f aca="false">SUMIF(Games!$A$2:$A$897,$A9,Games!$F$2:$F$897)+SUMIF(Games!$B$2:$B$897,$A9,Games!$E$2:$E$897)</f>
        <v>1949</v>
      </c>
      <c r="L9" s="0" t="n">
        <f aca="false">SUMIF(Games!$A$2:$A$897,$A9,Games!$G$2:$G$897)+SUMIF(Games!$B$2:$B$897,$A9,Games!$H$2:$H$897)</f>
        <v>2721</v>
      </c>
      <c r="M9" s="0" t="n">
        <f aca="false">IFERROR(L9/(B9+C9),0)</f>
        <v>226.75</v>
      </c>
      <c r="N9" s="0" t="n">
        <f aca="false">SUMIF(Games!$A$2:$A$897,$A9,Games!$H$2:$H$897)+SUMIF(Games!$B$2:$B$897,$A9,Games!$G$2:$G$897)</f>
        <v>2912</v>
      </c>
      <c r="O9" s="0" t="n">
        <f aca="false">SUMIF(Games!$A$2:$A$897,$A9,Games!$I$2:$I$897)+SUMIF(Games!$B$2:$B$897,$A9,Games!$J$2:$J$897)</f>
        <v>9</v>
      </c>
      <c r="P9" s="0" t="n">
        <f aca="false">SUMIF(Games!$A$2:$A$897,$A9,Games!$J$2:$J$897)+SUMIF(Games!$B$2:$B$897,$A9,Games!$I$2:$I$897)</f>
        <v>11</v>
      </c>
      <c r="R9" s="0" t="n">
        <f aca="false">IFERROR((K9+N9)/(B9+C9),0)</f>
        <v>405.083333333333</v>
      </c>
      <c r="S9" s="0" t="n">
        <f aca="false">P9-O9</f>
        <v>2</v>
      </c>
      <c r="T9" s="0" t="n">
        <f aca="false">IFERROR((D9/(D9+E9))*(F9/(F9+G9)),0)</f>
        <v>0.129070588815087</v>
      </c>
      <c r="U9" s="0" t="n">
        <f aca="false">RANK(T9,T$2:T$132)</f>
        <v>82</v>
      </c>
      <c r="V9" s="0" t="n">
        <f aca="false">IFERROR((B9/(B9+C9))*25,0)+IFERROR((D9/(D9+E9))*25,0)+IFERROR((F9/(F9+G9))*10,0)+H9+((J9-RMEAN)/RDEV)*5+((M9-PMEAN)/PDEV)*5+((DMEAN-R9)/DDEV)*7+((S9-TOMEAN)/TODEV)*3</f>
        <v>-17.1810039533936</v>
      </c>
    </row>
    <row r="10" customFormat="false" ht="15" hidden="false" customHeight="false" outlineLevel="0" collapsed="false">
      <c r="A10" s="0" t="s">
        <v>14</v>
      </c>
      <c r="B10" s="0" t="n">
        <f aca="false">SUMIF(Games!$A$2:$A$897,$A10,Games!$K$2:$K$897)+SUMIF(Games!$B$2:$B$897,$A10,Games!$L$2:$L$897)</f>
        <v>6</v>
      </c>
      <c r="C10" s="0" t="n">
        <f aca="false">SUMIF(Games!$A$2:$A$897,$A10,Games!$L$2:$L$897)+SUMIF(Games!$B$2:$B$897,$A10,Games!$K$2:$K$897)</f>
        <v>6</v>
      </c>
      <c r="D10" s="0" t="n">
        <f aca="false">SUMIF(Games!$A$2:$A$897,$A10,Games!$O$2:$O$897)+SUMIF(Games!$B$2:$B$897,$A10,Games!$M$2:$M$897)</f>
        <v>85</v>
      </c>
      <c r="E10" s="0" t="n">
        <f aca="false">SUMIF(Games!$A$2:$A$897,$A10,Games!$P$2:$P$897)+SUMIF(Games!$B$2:$B$897,$A10,Games!$N$2:$N$897)</f>
        <v>283</v>
      </c>
      <c r="F10" s="0" t="n">
        <f aca="false">SUMIF(Games!$A$2:$A$897,$A10,Games!$S$2:$S$897)+SUMIF(Games!$B$2:$B$897,$A10,Games!$Q$2:$Q$897)</f>
        <v>2486</v>
      </c>
      <c r="G10" s="0" t="n">
        <f aca="false">SUMIF(Games!$A$2:$A$897,$A10,Games!$T$2:$T$897)+SUMIF(Games!$B$2:$B$897,$A10,Games!$R$2:$R$897)</f>
        <v>3169</v>
      </c>
      <c r="H10" s="0" t="n">
        <f aca="false">SUMIF(Games!$A$2:$A$897,$A10,Games!$U$2:$U$897)+SUMIF(Games!$B$2:$B$897,$A10,Games!$V$2:$V$897)</f>
        <v>-9.129481820637</v>
      </c>
      <c r="I10" s="0" t="n">
        <f aca="false">SUMIF(Games!$A$2:$A$897,$A10,Games!$E$2:$E$897)+SUMIF(Games!$B$2:$B$897,$A10,Games!$F$2:$F$897)</f>
        <v>3469</v>
      </c>
      <c r="J10" s="0" t="n">
        <f aca="false">IFERROR(I10/(B10+C10),0)</f>
        <v>289.083333333333</v>
      </c>
      <c r="K10" s="0" t="n">
        <f aca="false">SUMIF(Games!$A$2:$A$897,$A10,Games!$F$2:$F$897)+SUMIF(Games!$B$2:$B$897,$A10,Games!$E$2:$E$897)</f>
        <v>2388</v>
      </c>
      <c r="L10" s="0" t="n">
        <f aca="false">SUMIF(Games!$A$2:$A$897,$A10,Games!$G$2:$G$897)+SUMIF(Games!$B$2:$B$897,$A10,Games!$H$2:$H$897)</f>
        <v>924</v>
      </c>
      <c r="M10" s="0" t="n">
        <f aca="false">IFERROR(L10/(B10+C10),0)</f>
        <v>77</v>
      </c>
      <c r="N10" s="0" t="n">
        <f aca="false">SUMIF(Games!$A$2:$A$897,$A10,Games!$H$2:$H$897)+SUMIF(Games!$B$2:$B$897,$A10,Games!$G$2:$G$897)</f>
        <v>1920</v>
      </c>
      <c r="O10" s="0" t="n">
        <f aca="false">SUMIF(Games!$A$2:$A$897,$A10,Games!$I$2:$I$897)+SUMIF(Games!$B$2:$B$897,$A10,Games!$J$2:$J$897)</f>
        <v>12</v>
      </c>
      <c r="P10" s="0" t="n">
        <f aca="false">SUMIF(Games!$A$2:$A$897,$A10,Games!$J$2:$J$897)+SUMIF(Games!$B$2:$B$897,$A10,Games!$I$2:$I$897)</f>
        <v>16</v>
      </c>
      <c r="R10" s="0" t="n">
        <f aca="false">IFERROR((K10+N10)/(B10+C10),0)</f>
        <v>359</v>
      </c>
      <c r="S10" s="0" t="n">
        <f aca="false">P10-O10</f>
        <v>4</v>
      </c>
      <c r="T10" s="0" t="n">
        <f aca="false">IFERROR((D10/(D10+E10))*(F10/(F10+G10)),0)</f>
        <v>0.101540575865913</v>
      </c>
      <c r="U10" s="0" t="n">
        <f aca="false">RANK(T10,T$2:T$132)</f>
        <v>128</v>
      </c>
      <c r="V10" s="0" t="n">
        <f aca="false">IFERROR((B10/(B10+C10))*25,0)+IFERROR((D10/(D10+E10))*25,0)+IFERROR((F10/(F10+G10))*10,0)+H10+((J10-RMEAN)/RDEV)*5+((M10-PMEAN)/PDEV)*5+((DMEAN-R10)/DDEV)*7+((S10-TOMEAN)/TODEV)*3</f>
        <v>17.3507889081225</v>
      </c>
    </row>
    <row r="11" customFormat="false" ht="15" hidden="false" customHeight="false" outlineLevel="0" collapsed="false">
      <c r="A11" s="0" t="s">
        <v>15</v>
      </c>
      <c r="B11" s="0" t="n">
        <f aca="false">SUMIF(Games!$A$2:$A$897,$A11,Games!$K$2:$K$897)+SUMIF(Games!$B$2:$B$897,$A11,Games!$L$2:$L$897)</f>
        <v>5</v>
      </c>
      <c r="C11" s="0" t="n">
        <f aca="false">SUMIF(Games!$A$2:$A$897,$A11,Games!$L$2:$L$897)+SUMIF(Games!$B$2:$B$897,$A11,Games!$K$2:$K$897)</f>
        <v>7</v>
      </c>
      <c r="D11" s="0" t="n">
        <f aca="false">SUMIF(Games!$A$2:$A$897,$A11,Games!$O$2:$O$897)+SUMIF(Games!$B$2:$B$897,$A11,Games!$M$2:$M$897)</f>
        <v>106</v>
      </c>
      <c r="E11" s="0" t="n">
        <f aca="false">SUMIF(Games!$A$2:$A$897,$A11,Games!$P$2:$P$897)+SUMIF(Games!$B$2:$B$897,$A11,Games!$N$2:$N$897)</f>
        <v>159</v>
      </c>
      <c r="F11" s="0" t="n">
        <f aca="false">SUMIF(Games!$A$2:$A$897,$A11,Games!$S$2:$S$897)+SUMIF(Games!$B$2:$B$897,$A11,Games!$Q$2:$Q$897)</f>
        <v>1870</v>
      </c>
      <c r="G11" s="0" t="n">
        <f aca="false">SUMIF(Games!$A$2:$A$897,$A11,Games!$T$2:$T$897)+SUMIF(Games!$B$2:$B$897,$A11,Games!$R$2:$R$897)</f>
        <v>2597</v>
      </c>
      <c r="H11" s="0" t="n">
        <f aca="false">SUMIF(Games!$A$2:$A$897,$A11,Games!$U$2:$U$897)+SUMIF(Games!$B$2:$B$897,$A11,Games!$V$2:$V$897)</f>
        <v>-7.53644918961619</v>
      </c>
      <c r="I11" s="0" t="n">
        <f aca="false">SUMIF(Games!$A$2:$A$897,$A11,Games!$E$2:$E$897)+SUMIF(Games!$B$2:$B$897,$A11,Games!$F$2:$F$897)</f>
        <v>2470</v>
      </c>
      <c r="J11" s="0" t="n">
        <f aca="false">IFERROR(I11/(B11+C11),0)</f>
        <v>205.833333333333</v>
      </c>
      <c r="K11" s="0" t="n">
        <f aca="false">SUMIF(Games!$A$2:$A$897,$A11,Games!$F$2:$F$897)+SUMIF(Games!$B$2:$B$897,$A11,Games!$E$2:$E$897)</f>
        <v>2082</v>
      </c>
      <c r="L11" s="0" t="n">
        <f aca="false">SUMIF(Games!$A$2:$A$897,$A11,Games!$G$2:$G$897)+SUMIF(Games!$B$2:$B$897,$A11,Games!$H$2:$H$897)</f>
        <v>2072</v>
      </c>
      <c r="M11" s="0" t="n">
        <f aca="false">IFERROR(L11/(B11+C11),0)</f>
        <v>172.666666666667</v>
      </c>
      <c r="N11" s="0" t="n">
        <f aca="false">SUMIF(Games!$A$2:$A$897,$A11,Games!$H$2:$H$897)+SUMIF(Games!$B$2:$B$897,$A11,Games!$G$2:$G$897)</f>
        <v>2661</v>
      </c>
      <c r="O11" s="0" t="n">
        <f aca="false">SUMIF(Games!$A$2:$A$897,$A11,Games!$I$2:$I$897)+SUMIF(Games!$B$2:$B$897,$A11,Games!$J$2:$J$897)</f>
        <v>22</v>
      </c>
      <c r="P11" s="0" t="n">
        <f aca="false">SUMIF(Games!$A$2:$A$897,$A11,Games!$J$2:$J$897)+SUMIF(Games!$B$2:$B$897,$A11,Games!$I$2:$I$897)</f>
        <v>13</v>
      </c>
      <c r="R11" s="0" t="n">
        <f aca="false">IFERROR((K11+N11)/(B11+C11),0)</f>
        <v>395.25</v>
      </c>
      <c r="S11" s="0" t="n">
        <f aca="false">P11-O11</f>
        <v>-9</v>
      </c>
      <c r="T11" s="0" t="n">
        <f aca="false">IFERROR((D11/(D11+E11))*(F11/(F11+G11)),0)</f>
        <v>0.167450190284307</v>
      </c>
      <c r="U11" s="0" t="n">
        <f aca="false">RANK(T11,T$2:T$132)</f>
        <v>13</v>
      </c>
      <c r="V11" s="0" t="n">
        <f aca="false">IFERROR((B11/(B11+C11))*25,0)+IFERROR((D11/(D11+E11))*25,0)+IFERROR((F11/(F11+G11))*10,0)+H11+((J11-RMEAN)/RDEV)*5+((M11-PMEAN)/PDEV)*5+((DMEAN-R11)/DDEV)*7+((S11-TOMEAN)/TODEV)*3</f>
        <v>10.2014164892713</v>
      </c>
    </row>
    <row r="12" customFormat="false" ht="15" hidden="false" customHeight="false" outlineLevel="0" collapsed="false">
      <c r="A12" s="0" t="s">
        <v>16</v>
      </c>
      <c r="B12" s="0" t="n">
        <f aca="false">SUMIF(Games!$A$2:$A$897,$A12,Games!$K$2:$K$897)+SUMIF(Games!$B$2:$B$897,$A12,Games!$L$2:$L$897)</f>
        <v>8</v>
      </c>
      <c r="C12" s="0" t="n">
        <f aca="false">SUMIF(Games!$A$2:$A$897,$A12,Games!$L$2:$L$897)+SUMIF(Games!$B$2:$B$897,$A12,Games!$K$2:$K$897)</f>
        <v>5</v>
      </c>
      <c r="D12" s="0" t="n">
        <f aca="false">SUMIF(Games!$A$2:$A$897,$A12,Games!$O$2:$O$897)+SUMIF(Games!$B$2:$B$897,$A12,Games!$M$2:$M$897)</f>
        <v>90</v>
      </c>
      <c r="E12" s="0" t="n">
        <f aca="false">SUMIF(Games!$A$2:$A$897,$A12,Games!$P$2:$P$897)+SUMIF(Games!$B$2:$B$897,$A12,Games!$N$2:$N$897)</f>
        <v>185</v>
      </c>
      <c r="F12" s="0" t="n">
        <f aca="false">SUMIF(Games!$A$2:$A$897,$A12,Games!$S$2:$S$897)+SUMIF(Games!$B$2:$B$897,$A12,Games!$Q$2:$Q$897)</f>
        <v>1923</v>
      </c>
      <c r="G12" s="0" t="n">
        <f aca="false">SUMIF(Games!$A$2:$A$897,$A12,Games!$T$2:$T$897)+SUMIF(Games!$B$2:$B$897,$A12,Games!$R$2:$R$897)</f>
        <v>2787</v>
      </c>
      <c r="H12" s="0" t="n">
        <f aca="false">SUMIF(Games!$A$2:$A$897,$A12,Games!$U$2:$U$897)+SUMIF(Games!$B$2:$B$897,$A12,Games!$V$2:$V$897)</f>
        <v>-8.69994481452199</v>
      </c>
      <c r="I12" s="0" t="n">
        <f aca="false">SUMIF(Games!$A$2:$A$897,$A12,Games!$E$2:$E$897)+SUMIF(Games!$B$2:$B$897,$A12,Games!$F$2:$F$897)</f>
        <v>2293</v>
      </c>
      <c r="J12" s="0" t="n">
        <f aca="false">IFERROR(I12/(B12+C12),0)</f>
        <v>176.384615384615</v>
      </c>
      <c r="K12" s="0" t="n">
        <f aca="false">SUMIF(Games!$A$2:$A$897,$A12,Games!$F$2:$F$897)+SUMIF(Games!$B$2:$B$897,$A12,Games!$E$2:$E$897)</f>
        <v>2245</v>
      </c>
      <c r="L12" s="0" t="n">
        <f aca="false">SUMIF(Games!$A$2:$A$897,$A12,Games!$G$2:$G$897)+SUMIF(Games!$B$2:$B$897,$A12,Games!$H$2:$H$897)</f>
        <v>3246</v>
      </c>
      <c r="M12" s="0" t="n">
        <f aca="false">IFERROR(L12/(B12+C12),0)</f>
        <v>249.692307692308</v>
      </c>
      <c r="N12" s="0" t="n">
        <f aca="false">SUMIF(Games!$A$2:$A$897,$A12,Games!$H$2:$H$897)+SUMIF(Games!$B$2:$B$897,$A12,Games!$G$2:$G$897)</f>
        <v>3047</v>
      </c>
      <c r="O12" s="0" t="n">
        <f aca="false">SUMIF(Games!$A$2:$A$897,$A12,Games!$I$2:$I$897)+SUMIF(Games!$B$2:$B$897,$A12,Games!$J$2:$J$897)</f>
        <v>10</v>
      </c>
      <c r="P12" s="0" t="n">
        <f aca="false">SUMIF(Games!$A$2:$A$897,$A12,Games!$J$2:$J$897)+SUMIF(Games!$B$2:$B$897,$A12,Games!$I$2:$I$897)</f>
        <v>12</v>
      </c>
      <c r="R12" s="0" t="n">
        <f aca="false">IFERROR((K12+N12)/(B12+C12),0)</f>
        <v>407.076923076923</v>
      </c>
      <c r="S12" s="0" t="n">
        <f aca="false">P12-O12</f>
        <v>2</v>
      </c>
      <c r="T12" s="0" t="n">
        <f aca="false">IFERROR((D12/(D12+E12))*(F12/(F12+G12)),0)</f>
        <v>0.133618992472496</v>
      </c>
      <c r="U12" s="0" t="n">
        <f aca="false">RANK(T12,T$2:T$132)</f>
        <v>68</v>
      </c>
      <c r="V12" s="0" t="n">
        <f aca="false">IFERROR((B12/(B12+C12))*25,0)+IFERROR((D12/(D12+E12))*25,0)+IFERROR((F12/(F12+G12))*10,0)+H12+((J12-RMEAN)/RDEV)*5+((M12-PMEAN)/PDEV)*5+((DMEAN-R12)/DDEV)*7+((S12-TOMEAN)/TODEV)*3</f>
        <v>19.365085336623</v>
      </c>
    </row>
    <row r="13" customFormat="false" ht="15" hidden="false" customHeight="false" outlineLevel="0" collapsed="false">
      <c r="A13" s="0" t="s">
        <v>17</v>
      </c>
      <c r="B13" s="0" t="n">
        <f aca="false">SUMIF(Games!$A$2:$A$897,$A13,Games!$K$2:$K$897)+SUMIF(Games!$B$2:$B$897,$A13,Games!$L$2:$L$897)</f>
        <v>5</v>
      </c>
      <c r="C13" s="0" t="n">
        <f aca="false">SUMIF(Games!$A$2:$A$897,$A13,Games!$L$2:$L$897)+SUMIF(Games!$B$2:$B$897,$A13,Games!$K$2:$K$897)</f>
        <v>7</v>
      </c>
      <c r="D13" s="0" t="n">
        <f aca="false">SUMIF(Games!$A$2:$A$897,$A13,Games!$O$2:$O$897)+SUMIF(Games!$B$2:$B$897,$A13,Games!$M$2:$M$897)</f>
        <v>82</v>
      </c>
      <c r="E13" s="0" t="n">
        <f aca="false">SUMIF(Games!$A$2:$A$897,$A13,Games!$P$2:$P$897)+SUMIF(Games!$B$2:$B$897,$A13,Games!$N$2:$N$897)</f>
        <v>179</v>
      </c>
      <c r="F13" s="0" t="n">
        <f aca="false">SUMIF(Games!$A$2:$A$897,$A13,Games!$S$2:$S$897)+SUMIF(Games!$B$2:$B$897,$A13,Games!$Q$2:$Q$897)</f>
        <v>1726</v>
      </c>
      <c r="G13" s="0" t="n">
        <f aca="false">SUMIF(Games!$A$2:$A$897,$A13,Games!$T$2:$T$897)+SUMIF(Games!$B$2:$B$897,$A13,Games!$R$2:$R$897)</f>
        <v>2773</v>
      </c>
      <c r="H13" s="0" t="n">
        <f aca="false">SUMIF(Games!$A$2:$A$897,$A13,Games!$U$2:$U$897)+SUMIF(Games!$B$2:$B$897,$A13,Games!$V$2:$V$897)</f>
        <v>-12.8316291714347</v>
      </c>
      <c r="I13" s="0" t="n">
        <f aca="false">SUMIF(Games!$A$2:$A$897,$A13,Games!$E$2:$E$897)+SUMIF(Games!$B$2:$B$897,$A13,Games!$F$2:$F$897)</f>
        <v>1893</v>
      </c>
      <c r="J13" s="0" t="n">
        <f aca="false">IFERROR(I13/(B13+C13),0)</f>
        <v>157.75</v>
      </c>
      <c r="K13" s="0" t="n">
        <f aca="false">SUMIF(Games!$A$2:$A$897,$A13,Games!$F$2:$F$897)+SUMIF(Games!$B$2:$B$897,$A13,Games!$E$2:$E$897)</f>
        <v>2208</v>
      </c>
      <c r="L13" s="0" t="n">
        <f aca="false">SUMIF(Games!$A$2:$A$897,$A13,Games!$G$2:$G$897)+SUMIF(Games!$B$2:$B$897,$A13,Games!$H$2:$H$897)</f>
        <v>2738</v>
      </c>
      <c r="M13" s="0" t="n">
        <f aca="false">IFERROR(L13/(B13+C13),0)</f>
        <v>228.166666666667</v>
      </c>
      <c r="N13" s="0" t="n">
        <f aca="false">SUMIF(Games!$A$2:$A$897,$A13,Games!$H$2:$H$897)+SUMIF(Games!$B$2:$B$897,$A13,Games!$G$2:$G$897)</f>
        <v>2593</v>
      </c>
      <c r="O13" s="0" t="n">
        <f aca="false">SUMIF(Games!$A$2:$A$897,$A13,Games!$I$2:$I$897)+SUMIF(Games!$B$2:$B$897,$A13,Games!$J$2:$J$897)</f>
        <v>21</v>
      </c>
      <c r="P13" s="0" t="n">
        <f aca="false">SUMIF(Games!$A$2:$A$897,$A13,Games!$J$2:$J$897)+SUMIF(Games!$B$2:$B$897,$A13,Games!$I$2:$I$897)</f>
        <v>15</v>
      </c>
      <c r="R13" s="0" t="n">
        <f aca="false">IFERROR((K13+N13)/(B13+C13),0)</f>
        <v>400.083333333333</v>
      </c>
      <c r="S13" s="0" t="n">
        <f aca="false">P13-O13</f>
        <v>-6</v>
      </c>
      <c r="T13" s="0" t="n">
        <f aca="false">IFERROR((D13/(D13+E13))*(F13/(F13+G13)),0)</f>
        <v>0.120530828902804</v>
      </c>
      <c r="U13" s="0" t="n">
        <f aca="false">RANK(T13,T$2:T$132)</f>
        <v>104</v>
      </c>
      <c r="V13" s="0" t="n">
        <f aca="false">IFERROR((B13/(B13+C13))*25,0)+IFERROR((D13/(D13+E13))*25,0)+IFERROR((F13/(F13+G13))*10,0)+H13+((J13-RMEAN)/RDEV)*5+((M13-PMEAN)/PDEV)*5+((DMEAN-R13)/DDEV)*7+((S13-TOMEAN)/TODEV)*3</f>
        <v>3.04103811585429</v>
      </c>
    </row>
    <row r="14" customFormat="false" ht="15" hidden="false" customHeight="false" outlineLevel="0" collapsed="false">
      <c r="A14" s="0" t="s">
        <v>18</v>
      </c>
      <c r="B14" s="0" t="n">
        <f aca="false">SUMIF(Games!$A$2:$A$897,$A14,Games!$K$2:$K$897)+SUMIF(Games!$B$2:$B$897,$A14,Games!$L$2:$L$897)</f>
        <v>6</v>
      </c>
      <c r="C14" s="0" t="n">
        <f aca="false">SUMIF(Games!$A$2:$A$897,$A14,Games!$L$2:$L$897)+SUMIF(Games!$B$2:$B$897,$A14,Games!$K$2:$K$897)</f>
        <v>7</v>
      </c>
      <c r="D14" s="0" t="n">
        <f aca="false">SUMIF(Games!$A$2:$A$897,$A14,Games!$O$2:$O$897)+SUMIF(Games!$B$2:$B$897,$A14,Games!$M$2:$M$897)</f>
        <v>97</v>
      </c>
      <c r="E14" s="0" t="n">
        <f aca="false">SUMIF(Games!$A$2:$A$897,$A14,Games!$P$2:$P$897)+SUMIF(Games!$B$2:$B$897,$A14,Games!$N$2:$N$897)</f>
        <v>179</v>
      </c>
      <c r="F14" s="0" t="n">
        <f aca="false">SUMIF(Games!$A$2:$A$897,$A14,Games!$S$2:$S$897)+SUMIF(Games!$B$2:$B$897,$A14,Games!$Q$2:$Q$897)</f>
        <v>1925</v>
      </c>
      <c r="G14" s="0" t="n">
        <f aca="false">SUMIF(Games!$A$2:$A$897,$A14,Games!$T$2:$T$897)+SUMIF(Games!$B$2:$B$897,$A14,Games!$R$2:$R$897)</f>
        <v>2698</v>
      </c>
      <c r="H14" s="0" t="n">
        <f aca="false">SUMIF(Games!$A$2:$A$897,$A14,Games!$U$2:$U$897)+SUMIF(Games!$B$2:$B$897,$A14,Games!$V$2:$V$897)</f>
        <v>-1.17263095308847</v>
      </c>
      <c r="I14" s="0" t="n">
        <f aca="false">SUMIF(Games!$A$2:$A$897,$A14,Games!$E$2:$E$897)+SUMIF(Games!$B$2:$B$897,$A14,Games!$F$2:$F$897)</f>
        <v>2371</v>
      </c>
      <c r="J14" s="0" t="n">
        <f aca="false">IFERROR(I14/(B14+C14),0)</f>
        <v>182.384615384615</v>
      </c>
      <c r="K14" s="0" t="n">
        <f aca="false">SUMIF(Games!$A$2:$A$897,$A14,Games!$F$2:$F$897)+SUMIF(Games!$B$2:$B$897,$A14,Games!$E$2:$E$897)</f>
        <v>1927</v>
      </c>
      <c r="L14" s="0" t="n">
        <f aca="false">SUMIF(Games!$A$2:$A$897,$A14,Games!$G$2:$G$897)+SUMIF(Games!$B$2:$B$897,$A14,Games!$H$2:$H$897)</f>
        <v>3009</v>
      </c>
      <c r="M14" s="0" t="n">
        <f aca="false">IFERROR(L14/(B14+C14),0)</f>
        <v>231.461538461538</v>
      </c>
      <c r="N14" s="0" t="n">
        <f aca="false">SUMIF(Games!$A$2:$A$897,$A14,Games!$H$2:$H$897)+SUMIF(Games!$B$2:$B$897,$A14,Games!$G$2:$G$897)</f>
        <v>2896</v>
      </c>
      <c r="O14" s="0" t="n">
        <f aca="false">SUMIF(Games!$A$2:$A$897,$A14,Games!$I$2:$I$897)+SUMIF(Games!$B$2:$B$897,$A14,Games!$J$2:$J$897)</f>
        <v>18</v>
      </c>
      <c r="P14" s="0" t="n">
        <f aca="false">SUMIF(Games!$A$2:$A$897,$A14,Games!$J$2:$J$897)+SUMIF(Games!$B$2:$B$897,$A14,Games!$I$2:$I$897)</f>
        <v>21</v>
      </c>
      <c r="R14" s="0" t="n">
        <f aca="false">IFERROR((K14+N14)/(B14+C14),0)</f>
        <v>371</v>
      </c>
      <c r="S14" s="0" t="n">
        <f aca="false">P14-O14</f>
        <v>3</v>
      </c>
      <c r="T14" s="0" t="n">
        <f aca="false">IFERROR((D14/(D14+E14))*(F14/(F14+G14)),0)</f>
        <v>0.146342170684072</v>
      </c>
      <c r="U14" s="0" t="n">
        <f aca="false">RANK(T14,T$2:T$132)</f>
        <v>44</v>
      </c>
      <c r="V14" s="0" t="n">
        <f aca="false">IFERROR((B14/(B14+C14))*25,0)+IFERROR((D14/(D14+E14))*25,0)+IFERROR((F14/(F14+G14))*10,0)+H14+((J14-RMEAN)/RDEV)*5+((M14-PMEAN)/PDEV)*5+((DMEAN-R14)/DDEV)*7+((S14-TOMEAN)/TODEV)*3</f>
        <v>27.9929176782843</v>
      </c>
    </row>
    <row r="15" customFormat="false" ht="15" hidden="false" customHeight="false" outlineLevel="0" collapsed="false">
      <c r="A15" s="0" t="s">
        <v>19</v>
      </c>
      <c r="B15" s="0" t="n">
        <f aca="false">SUMIF(Games!$A$2:$A$897,$A15,Games!$K$2:$K$897)+SUMIF(Games!$B$2:$B$897,$A15,Games!$L$2:$L$897)</f>
        <v>10</v>
      </c>
      <c r="C15" s="0" t="n">
        <f aca="false">SUMIF(Games!$A$2:$A$897,$A15,Games!$L$2:$L$897)+SUMIF(Games!$B$2:$B$897,$A15,Games!$K$2:$K$897)</f>
        <v>4</v>
      </c>
      <c r="D15" s="0" t="n">
        <f aca="false">SUMIF(Games!$A$2:$A$897,$A15,Games!$O$2:$O$897)+SUMIF(Games!$B$2:$B$897,$A15,Games!$M$2:$M$897)</f>
        <v>95</v>
      </c>
      <c r="E15" s="0" t="n">
        <f aca="false">SUMIF(Games!$A$2:$A$897,$A15,Games!$P$2:$P$897)+SUMIF(Games!$B$2:$B$897,$A15,Games!$N$2:$N$897)</f>
        <v>193</v>
      </c>
      <c r="F15" s="0" t="n">
        <f aca="false">SUMIF(Games!$A$2:$A$897,$A15,Games!$S$2:$S$897)+SUMIF(Games!$B$2:$B$897,$A15,Games!$Q$2:$Q$897)</f>
        <v>1933</v>
      </c>
      <c r="G15" s="0" t="n">
        <f aca="false">SUMIF(Games!$A$2:$A$897,$A15,Games!$T$2:$T$897)+SUMIF(Games!$B$2:$B$897,$A15,Games!$R$2:$R$897)</f>
        <v>3045</v>
      </c>
      <c r="H15" s="0" t="n">
        <f aca="false">SUMIF(Games!$A$2:$A$897,$A15,Games!$U$2:$U$897)+SUMIF(Games!$B$2:$B$897,$A15,Games!$V$2:$V$897)</f>
        <v>8.68296769685904</v>
      </c>
      <c r="I15" s="0" t="n">
        <f aca="false">SUMIF(Games!$A$2:$A$897,$A15,Games!$E$2:$E$897)+SUMIF(Games!$B$2:$B$897,$A15,Games!$F$2:$F$897)</f>
        <v>2751</v>
      </c>
      <c r="J15" s="0" t="n">
        <f aca="false">IFERROR(I15/(B15+C15),0)</f>
        <v>196.5</v>
      </c>
      <c r="K15" s="0" t="n">
        <f aca="false">SUMIF(Games!$A$2:$A$897,$A15,Games!$F$2:$F$897)+SUMIF(Games!$B$2:$B$897,$A15,Games!$E$2:$E$897)</f>
        <v>1745</v>
      </c>
      <c r="L15" s="0" t="n">
        <f aca="false">SUMIF(Games!$A$2:$A$897,$A15,Games!$G$2:$G$897)+SUMIF(Games!$B$2:$B$897,$A15,Games!$H$2:$H$897)</f>
        <v>2649</v>
      </c>
      <c r="M15" s="0" t="n">
        <f aca="false">IFERROR(L15/(B15+C15),0)</f>
        <v>189.214285714286</v>
      </c>
      <c r="N15" s="0" t="n">
        <f aca="false">SUMIF(Games!$A$2:$A$897,$A15,Games!$H$2:$H$897)+SUMIF(Games!$B$2:$B$897,$A15,Games!$G$2:$G$897)</f>
        <v>2348</v>
      </c>
      <c r="O15" s="0" t="n">
        <f aca="false">SUMIF(Games!$A$2:$A$897,$A15,Games!$I$2:$I$897)+SUMIF(Games!$B$2:$B$897,$A15,Games!$J$2:$J$897)</f>
        <v>17</v>
      </c>
      <c r="P15" s="0" t="n">
        <f aca="false">SUMIF(Games!$A$2:$A$897,$A15,Games!$J$2:$J$897)+SUMIF(Games!$B$2:$B$897,$A15,Games!$I$2:$I$897)</f>
        <v>20</v>
      </c>
      <c r="R15" s="0" t="n">
        <f aca="false">IFERROR((K15+N15)/(B15+C15),0)</f>
        <v>292.357142857143</v>
      </c>
      <c r="S15" s="0" t="n">
        <f aca="false">P15-O15</f>
        <v>3</v>
      </c>
      <c r="T15" s="0" t="n">
        <f aca="false">IFERROR((D15/(D15+E15))*(F15/(F15+G15)),0)</f>
        <v>0.128087892281595</v>
      </c>
      <c r="U15" s="0" t="n">
        <f aca="false">RANK(T15,T$2:T$132)</f>
        <v>83</v>
      </c>
      <c r="V15" s="0" t="n">
        <f aca="false">IFERROR((B15/(B15+C15))*25,0)+IFERROR((D15/(D15+E15))*25,0)+IFERROR((F15/(F15+G15))*10,0)+H15+((J15-RMEAN)/RDEV)*5+((M15-PMEAN)/PDEV)*5+((DMEAN-R15)/DDEV)*7+((S15-TOMEAN)/TODEV)*3</f>
        <v>51.5596287764065</v>
      </c>
    </row>
    <row r="16" customFormat="false" ht="15" hidden="false" customHeight="false" outlineLevel="0" collapsed="false">
      <c r="A16" s="0" t="s">
        <v>20</v>
      </c>
      <c r="B16" s="0" t="n">
        <f aca="false">SUMIF(Games!$A$2:$A$897,$A16,Games!$K$2:$K$897)+SUMIF(Games!$B$2:$B$897,$A16,Games!$L$2:$L$897)</f>
        <v>3</v>
      </c>
      <c r="C16" s="0" t="n">
        <f aca="false">SUMIF(Games!$A$2:$A$897,$A16,Games!$L$2:$L$897)+SUMIF(Games!$B$2:$B$897,$A16,Games!$K$2:$K$897)</f>
        <v>9</v>
      </c>
      <c r="D16" s="0" t="n">
        <f aca="false">SUMIF(Games!$A$2:$A$897,$A16,Games!$O$2:$O$897)+SUMIF(Games!$B$2:$B$897,$A16,Games!$M$2:$M$897)</f>
        <v>91</v>
      </c>
      <c r="E16" s="0" t="n">
        <f aca="false">SUMIF(Games!$A$2:$A$897,$A16,Games!$P$2:$P$897)+SUMIF(Games!$B$2:$B$897,$A16,Games!$N$2:$N$897)</f>
        <v>170</v>
      </c>
      <c r="F16" s="0" t="n">
        <f aca="false">SUMIF(Games!$A$2:$A$897,$A16,Games!$S$2:$S$897)+SUMIF(Games!$B$2:$B$897,$A16,Games!$Q$2:$Q$897)</f>
        <v>1798</v>
      </c>
      <c r="G16" s="0" t="n">
        <f aca="false">SUMIF(Games!$A$2:$A$897,$A16,Games!$T$2:$T$897)+SUMIF(Games!$B$2:$B$897,$A16,Games!$R$2:$R$897)</f>
        <v>2494</v>
      </c>
      <c r="H16" s="0" t="n">
        <f aca="false">SUMIF(Games!$A$2:$A$897,$A16,Games!$U$2:$U$897)+SUMIF(Games!$B$2:$B$897,$A16,Games!$V$2:$V$897)</f>
        <v>-35.9428378900324</v>
      </c>
      <c r="I16" s="0" t="n">
        <f aca="false">SUMIF(Games!$A$2:$A$897,$A16,Games!$E$2:$E$897)+SUMIF(Games!$B$2:$B$897,$A16,Games!$F$2:$F$897)</f>
        <v>768</v>
      </c>
      <c r="J16" s="0" t="n">
        <f aca="false">IFERROR(I16/(B16+C16),0)</f>
        <v>64</v>
      </c>
      <c r="K16" s="0" t="n">
        <f aca="false">SUMIF(Games!$A$2:$A$897,$A16,Games!$F$2:$F$897)+SUMIF(Games!$B$2:$B$897,$A16,Games!$E$2:$E$897)</f>
        <v>2009</v>
      </c>
      <c r="L16" s="0" t="n">
        <f aca="false">SUMIF(Games!$A$2:$A$897,$A16,Games!$G$2:$G$897)+SUMIF(Games!$B$2:$B$897,$A16,Games!$H$2:$H$897)</f>
        <v>2965</v>
      </c>
      <c r="M16" s="0" t="n">
        <f aca="false">IFERROR(L16/(B16+C16),0)</f>
        <v>247.083333333333</v>
      </c>
      <c r="N16" s="0" t="n">
        <f aca="false">SUMIF(Games!$A$2:$A$897,$A16,Games!$H$2:$H$897)+SUMIF(Games!$B$2:$B$897,$A16,Games!$G$2:$G$897)</f>
        <v>2534</v>
      </c>
      <c r="O16" s="0" t="n">
        <f aca="false">SUMIF(Games!$A$2:$A$897,$A16,Games!$I$2:$I$897)+SUMIF(Games!$B$2:$B$897,$A16,Games!$J$2:$J$897)</f>
        <v>26</v>
      </c>
      <c r="P16" s="0" t="n">
        <f aca="false">SUMIF(Games!$A$2:$A$897,$A16,Games!$J$2:$J$897)+SUMIF(Games!$B$2:$B$897,$A16,Games!$I$2:$I$897)</f>
        <v>14</v>
      </c>
      <c r="R16" s="0" t="n">
        <f aca="false">IFERROR((K16+N16)/(B16+C16),0)</f>
        <v>378.583333333333</v>
      </c>
      <c r="S16" s="0" t="n">
        <f aca="false">P16-O16</f>
        <v>-12</v>
      </c>
      <c r="T16" s="0" t="n">
        <f aca="false">IFERROR((D16/(D16+E16))*(F16/(F16+G16)),0)</f>
        <v>0.146059852956405</v>
      </c>
      <c r="U16" s="0" t="n">
        <f aca="false">RANK(T16,T$2:T$132)</f>
        <v>48</v>
      </c>
      <c r="V16" s="0" t="n">
        <f aca="false">IFERROR((B16/(B16+C16))*25,0)+IFERROR((D16/(D16+E16))*25,0)+IFERROR((F16/(F16+G16))*10,0)+H16+((J16-RMEAN)/RDEV)*5+((M16-PMEAN)/PDEV)*5+((DMEAN-R16)/DDEV)*7+((S16-TOMEAN)/TODEV)*3</f>
        <v>-31.2730484860626</v>
      </c>
    </row>
    <row r="17" customFormat="false" ht="15" hidden="false" customHeight="false" outlineLevel="0" collapsed="false">
      <c r="A17" s="0" t="s">
        <v>21</v>
      </c>
      <c r="B17" s="0" t="n">
        <f aca="false">SUMIF(Games!$A$2:$A$897,$A17,Games!$K$2:$K$897)+SUMIF(Games!$B$2:$B$897,$A17,Games!$L$2:$L$897)</f>
        <v>6</v>
      </c>
      <c r="C17" s="0" t="n">
        <f aca="false">SUMIF(Games!$A$2:$A$897,$A17,Games!$L$2:$L$897)+SUMIF(Games!$B$2:$B$897,$A17,Games!$K$2:$K$897)</f>
        <v>7</v>
      </c>
      <c r="D17" s="0" t="n">
        <f aca="false">SUMIF(Games!$A$2:$A$897,$A17,Games!$O$2:$O$897)+SUMIF(Games!$B$2:$B$897,$A17,Games!$M$2:$M$897)</f>
        <v>90</v>
      </c>
      <c r="E17" s="0" t="n">
        <f aca="false">SUMIF(Games!$A$2:$A$897,$A17,Games!$P$2:$P$897)+SUMIF(Games!$B$2:$B$897,$A17,Games!$N$2:$N$897)</f>
        <v>184</v>
      </c>
      <c r="F17" s="0" t="n">
        <f aca="false">SUMIF(Games!$A$2:$A$897,$A17,Games!$S$2:$S$897)+SUMIF(Games!$B$2:$B$897,$A17,Games!$Q$2:$Q$897)</f>
        <v>1827</v>
      </c>
      <c r="G17" s="0" t="n">
        <f aca="false">SUMIF(Games!$A$2:$A$897,$A17,Games!$T$2:$T$897)+SUMIF(Games!$B$2:$B$897,$A17,Games!$R$2:$R$897)</f>
        <v>3166</v>
      </c>
      <c r="H17" s="0" t="n">
        <f aca="false">SUMIF(Games!$A$2:$A$897,$A17,Games!$U$2:$U$897)+SUMIF(Games!$B$2:$B$897,$A17,Games!$V$2:$V$897)</f>
        <v>-37.3669124889938</v>
      </c>
      <c r="I17" s="0" t="n">
        <f aca="false">SUMIF(Games!$A$2:$A$897,$A17,Games!$E$2:$E$897)+SUMIF(Games!$B$2:$B$897,$A17,Games!$F$2:$F$897)</f>
        <v>1283</v>
      </c>
      <c r="J17" s="0" t="n">
        <f aca="false">IFERROR(I17/(B17+C17),0)</f>
        <v>98.6923076923077</v>
      </c>
      <c r="K17" s="0" t="n">
        <f aca="false">SUMIF(Games!$A$2:$A$897,$A17,Games!$F$2:$F$897)+SUMIF(Games!$B$2:$B$897,$A17,Games!$E$2:$E$897)</f>
        <v>2196</v>
      </c>
      <c r="L17" s="0" t="n">
        <f aca="false">SUMIF(Games!$A$2:$A$897,$A17,Games!$G$2:$G$897)+SUMIF(Games!$B$2:$B$897,$A17,Games!$H$2:$H$897)</f>
        <v>3062</v>
      </c>
      <c r="M17" s="0" t="n">
        <f aca="false">IFERROR(L17/(B17+C17),0)</f>
        <v>235.538461538462</v>
      </c>
      <c r="N17" s="0" t="n">
        <f aca="false">SUMIF(Games!$A$2:$A$897,$A17,Games!$H$2:$H$897)+SUMIF(Games!$B$2:$B$897,$A17,Games!$G$2:$G$897)</f>
        <v>3259</v>
      </c>
      <c r="O17" s="0" t="n">
        <f aca="false">SUMIF(Games!$A$2:$A$897,$A17,Games!$I$2:$I$897)+SUMIF(Games!$B$2:$B$897,$A17,Games!$J$2:$J$897)</f>
        <v>23</v>
      </c>
      <c r="P17" s="0" t="n">
        <f aca="false">SUMIF(Games!$A$2:$A$897,$A17,Games!$J$2:$J$897)+SUMIF(Games!$B$2:$B$897,$A17,Games!$I$2:$I$897)</f>
        <v>23</v>
      </c>
      <c r="R17" s="0" t="n">
        <f aca="false">IFERROR((K17+N17)/(B17+C17),0)</f>
        <v>419.615384615385</v>
      </c>
      <c r="S17" s="0" t="n">
        <f aca="false">P17-O17</f>
        <v>0</v>
      </c>
      <c r="T17" s="0" t="n">
        <f aca="false">IFERROR((D17/(D17+E17))*(F17/(F17+G17)),0)</f>
        <v>0.120190164039875</v>
      </c>
      <c r="U17" s="0" t="n">
        <f aca="false">RANK(T17,T$2:T$132)</f>
        <v>106</v>
      </c>
      <c r="V17" s="0" t="n">
        <f aca="false">IFERROR((B17/(B17+C17))*25,0)+IFERROR((D17/(D17+E17))*25,0)+IFERROR((F17/(F17+G17))*10,0)+H17+((J17-RMEAN)/RDEV)*5+((M17-PMEAN)/PDEV)*5+((DMEAN-R17)/DDEV)*7+((S17-TOMEAN)/TODEV)*3</f>
        <v>-26.0474663805645</v>
      </c>
    </row>
    <row r="18" customFormat="false" ht="15" hidden="false" customHeight="false" outlineLevel="0" collapsed="false">
      <c r="A18" s="0" t="s">
        <v>22</v>
      </c>
      <c r="B18" s="0" t="n">
        <f aca="false">SUMIF(Games!$A$2:$A$897,$A18,Games!$K$2:$K$897)+SUMIF(Games!$B$2:$B$897,$A18,Games!$L$2:$L$897)</f>
        <v>7</v>
      </c>
      <c r="C18" s="0" t="n">
        <f aca="false">SUMIF(Games!$A$2:$A$897,$A18,Games!$L$2:$L$897)+SUMIF(Games!$B$2:$B$897,$A18,Games!$K$2:$K$897)</f>
        <v>6</v>
      </c>
      <c r="D18" s="0" t="n">
        <f aca="false">SUMIF(Games!$A$2:$A$897,$A18,Games!$O$2:$O$897)+SUMIF(Games!$B$2:$B$897,$A18,Games!$M$2:$M$897)</f>
        <v>83</v>
      </c>
      <c r="E18" s="0" t="n">
        <f aca="false">SUMIF(Games!$A$2:$A$897,$A18,Games!$P$2:$P$897)+SUMIF(Games!$B$2:$B$897,$A18,Games!$N$2:$N$897)</f>
        <v>191</v>
      </c>
      <c r="F18" s="0" t="n">
        <f aca="false">SUMIF(Games!$A$2:$A$897,$A18,Games!$S$2:$S$897)+SUMIF(Games!$B$2:$B$897,$A18,Games!$Q$2:$Q$897)</f>
        <v>1811</v>
      </c>
      <c r="G18" s="0" t="n">
        <f aca="false">SUMIF(Games!$A$2:$A$897,$A18,Games!$T$2:$T$897)+SUMIF(Games!$B$2:$B$897,$A18,Games!$R$2:$R$897)</f>
        <v>2850</v>
      </c>
      <c r="H18" s="0" t="n">
        <f aca="false">SUMIF(Games!$A$2:$A$897,$A18,Games!$U$2:$U$897)+SUMIF(Games!$B$2:$B$897,$A18,Games!$V$2:$V$897)</f>
        <v>-5.2099408521166</v>
      </c>
      <c r="I18" s="0" t="n">
        <f aca="false">SUMIF(Games!$A$2:$A$897,$A18,Games!$E$2:$E$897)+SUMIF(Games!$B$2:$B$897,$A18,Games!$F$2:$F$897)</f>
        <v>1820</v>
      </c>
      <c r="J18" s="0" t="n">
        <f aca="false">IFERROR(I18/(B18+C18),0)</f>
        <v>140</v>
      </c>
      <c r="K18" s="0" t="n">
        <f aca="false">SUMIF(Games!$A$2:$A$897,$A18,Games!$F$2:$F$897)+SUMIF(Games!$B$2:$B$897,$A18,Games!$E$2:$E$897)</f>
        <v>2138</v>
      </c>
      <c r="L18" s="0" t="n">
        <f aca="false">SUMIF(Games!$A$2:$A$897,$A18,Games!$G$2:$G$897)+SUMIF(Games!$B$2:$B$897,$A18,Games!$H$2:$H$897)</f>
        <v>2795</v>
      </c>
      <c r="M18" s="0" t="n">
        <f aca="false">IFERROR(L18/(B18+C18),0)</f>
        <v>215</v>
      </c>
      <c r="N18" s="0" t="n">
        <f aca="false">SUMIF(Games!$A$2:$A$897,$A18,Games!$H$2:$H$897)+SUMIF(Games!$B$2:$B$897,$A18,Games!$G$2:$G$897)</f>
        <v>2695</v>
      </c>
      <c r="O18" s="0" t="n">
        <f aca="false">SUMIF(Games!$A$2:$A$897,$A18,Games!$I$2:$I$897)+SUMIF(Games!$B$2:$B$897,$A18,Games!$J$2:$J$897)</f>
        <v>17</v>
      </c>
      <c r="P18" s="0" t="n">
        <f aca="false">SUMIF(Games!$A$2:$A$897,$A18,Games!$J$2:$J$897)+SUMIF(Games!$B$2:$B$897,$A18,Games!$I$2:$I$897)</f>
        <v>23</v>
      </c>
      <c r="R18" s="0" t="n">
        <f aca="false">IFERROR((K18+N18)/(B18+C18),0)</f>
        <v>371.769230769231</v>
      </c>
      <c r="S18" s="0" t="n">
        <f aca="false">P18-O18</f>
        <v>6</v>
      </c>
      <c r="T18" s="0" t="n">
        <f aca="false">IFERROR((D18/(D18+E18))*(F18/(F18+G18)),0)</f>
        <v>0.117697402111323</v>
      </c>
      <c r="U18" s="0" t="n">
        <f aca="false">RANK(T18,T$2:T$132)</f>
        <v>110</v>
      </c>
      <c r="V18" s="0" t="n">
        <f aca="false">IFERROR((B18/(B18+C18))*25,0)+IFERROR((D18/(D18+E18))*25,0)+IFERROR((F18/(F18+G18))*10,0)+H18+((J18-RMEAN)/RDEV)*5+((M18-PMEAN)/PDEV)*5+((DMEAN-R18)/DDEV)*7+((S18-TOMEAN)/TODEV)*3</f>
        <v>19.3413574801445</v>
      </c>
    </row>
    <row r="19" customFormat="false" ht="15" hidden="false" customHeight="false" outlineLevel="0" collapsed="false">
      <c r="A19" s="0" t="s">
        <v>23</v>
      </c>
      <c r="B19" s="0" t="n">
        <f aca="false">SUMIF(Games!$A$2:$A$897,$A19,Games!$K$2:$K$897)+SUMIF(Games!$B$2:$B$897,$A19,Games!$L$2:$L$897)</f>
        <v>4</v>
      </c>
      <c r="C19" s="0" t="n">
        <f aca="false">SUMIF(Games!$A$2:$A$897,$A19,Games!$L$2:$L$897)+SUMIF(Games!$B$2:$B$897,$A19,Games!$K$2:$K$897)</f>
        <v>8</v>
      </c>
      <c r="D19" s="0" t="n">
        <f aca="false">SUMIF(Games!$A$2:$A$897,$A19,Games!$O$2:$O$897)+SUMIF(Games!$B$2:$B$897,$A19,Games!$M$2:$M$897)</f>
        <v>89</v>
      </c>
      <c r="E19" s="0" t="n">
        <f aca="false">SUMIF(Games!$A$2:$A$897,$A19,Games!$P$2:$P$897)+SUMIF(Games!$B$2:$B$897,$A19,Games!$N$2:$N$897)</f>
        <v>171</v>
      </c>
      <c r="F19" s="0" t="n">
        <f aca="false">SUMIF(Games!$A$2:$A$897,$A19,Games!$S$2:$S$897)+SUMIF(Games!$B$2:$B$897,$A19,Games!$Q$2:$Q$897)</f>
        <v>1824</v>
      </c>
      <c r="G19" s="0" t="n">
        <f aca="false">SUMIF(Games!$A$2:$A$897,$A19,Games!$T$2:$T$897)+SUMIF(Games!$B$2:$B$897,$A19,Games!$R$2:$R$897)</f>
        <v>2365</v>
      </c>
      <c r="H19" s="0" t="n">
        <f aca="false">SUMIF(Games!$A$2:$A$897,$A19,Games!$U$2:$U$897)+SUMIF(Games!$B$2:$B$897,$A19,Games!$V$2:$V$897)</f>
        <v>-13.8115746412917</v>
      </c>
      <c r="I19" s="0" t="n">
        <f aca="false">SUMIF(Games!$A$2:$A$897,$A19,Games!$E$2:$E$897)+SUMIF(Games!$B$2:$B$897,$A19,Games!$F$2:$F$897)</f>
        <v>1158</v>
      </c>
      <c r="J19" s="0" t="n">
        <f aca="false">IFERROR(I19/(B19+C19),0)</f>
        <v>96.5</v>
      </c>
      <c r="K19" s="0" t="n">
        <f aca="false">SUMIF(Games!$A$2:$A$897,$A19,Games!$F$2:$F$897)+SUMIF(Games!$B$2:$B$897,$A19,Games!$E$2:$E$897)</f>
        <v>1798</v>
      </c>
      <c r="L19" s="0" t="n">
        <f aca="false">SUMIF(Games!$A$2:$A$897,$A19,Games!$G$2:$G$897)+SUMIF(Games!$B$2:$B$897,$A19,Games!$H$2:$H$897)</f>
        <v>3217</v>
      </c>
      <c r="M19" s="0" t="n">
        <f aca="false">IFERROR(L19/(B19+C19),0)</f>
        <v>268.083333333333</v>
      </c>
      <c r="N19" s="0" t="n">
        <f aca="false">SUMIF(Games!$A$2:$A$897,$A19,Games!$H$2:$H$897)+SUMIF(Games!$B$2:$B$897,$A19,Games!$G$2:$G$897)</f>
        <v>3354</v>
      </c>
      <c r="O19" s="0" t="n">
        <f aca="false">SUMIF(Games!$A$2:$A$897,$A19,Games!$I$2:$I$897)+SUMIF(Games!$B$2:$B$897,$A19,Games!$J$2:$J$897)</f>
        <v>12</v>
      </c>
      <c r="P19" s="0" t="n">
        <f aca="false">SUMIF(Games!$A$2:$A$897,$A19,Games!$J$2:$J$897)+SUMIF(Games!$B$2:$B$897,$A19,Games!$I$2:$I$897)</f>
        <v>18</v>
      </c>
      <c r="R19" s="0" t="n">
        <f aca="false">IFERROR((K19+N19)/(B19+C19),0)</f>
        <v>429.333333333333</v>
      </c>
      <c r="S19" s="0" t="n">
        <f aca="false">P19-O19</f>
        <v>6</v>
      </c>
      <c r="T19" s="0" t="n">
        <f aca="false">IFERROR((D19/(D19+E19))*(F19/(F19+G19)),0)</f>
        <v>0.149049708944672</v>
      </c>
      <c r="U19" s="0" t="n">
        <f aca="false">RANK(T19,T$2:T$132)</f>
        <v>38</v>
      </c>
      <c r="V19" s="0" t="n">
        <f aca="false">IFERROR((B19/(B19+C19))*25,0)+IFERROR((D19/(D19+E19))*25,0)+IFERROR((F19/(F19+G19))*10,0)+H19+((J19-RMEAN)/RDEV)*5+((M19-PMEAN)/PDEV)*5+((DMEAN-R19)/DDEV)*7+((S19-TOMEAN)/TODEV)*3</f>
        <v>-0.498601719473957</v>
      </c>
    </row>
    <row r="20" customFormat="false" ht="15" hidden="false" customHeight="false" outlineLevel="0" collapsed="false">
      <c r="A20" s="0" t="s">
        <v>24</v>
      </c>
      <c r="B20" s="0" t="n">
        <f aca="false">SUMIF(Games!$A$2:$A$897,$A20,Games!$K$2:$K$897)+SUMIF(Games!$B$2:$B$897,$A20,Games!$L$2:$L$897)</f>
        <v>4</v>
      </c>
      <c r="C20" s="0" t="n">
        <f aca="false">SUMIF(Games!$A$2:$A$897,$A20,Games!$L$2:$L$897)+SUMIF(Games!$B$2:$B$897,$A20,Games!$K$2:$K$897)</f>
        <v>8</v>
      </c>
      <c r="D20" s="0" t="n">
        <f aca="false">SUMIF(Games!$A$2:$A$897,$A20,Games!$O$2:$O$897)+SUMIF(Games!$B$2:$B$897,$A20,Games!$M$2:$M$897)</f>
        <v>82</v>
      </c>
      <c r="E20" s="0" t="n">
        <f aca="false">SUMIF(Games!$A$2:$A$897,$A20,Games!$P$2:$P$897)+SUMIF(Games!$B$2:$B$897,$A20,Games!$N$2:$N$897)</f>
        <v>178</v>
      </c>
      <c r="F20" s="0" t="n">
        <f aca="false">SUMIF(Games!$A$2:$A$897,$A20,Games!$S$2:$S$897)+SUMIF(Games!$B$2:$B$897,$A20,Games!$Q$2:$Q$897)</f>
        <v>1710</v>
      </c>
      <c r="G20" s="0" t="n">
        <f aca="false">SUMIF(Games!$A$2:$A$897,$A20,Games!$T$2:$T$897)+SUMIF(Games!$B$2:$B$897,$A20,Games!$R$2:$R$897)</f>
        <v>2674</v>
      </c>
      <c r="H20" s="0" t="n">
        <f aca="false">SUMIF(Games!$A$2:$A$897,$A20,Games!$U$2:$U$897)+SUMIF(Games!$B$2:$B$897,$A20,Games!$V$2:$V$897)</f>
        <v>-21.3883982183219</v>
      </c>
      <c r="I20" s="0" t="n">
        <f aca="false">SUMIF(Games!$A$2:$A$897,$A20,Games!$E$2:$E$897)+SUMIF(Games!$B$2:$B$897,$A20,Games!$F$2:$F$897)</f>
        <v>1910</v>
      </c>
      <c r="J20" s="0" t="n">
        <f aca="false">IFERROR(I20/(B20+C20),0)</f>
        <v>159.166666666667</v>
      </c>
      <c r="K20" s="0" t="n">
        <f aca="false">SUMIF(Games!$A$2:$A$897,$A20,Games!$F$2:$F$897)+SUMIF(Games!$B$2:$B$897,$A20,Games!$E$2:$E$897)</f>
        <v>1795</v>
      </c>
      <c r="L20" s="0" t="n">
        <f aca="false">SUMIF(Games!$A$2:$A$897,$A20,Games!$G$2:$G$897)+SUMIF(Games!$B$2:$B$897,$A20,Games!$H$2:$H$897)</f>
        <v>2497</v>
      </c>
      <c r="M20" s="0" t="n">
        <f aca="false">IFERROR(L20/(B20+C20),0)</f>
        <v>208.083333333333</v>
      </c>
      <c r="N20" s="0" t="n">
        <f aca="false">SUMIF(Games!$A$2:$A$897,$A20,Games!$H$2:$H$897)+SUMIF(Games!$B$2:$B$897,$A20,Games!$G$2:$G$897)</f>
        <v>2695</v>
      </c>
      <c r="O20" s="0" t="n">
        <f aca="false">SUMIF(Games!$A$2:$A$897,$A20,Games!$I$2:$I$897)+SUMIF(Games!$B$2:$B$897,$A20,Games!$J$2:$J$897)</f>
        <v>28</v>
      </c>
      <c r="P20" s="0" t="n">
        <f aca="false">SUMIF(Games!$A$2:$A$897,$A20,Games!$J$2:$J$897)+SUMIF(Games!$B$2:$B$897,$A20,Games!$I$2:$I$897)</f>
        <v>10</v>
      </c>
      <c r="R20" s="0" t="n">
        <f aca="false">IFERROR((K20+N20)/(B20+C20),0)</f>
        <v>374.166666666667</v>
      </c>
      <c r="S20" s="0" t="n">
        <f aca="false">P20-O20</f>
        <v>-18</v>
      </c>
      <c r="T20" s="0" t="n">
        <f aca="false">IFERROR((D20/(D20+E20))*(F20/(F20+G20)),0)</f>
        <v>0.123017265581134</v>
      </c>
      <c r="U20" s="0" t="n">
        <f aca="false">RANK(T20,T$2:T$132)</f>
        <v>98</v>
      </c>
      <c r="V20" s="0" t="n">
        <f aca="false">IFERROR((B20/(B20+C20))*25,0)+IFERROR((D20/(D20+E20))*25,0)+IFERROR((F20/(F20+G20))*10,0)+H20+((J20-RMEAN)/RDEV)*5+((M20-PMEAN)/PDEV)*5+((DMEAN-R20)/DDEV)*7+((S20-TOMEAN)/TODEV)*3</f>
        <v>-10.9788449700227</v>
      </c>
    </row>
    <row r="21" customFormat="false" ht="15" hidden="false" customHeight="false" outlineLevel="0" collapsed="false">
      <c r="A21" s="0" t="s">
        <v>25</v>
      </c>
      <c r="B21" s="0" t="n">
        <f aca="false">SUMIF(Games!$A$2:$A$897,$A21,Games!$K$2:$K$897)+SUMIF(Games!$B$2:$B$897,$A21,Games!$L$2:$L$897)</f>
        <v>3</v>
      </c>
      <c r="C21" s="0" t="n">
        <f aca="false">SUMIF(Games!$A$2:$A$897,$A21,Games!$L$2:$L$897)+SUMIF(Games!$B$2:$B$897,$A21,Games!$K$2:$K$897)</f>
        <v>9</v>
      </c>
      <c r="D21" s="0" t="n">
        <f aca="false">SUMIF(Games!$A$2:$A$897,$A21,Games!$O$2:$O$897)+SUMIF(Games!$B$2:$B$897,$A21,Games!$M$2:$M$897)</f>
        <v>74</v>
      </c>
      <c r="E21" s="0" t="n">
        <f aca="false">SUMIF(Games!$A$2:$A$897,$A21,Games!$P$2:$P$897)+SUMIF(Games!$B$2:$B$897,$A21,Games!$N$2:$N$897)</f>
        <v>185</v>
      </c>
      <c r="F21" s="0" t="n">
        <f aca="false">SUMIF(Games!$A$2:$A$897,$A21,Games!$S$2:$S$897)+SUMIF(Games!$B$2:$B$897,$A21,Games!$Q$2:$Q$897)</f>
        <v>1733</v>
      </c>
      <c r="G21" s="0" t="n">
        <f aca="false">SUMIF(Games!$A$2:$A$897,$A21,Games!$T$2:$T$897)+SUMIF(Games!$B$2:$B$897,$A21,Games!$R$2:$R$897)</f>
        <v>2440</v>
      </c>
      <c r="H21" s="0" t="n">
        <f aca="false">SUMIF(Games!$A$2:$A$897,$A21,Games!$U$2:$U$897)+SUMIF(Games!$B$2:$B$897,$A21,Games!$V$2:$V$897)</f>
        <v>-56.2528033662775</v>
      </c>
      <c r="I21" s="0" t="n">
        <f aca="false">SUMIF(Games!$A$2:$A$897,$A21,Games!$E$2:$E$897)+SUMIF(Games!$B$2:$B$897,$A21,Games!$F$2:$F$897)</f>
        <v>1389</v>
      </c>
      <c r="J21" s="0" t="n">
        <f aca="false">IFERROR(I21/(B21+C21),0)</f>
        <v>115.75</v>
      </c>
      <c r="K21" s="0" t="n">
        <f aca="false">SUMIF(Games!$A$2:$A$897,$A21,Games!$F$2:$F$897)+SUMIF(Games!$B$2:$B$897,$A21,Games!$E$2:$E$897)</f>
        <v>2469</v>
      </c>
      <c r="L21" s="0" t="n">
        <f aca="false">SUMIF(Games!$A$2:$A$897,$A21,Games!$G$2:$G$897)+SUMIF(Games!$B$2:$B$897,$A21,Games!$H$2:$H$897)</f>
        <v>3254</v>
      </c>
      <c r="M21" s="0" t="n">
        <f aca="false">IFERROR(L21/(B21+C21),0)</f>
        <v>271.166666666667</v>
      </c>
      <c r="N21" s="0" t="n">
        <f aca="false">SUMIF(Games!$A$2:$A$897,$A21,Games!$H$2:$H$897)+SUMIF(Games!$B$2:$B$897,$A21,Games!$G$2:$G$897)</f>
        <v>3342</v>
      </c>
      <c r="O21" s="0" t="n">
        <f aca="false">SUMIF(Games!$A$2:$A$897,$A21,Games!$I$2:$I$897)+SUMIF(Games!$B$2:$B$897,$A21,Games!$J$2:$J$897)</f>
        <v>21</v>
      </c>
      <c r="P21" s="0" t="n">
        <f aca="false">SUMIF(Games!$A$2:$A$897,$A21,Games!$J$2:$J$897)+SUMIF(Games!$B$2:$B$897,$A21,Games!$I$2:$I$897)</f>
        <v>13</v>
      </c>
      <c r="R21" s="0" t="n">
        <f aca="false">IFERROR((K21+N21)/(B21+C21),0)</f>
        <v>484.25</v>
      </c>
      <c r="S21" s="0" t="n">
        <f aca="false">P21-O21</f>
        <v>-8</v>
      </c>
      <c r="T21" s="0" t="n">
        <f aca="false">IFERROR((D21/(D21+E21))*(F21/(F21+G21)),0)</f>
        <v>0.118653931738044</v>
      </c>
      <c r="U21" s="0" t="n">
        <f aca="false">RANK(T21,T$2:T$132)</f>
        <v>109</v>
      </c>
      <c r="V21" s="0" t="n">
        <f aca="false">IFERROR((B21/(B21+C21))*25,0)+IFERROR((D21/(D21+E21))*25,0)+IFERROR((F21/(F21+G21))*10,0)+H21+((J21-RMEAN)/RDEV)*5+((M21-PMEAN)/PDEV)*5+((DMEAN-R21)/DDEV)*7+((S21-TOMEAN)/TODEV)*3</f>
        <v>-57.7859896739426</v>
      </c>
    </row>
    <row r="22" customFormat="false" ht="15" hidden="false" customHeight="false" outlineLevel="0" collapsed="false">
      <c r="A22" s="0" t="s">
        <v>26</v>
      </c>
      <c r="B22" s="0" t="n">
        <f aca="false">SUMIF(Games!$A$2:$A$897,$A22,Games!$K$2:$K$897)+SUMIF(Games!$B$2:$B$897,$A22,Games!$L$2:$L$897)</f>
        <v>9</v>
      </c>
      <c r="C22" s="0" t="n">
        <f aca="false">SUMIF(Games!$A$2:$A$897,$A22,Games!$L$2:$L$897)+SUMIF(Games!$B$2:$B$897,$A22,Games!$K$2:$K$897)</f>
        <v>4</v>
      </c>
      <c r="D22" s="0" t="n">
        <f aca="false">SUMIF(Games!$A$2:$A$897,$A22,Games!$O$2:$O$897)+SUMIF(Games!$B$2:$B$897,$A22,Games!$M$2:$M$897)</f>
        <v>82</v>
      </c>
      <c r="E22" s="0" t="n">
        <f aca="false">SUMIF(Games!$A$2:$A$897,$A22,Games!$P$2:$P$897)+SUMIF(Games!$B$2:$B$897,$A22,Games!$N$2:$N$897)</f>
        <v>191</v>
      </c>
      <c r="F22" s="0" t="n">
        <f aca="false">SUMIF(Games!$A$2:$A$897,$A22,Games!$S$2:$S$897)+SUMIF(Games!$B$2:$B$897,$A22,Games!$Q$2:$Q$897)</f>
        <v>1888</v>
      </c>
      <c r="G22" s="0" t="n">
        <f aca="false">SUMIF(Games!$A$2:$A$897,$A22,Games!$T$2:$T$897)+SUMIF(Games!$B$2:$B$897,$A22,Games!$R$2:$R$897)</f>
        <v>2786</v>
      </c>
      <c r="H22" s="0" t="n">
        <f aca="false">SUMIF(Games!$A$2:$A$897,$A22,Games!$U$2:$U$897)+SUMIF(Games!$B$2:$B$897,$A22,Games!$V$2:$V$897)</f>
        <v>5.10220101569855</v>
      </c>
      <c r="I22" s="0" t="n">
        <f aca="false">SUMIF(Games!$A$2:$A$897,$A22,Games!$E$2:$E$897)+SUMIF(Games!$B$2:$B$897,$A22,Games!$F$2:$F$897)</f>
        <v>1686</v>
      </c>
      <c r="J22" s="0" t="n">
        <f aca="false">IFERROR(I22/(B22+C22),0)</f>
        <v>129.692307692308</v>
      </c>
      <c r="K22" s="0" t="n">
        <f aca="false">SUMIF(Games!$A$2:$A$897,$A22,Games!$F$2:$F$897)+SUMIF(Games!$B$2:$B$897,$A22,Games!$E$2:$E$897)</f>
        <v>1992</v>
      </c>
      <c r="L22" s="0" t="n">
        <f aca="false">SUMIF(Games!$A$2:$A$897,$A22,Games!$G$2:$G$897)+SUMIF(Games!$B$2:$B$897,$A22,Games!$H$2:$H$897)</f>
        <v>3155</v>
      </c>
      <c r="M22" s="0" t="n">
        <f aca="false">IFERROR(L22/(B22+C22),0)</f>
        <v>242.692307692308</v>
      </c>
      <c r="N22" s="0" t="n">
        <f aca="false">SUMIF(Games!$A$2:$A$897,$A22,Games!$H$2:$H$897)+SUMIF(Games!$B$2:$B$897,$A22,Games!$G$2:$G$897)</f>
        <v>2369</v>
      </c>
      <c r="O22" s="0" t="n">
        <f aca="false">SUMIF(Games!$A$2:$A$897,$A22,Games!$I$2:$I$897)+SUMIF(Games!$B$2:$B$897,$A22,Games!$J$2:$J$897)</f>
        <v>14</v>
      </c>
      <c r="P22" s="0" t="n">
        <f aca="false">SUMIF(Games!$A$2:$A$897,$A22,Games!$J$2:$J$897)+SUMIF(Games!$B$2:$B$897,$A22,Games!$I$2:$I$897)</f>
        <v>20</v>
      </c>
      <c r="R22" s="0" t="n">
        <f aca="false">IFERROR((K22+N22)/(B22+C22),0)</f>
        <v>335.461538461538</v>
      </c>
      <c r="S22" s="0" t="n">
        <f aca="false">P22-O22</f>
        <v>6</v>
      </c>
      <c r="T22" s="0" t="n">
        <f aca="false">IFERROR((D22/(D22+E22))*(F22/(F22+G22)),0)</f>
        <v>0.121328963434227</v>
      </c>
      <c r="U22" s="0" t="n">
        <f aca="false">RANK(T22,T$2:T$132)</f>
        <v>101</v>
      </c>
      <c r="V22" s="0" t="n">
        <f aca="false">IFERROR((B22/(B22+C22))*25,0)+IFERROR((D22/(D22+E22))*25,0)+IFERROR((F22/(F22+G22))*10,0)+H22+((J22-RMEAN)/RDEV)*5+((M22-PMEAN)/PDEV)*5+((DMEAN-R22)/DDEV)*7+((S22-TOMEAN)/TODEV)*3</f>
        <v>40.0205361396592</v>
      </c>
    </row>
    <row r="23" customFormat="false" ht="15" hidden="false" customHeight="false" outlineLevel="0" collapsed="false">
      <c r="A23" s="0" t="s">
        <v>27</v>
      </c>
      <c r="B23" s="0" t="n">
        <f aca="false">SUMIF(Games!$A$2:$A$897,$A23,Games!$K$2:$K$897)+SUMIF(Games!$B$2:$B$897,$A23,Games!$L$2:$L$897)</f>
        <v>11</v>
      </c>
      <c r="C23" s="0" t="n">
        <f aca="false">SUMIF(Games!$A$2:$A$897,$A23,Games!$L$2:$L$897)+SUMIF(Games!$B$2:$B$897,$A23,Games!$K$2:$K$897)</f>
        <v>3</v>
      </c>
      <c r="D23" s="0" t="n">
        <f aca="false">SUMIF(Games!$A$2:$A$897,$A23,Games!$O$2:$O$897)+SUMIF(Games!$B$2:$B$897,$A23,Games!$M$2:$M$897)</f>
        <v>102</v>
      </c>
      <c r="E23" s="0" t="n">
        <f aca="false">SUMIF(Games!$A$2:$A$897,$A23,Games!$P$2:$P$897)+SUMIF(Games!$B$2:$B$897,$A23,Games!$N$2:$N$897)</f>
        <v>184</v>
      </c>
      <c r="F23" s="0" t="n">
        <f aca="false">SUMIF(Games!$A$2:$A$897,$A23,Games!$S$2:$S$897)+SUMIF(Games!$B$2:$B$897,$A23,Games!$Q$2:$Q$897)</f>
        <v>2037</v>
      </c>
      <c r="G23" s="0" t="n">
        <f aca="false">SUMIF(Games!$A$2:$A$897,$A23,Games!$T$2:$T$897)+SUMIF(Games!$B$2:$B$897,$A23,Games!$R$2:$R$897)</f>
        <v>2800</v>
      </c>
      <c r="H23" s="0" t="n">
        <f aca="false">SUMIF(Games!$A$2:$A$897,$A23,Games!$U$2:$U$897)+SUMIF(Games!$B$2:$B$897,$A23,Games!$V$2:$V$897)</f>
        <v>27.779661099757</v>
      </c>
      <c r="I23" s="0" t="n">
        <f aca="false">SUMIF(Games!$A$2:$A$897,$A23,Games!$E$2:$E$897)+SUMIF(Games!$B$2:$B$897,$A23,Games!$F$2:$F$897)</f>
        <v>2497</v>
      </c>
      <c r="J23" s="0" t="n">
        <f aca="false">IFERROR(I23/(B23+C23),0)</f>
        <v>178.357142857143</v>
      </c>
      <c r="K23" s="0" t="n">
        <f aca="false">SUMIF(Games!$A$2:$A$897,$A23,Games!$F$2:$F$897)+SUMIF(Games!$B$2:$B$897,$A23,Games!$E$2:$E$897)</f>
        <v>1453</v>
      </c>
      <c r="L23" s="0" t="n">
        <f aca="false">SUMIF(Games!$A$2:$A$897,$A23,Games!$G$2:$G$897)+SUMIF(Games!$B$2:$B$897,$A23,Games!$H$2:$H$897)</f>
        <v>3247</v>
      </c>
      <c r="M23" s="0" t="n">
        <f aca="false">IFERROR(L23/(B23+C23),0)</f>
        <v>231.928571428571</v>
      </c>
      <c r="N23" s="0" t="n">
        <f aca="false">SUMIF(Games!$A$2:$A$897,$A23,Games!$H$2:$H$897)+SUMIF(Games!$B$2:$B$897,$A23,Games!$G$2:$G$897)</f>
        <v>3241</v>
      </c>
      <c r="O23" s="0" t="n">
        <f aca="false">SUMIF(Games!$A$2:$A$897,$A23,Games!$I$2:$I$897)+SUMIF(Games!$B$2:$B$897,$A23,Games!$J$2:$J$897)</f>
        <v>22</v>
      </c>
      <c r="P23" s="0" t="n">
        <f aca="false">SUMIF(Games!$A$2:$A$897,$A23,Games!$J$2:$J$897)+SUMIF(Games!$B$2:$B$897,$A23,Games!$I$2:$I$897)</f>
        <v>21</v>
      </c>
      <c r="R23" s="0" t="n">
        <f aca="false">IFERROR((K23+N23)/(B23+C23),0)</f>
        <v>335.285714285714</v>
      </c>
      <c r="S23" s="0" t="n">
        <f aca="false">P23-O23</f>
        <v>-1</v>
      </c>
      <c r="T23" s="0" t="n">
        <f aca="false">IFERROR((D23/(D23+E23))*(F23/(F23+G23)),0)</f>
        <v>0.150192788398288</v>
      </c>
      <c r="U23" s="0" t="n">
        <f aca="false">RANK(T23,T$2:T$132)</f>
        <v>37</v>
      </c>
      <c r="V23" s="0" t="n">
        <f aca="false">IFERROR((B23/(B23+C23))*25,0)+IFERROR((D23/(D23+E23))*25,0)+IFERROR((F23/(F23+G23))*10,0)+H23+((J23-RMEAN)/RDEV)*5+((M23-PMEAN)/PDEV)*5+((DMEAN-R23)/DDEV)*7+((S23-TOMEAN)/TODEV)*3</f>
        <v>67.9309444833137</v>
      </c>
    </row>
    <row r="24" customFormat="false" ht="15" hidden="false" customHeight="false" outlineLevel="0" collapsed="false">
      <c r="A24" s="0" t="s">
        <v>28</v>
      </c>
      <c r="B24" s="0" t="n">
        <f aca="false">SUMIF(Games!$A$2:$A$897,$A24,Games!$K$2:$K$897)+SUMIF(Games!$B$2:$B$897,$A24,Games!$L$2:$L$897)</f>
        <v>9</v>
      </c>
      <c r="C24" s="0" t="n">
        <f aca="false">SUMIF(Games!$A$2:$A$897,$A24,Games!$L$2:$L$897)+SUMIF(Games!$B$2:$B$897,$A24,Games!$K$2:$K$897)</f>
        <v>4</v>
      </c>
      <c r="D24" s="0" t="n">
        <f aca="false">SUMIF(Games!$A$2:$A$897,$A24,Games!$O$2:$O$897)+SUMIF(Games!$B$2:$B$897,$A24,Games!$M$2:$M$897)</f>
        <v>88</v>
      </c>
      <c r="E24" s="0" t="n">
        <f aca="false">SUMIF(Games!$A$2:$A$897,$A24,Games!$P$2:$P$897)+SUMIF(Games!$B$2:$B$897,$A24,Games!$N$2:$N$897)</f>
        <v>182</v>
      </c>
      <c r="F24" s="0" t="n">
        <f aca="false">SUMIF(Games!$A$2:$A$897,$A24,Games!$S$2:$S$897)+SUMIF(Games!$B$2:$B$897,$A24,Games!$Q$2:$Q$897)</f>
        <v>1825</v>
      </c>
      <c r="G24" s="0" t="n">
        <f aca="false">SUMIF(Games!$A$2:$A$897,$A24,Games!$T$2:$T$897)+SUMIF(Games!$B$2:$B$897,$A24,Games!$R$2:$R$897)</f>
        <v>2995</v>
      </c>
      <c r="H24" s="0" t="n">
        <f aca="false">SUMIF(Games!$A$2:$A$897,$A24,Games!$U$2:$U$897)+SUMIF(Games!$B$2:$B$897,$A24,Games!$V$2:$V$897)</f>
        <v>-14.065413817752</v>
      </c>
      <c r="I24" s="0" t="n">
        <f aca="false">SUMIF(Games!$A$2:$A$897,$A24,Games!$E$2:$E$897)+SUMIF(Games!$B$2:$B$897,$A24,Games!$F$2:$F$897)</f>
        <v>2067</v>
      </c>
      <c r="J24" s="0" t="n">
        <f aca="false">IFERROR(I24/(B24+C24),0)</f>
        <v>159</v>
      </c>
      <c r="K24" s="0" t="n">
        <f aca="false">SUMIF(Games!$A$2:$A$897,$A24,Games!$F$2:$F$897)+SUMIF(Games!$B$2:$B$897,$A24,Games!$E$2:$E$897)</f>
        <v>1740</v>
      </c>
      <c r="L24" s="0" t="n">
        <f aca="false">SUMIF(Games!$A$2:$A$897,$A24,Games!$G$2:$G$897)+SUMIF(Games!$B$2:$B$897,$A24,Games!$H$2:$H$897)</f>
        <v>3200</v>
      </c>
      <c r="M24" s="0" t="n">
        <f aca="false">IFERROR(L24/(B24+C24),0)</f>
        <v>246.153846153846</v>
      </c>
      <c r="N24" s="0" t="n">
        <f aca="false">SUMIF(Games!$A$2:$A$897,$A24,Games!$H$2:$H$897)+SUMIF(Games!$B$2:$B$897,$A24,Games!$G$2:$G$897)</f>
        <v>3695</v>
      </c>
      <c r="O24" s="0" t="n">
        <f aca="false">SUMIF(Games!$A$2:$A$897,$A24,Games!$I$2:$I$897)+SUMIF(Games!$B$2:$B$897,$A24,Games!$J$2:$J$897)</f>
        <v>19</v>
      </c>
      <c r="P24" s="0" t="n">
        <f aca="false">SUMIF(Games!$A$2:$A$897,$A24,Games!$J$2:$J$897)+SUMIF(Games!$B$2:$B$897,$A24,Games!$I$2:$I$897)</f>
        <v>22</v>
      </c>
      <c r="R24" s="0" t="n">
        <f aca="false">IFERROR((K24+N24)/(B24+C24),0)</f>
        <v>418.076923076923</v>
      </c>
      <c r="S24" s="0" t="n">
        <f aca="false">P24-O24</f>
        <v>3</v>
      </c>
      <c r="T24" s="0" t="n">
        <f aca="false">IFERROR((D24/(D24+E24))*(F24/(F24+G24)),0)</f>
        <v>0.123405563239588</v>
      </c>
      <c r="U24" s="0" t="n">
        <f aca="false">RANK(T24,T$2:T$132)</f>
        <v>93</v>
      </c>
      <c r="V24" s="0" t="n">
        <f aca="false">IFERROR((B24/(B24+C24))*25,0)+IFERROR((D24/(D24+E24))*25,0)+IFERROR((F24/(F24+G24))*10,0)+H24+((J24-RMEAN)/RDEV)*5+((M24-PMEAN)/PDEV)*5+((DMEAN-R24)/DDEV)*7+((S24-TOMEAN)/TODEV)*3</f>
        <v>12.2777146812585</v>
      </c>
    </row>
    <row r="25" customFormat="false" ht="15" hidden="false" customHeight="false" outlineLevel="0" collapsed="false">
      <c r="A25" s="0" t="s">
        <v>29</v>
      </c>
      <c r="B25" s="0" t="n">
        <f aca="false">SUMIF(Games!$A$2:$A$897,$A25,Games!$K$2:$K$897)+SUMIF(Games!$B$2:$B$897,$A25,Games!$L$2:$L$897)</f>
        <v>1</v>
      </c>
      <c r="C25" s="0" t="n">
        <f aca="false">SUMIF(Games!$A$2:$A$897,$A25,Games!$L$2:$L$897)+SUMIF(Games!$B$2:$B$897,$A25,Games!$K$2:$K$897)</f>
        <v>11</v>
      </c>
      <c r="D25" s="0" t="n">
        <f aca="false">SUMIF(Games!$A$2:$A$897,$A25,Games!$O$2:$O$897)+SUMIF(Games!$B$2:$B$897,$A25,Games!$M$2:$M$897)</f>
        <v>105</v>
      </c>
      <c r="E25" s="0" t="n">
        <f aca="false">SUMIF(Games!$A$2:$A$897,$A25,Games!$P$2:$P$897)+SUMIF(Games!$B$2:$B$897,$A25,Games!$N$2:$N$897)</f>
        <v>52</v>
      </c>
      <c r="F25" s="0" t="n">
        <f aca="false">SUMIF(Games!$A$2:$A$897,$A25,Games!$S$2:$S$897)+SUMIF(Games!$B$2:$B$897,$A25,Games!$Q$2:$Q$897)</f>
        <v>1093</v>
      </c>
      <c r="G25" s="0" t="n">
        <f aca="false">SUMIF(Games!$A$2:$A$897,$A25,Games!$T$2:$T$897)+SUMIF(Games!$B$2:$B$897,$A25,Games!$R$2:$R$897)</f>
        <v>2099</v>
      </c>
      <c r="H25" s="0" t="n">
        <f aca="false">SUMIF(Games!$A$2:$A$897,$A25,Games!$U$2:$U$897)+SUMIF(Games!$B$2:$B$897,$A25,Games!$V$2:$V$897)</f>
        <v>-56.6528963448574</v>
      </c>
      <c r="I25" s="0" t="n">
        <f aca="false">SUMIF(Games!$A$2:$A$897,$A25,Games!$E$2:$E$897)+SUMIF(Games!$B$2:$B$897,$A25,Games!$F$2:$F$897)</f>
        <v>1300</v>
      </c>
      <c r="J25" s="0" t="n">
        <f aca="false">IFERROR(I25/(B25+C25),0)</f>
        <v>108.333333333333</v>
      </c>
      <c r="K25" s="0" t="n">
        <f aca="false">SUMIF(Games!$A$2:$A$897,$A25,Games!$F$2:$F$897)+SUMIF(Games!$B$2:$B$897,$A25,Games!$E$2:$E$897)</f>
        <v>2941</v>
      </c>
      <c r="L25" s="0" t="n">
        <f aca="false">SUMIF(Games!$A$2:$A$897,$A25,Games!$G$2:$G$897)+SUMIF(Games!$B$2:$B$897,$A25,Games!$H$2:$H$897)</f>
        <v>2075</v>
      </c>
      <c r="M25" s="0" t="n">
        <f aca="false">IFERROR(L25/(B25+C25),0)</f>
        <v>172.916666666667</v>
      </c>
      <c r="N25" s="0" t="n">
        <f aca="false">SUMIF(Games!$A$2:$A$897,$A25,Games!$H$2:$H$897)+SUMIF(Games!$B$2:$B$897,$A25,Games!$G$2:$G$897)</f>
        <v>3176</v>
      </c>
      <c r="O25" s="0" t="n">
        <f aca="false">SUMIF(Games!$A$2:$A$897,$A25,Games!$I$2:$I$897)+SUMIF(Games!$B$2:$B$897,$A25,Games!$J$2:$J$897)</f>
        <v>22</v>
      </c>
      <c r="P25" s="0" t="n">
        <f aca="false">SUMIF(Games!$A$2:$A$897,$A25,Games!$J$2:$J$897)+SUMIF(Games!$B$2:$B$897,$A25,Games!$I$2:$I$897)</f>
        <v>11</v>
      </c>
      <c r="R25" s="0" t="n">
        <f aca="false">IFERROR((K25+N25)/(B25+C25),0)</f>
        <v>509.75</v>
      </c>
      <c r="S25" s="0" t="n">
        <f aca="false">P25-O25</f>
        <v>-11</v>
      </c>
      <c r="T25" s="0" t="n">
        <f aca="false">IFERROR((D25/(D25+E25))*(F25/(F25+G25)),0)</f>
        <v>0.229006034193765</v>
      </c>
      <c r="U25" s="0" t="n">
        <f aca="false">RANK(T25,T$2:T$132)</f>
        <v>2</v>
      </c>
      <c r="V25" s="0" t="n">
        <f aca="false">IFERROR((B25/(B25+C25))*25,0)+IFERROR((D25/(D25+E25))*25,0)+IFERROR((F25/(F25+G25))*10,0)+H25+((J25-RMEAN)/RDEV)*5+((M25-PMEAN)/PDEV)*5+((DMEAN-R25)/DDEV)*7+((S25-TOMEAN)/TODEV)*3</f>
        <v>-68.457875011553</v>
      </c>
    </row>
    <row r="26" customFormat="false" ht="15" hidden="false" customHeight="false" outlineLevel="0" collapsed="false">
      <c r="A26" s="0" t="s">
        <v>30</v>
      </c>
      <c r="B26" s="0" t="n">
        <f aca="false">SUMIF(Games!$A$2:$A$897,$A26,Games!$K$2:$K$897)+SUMIF(Games!$B$2:$B$897,$A26,Games!$L$2:$L$897)</f>
        <v>3</v>
      </c>
      <c r="C26" s="0" t="n">
        <f aca="false">SUMIF(Games!$A$2:$A$897,$A26,Games!$L$2:$L$897)+SUMIF(Games!$B$2:$B$897,$A26,Games!$K$2:$K$897)</f>
        <v>9</v>
      </c>
      <c r="D26" s="0" t="n">
        <f aca="false">SUMIF(Games!$A$2:$A$897,$A26,Games!$O$2:$O$897)+SUMIF(Games!$B$2:$B$897,$A26,Games!$M$2:$M$897)</f>
        <v>83</v>
      </c>
      <c r="E26" s="0" t="n">
        <f aca="false">SUMIF(Games!$A$2:$A$897,$A26,Games!$P$2:$P$897)+SUMIF(Games!$B$2:$B$897,$A26,Games!$N$2:$N$897)</f>
        <v>179</v>
      </c>
      <c r="F26" s="0" t="n">
        <f aca="false">SUMIF(Games!$A$2:$A$897,$A26,Games!$S$2:$S$897)+SUMIF(Games!$B$2:$B$897,$A26,Games!$Q$2:$Q$897)</f>
        <v>1742</v>
      </c>
      <c r="G26" s="0" t="n">
        <f aca="false">SUMIF(Games!$A$2:$A$897,$A26,Games!$T$2:$T$897)+SUMIF(Games!$B$2:$B$897,$A26,Games!$R$2:$R$897)</f>
        <v>2674</v>
      </c>
      <c r="H26" s="0" t="n">
        <f aca="false">SUMIF(Games!$A$2:$A$897,$A26,Games!$U$2:$U$897)+SUMIF(Games!$B$2:$B$897,$A26,Games!$V$2:$V$897)</f>
        <v>-41.1253494889151</v>
      </c>
      <c r="I26" s="0" t="n">
        <f aca="false">SUMIF(Games!$A$2:$A$897,$A26,Games!$E$2:$E$897)+SUMIF(Games!$B$2:$B$897,$A26,Games!$F$2:$F$897)</f>
        <v>1068</v>
      </c>
      <c r="J26" s="0" t="n">
        <f aca="false">IFERROR(I26/(B26+C26),0)</f>
        <v>89</v>
      </c>
      <c r="K26" s="0" t="n">
        <f aca="false">SUMIF(Games!$A$2:$A$897,$A26,Games!$F$2:$F$897)+SUMIF(Games!$B$2:$B$897,$A26,Games!$E$2:$E$897)</f>
        <v>1968</v>
      </c>
      <c r="L26" s="0" t="n">
        <f aca="false">SUMIF(Games!$A$2:$A$897,$A26,Games!$G$2:$G$897)+SUMIF(Games!$B$2:$B$897,$A26,Games!$H$2:$H$897)</f>
        <v>2361</v>
      </c>
      <c r="M26" s="0" t="n">
        <f aca="false">IFERROR(L26/(B26+C26),0)</f>
        <v>196.75</v>
      </c>
      <c r="N26" s="0" t="n">
        <f aca="false">SUMIF(Games!$A$2:$A$897,$A26,Games!$H$2:$H$897)+SUMIF(Games!$B$2:$B$897,$A26,Games!$G$2:$G$897)</f>
        <v>2296</v>
      </c>
      <c r="O26" s="0" t="n">
        <f aca="false">SUMIF(Games!$A$2:$A$897,$A26,Games!$I$2:$I$897)+SUMIF(Games!$B$2:$B$897,$A26,Games!$J$2:$J$897)</f>
        <v>19</v>
      </c>
      <c r="P26" s="0" t="n">
        <f aca="false">SUMIF(Games!$A$2:$A$897,$A26,Games!$J$2:$J$897)+SUMIF(Games!$B$2:$B$897,$A26,Games!$I$2:$I$897)</f>
        <v>15</v>
      </c>
      <c r="R26" s="0" t="n">
        <f aca="false">IFERROR((K26+N26)/(B26+C26),0)</f>
        <v>355.333333333333</v>
      </c>
      <c r="S26" s="0" t="n">
        <f aca="false">P26-O26</f>
        <v>-4</v>
      </c>
      <c r="T26" s="0" t="n">
        <f aca="false">IFERROR((D26/(D26+E26))*(F26/(F26+G26)),0)</f>
        <v>0.12496715621197</v>
      </c>
      <c r="U26" s="0" t="n">
        <f aca="false">RANK(T26,T$2:T$132)</f>
        <v>88</v>
      </c>
      <c r="V26" s="0" t="n">
        <f aca="false">IFERROR((B26/(B26+C26))*25,0)+IFERROR((D26/(D26+E26))*25,0)+IFERROR((F26/(F26+G26))*10,0)+H26+((J26-RMEAN)/RDEV)*5+((M26-PMEAN)/PDEV)*5+((DMEAN-R26)/DDEV)*7+((S26-TOMEAN)/TODEV)*3</f>
        <v>-32.8832701737525</v>
      </c>
    </row>
    <row r="27" customFormat="false" ht="15" hidden="false" customHeight="false" outlineLevel="0" collapsed="false">
      <c r="A27" s="0" t="s">
        <v>31</v>
      </c>
      <c r="B27" s="0" t="n">
        <f aca="false">SUMIF(Games!$A$2:$A$897,$A27,Games!$K$2:$K$897)+SUMIF(Games!$B$2:$B$897,$A27,Games!$L$2:$L$897)</f>
        <v>9</v>
      </c>
      <c r="C27" s="0" t="n">
        <f aca="false">SUMIF(Games!$A$2:$A$897,$A27,Games!$L$2:$L$897)+SUMIF(Games!$B$2:$B$897,$A27,Games!$K$2:$K$897)</f>
        <v>4</v>
      </c>
      <c r="D27" s="0" t="n">
        <f aca="false">SUMIF(Games!$A$2:$A$897,$A27,Games!$O$2:$O$897)+SUMIF(Games!$B$2:$B$897,$A27,Games!$M$2:$M$897)</f>
        <v>72</v>
      </c>
      <c r="E27" s="0" t="n">
        <f aca="false">SUMIF(Games!$A$2:$A$897,$A27,Games!$P$2:$P$897)+SUMIF(Games!$B$2:$B$897,$A27,Games!$N$2:$N$897)</f>
        <v>196</v>
      </c>
      <c r="F27" s="0" t="n">
        <f aca="false">SUMIF(Games!$A$2:$A$897,$A27,Games!$S$2:$S$897)+SUMIF(Games!$B$2:$B$897,$A27,Games!$Q$2:$Q$897)</f>
        <v>1875</v>
      </c>
      <c r="G27" s="0" t="n">
        <f aca="false">SUMIF(Games!$A$2:$A$897,$A27,Games!$T$2:$T$897)+SUMIF(Games!$B$2:$B$897,$A27,Games!$R$2:$R$897)</f>
        <v>2826</v>
      </c>
      <c r="H27" s="0" t="n">
        <f aca="false">SUMIF(Games!$A$2:$A$897,$A27,Games!$U$2:$U$897)+SUMIF(Games!$B$2:$B$897,$A27,Games!$V$2:$V$897)</f>
        <v>10.0520464093966</v>
      </c>
      <c r="I27" s="0" t="n">
        <f aca="false">SUMIF(Games!$A$2:$A$897,$A27,Games!$E$2:$E$897)+SUMIF(Games!$B$2:$B$897,$A27,Games!$F$2:$F$897)</f>
        <v>2394</v>
      </c>
      <c r="J27" s="0" t="n">
        <f aca="false">IFERROR(I27/(B27+C27),0)</f>
        <v>184.153846153846</v>
      </c>
      <c r="K27" s="0" t="n">
        <f aca="false">SUMIF(Games!$A$2:$A$897,$A27,Games!$F$2:$F$897)+SUMIF(Games!$B$2:$B$897,$A27,Games!$E$2:$E$897)</f>
        <v>1580</v>
      </c>
      <c r="L27" s="0" t="n">
        <f aca="false">SUMIF(Games!$A$2:$A$897,$A27,Games!$G$2:$G$897)+SUMIF(Games!$B$2:$B$897,$A27,Games!$H$2:$H$897)</f>
        <v>3010</v>
      </c>
      <c r="M27" s="0" t="n">
        <f aca="false">IFERROR(L27/(B27+C27),0)</f>
        <v>231.538461538462</v>
      </c>
      <c r="N27" s="0" t="n">
        <f aca="false">SUMIF(Games!$A$2:$A$897,$A27,Games!$H$2:$H$897)+SUMIF(Games!$B$2:$B$897,$A27,Games!$G$2:$G$897)</f>
        <v>3345</v>
      </c>
      <c r="O27" s="0" t="n">
        <f aca="false">SUMIF(Games!$A$2:$A$897,$A27,Games!$I$2:$I$897)+SUMIF(Games!$B$2:$B$897,$A27,Games!$J$2:$J$897)</f>
        <v>10</v>
      </c>
      <c r="P27" s="0" t="n">
        <f aca="false">SUMIF(Games!$A$2:$A$897,$A27,Games!$J$2:$J$897)+SUMIF(Games!$B$2:$B$897,$A27,Games!$I$2:$I$897)</f>
        <v>24</v>
      </c>
      <c r="R27" s="0" t="n">
        <f aca="false">IFERROR((K27+N27)/(B27+C27),0)</f>
        <v>378.846153846154</v>
      </c>
      <c r="S27" s="0" t="n">
        <f aca="false">P27-O27</f>
        <v>14</v>
      </c>
      <c r="T27" s="0" t="n">
        <f aca="false">IFERROR((D27/(D27+E27))*(F27/(F27+G27)),0)</f>
        <v>0.107154082808675</v>
      </c>
      <c r="U27" s="0" t="n">
        <f aca="false">RANK(T27,T$2:T$132)</f>
        <v>124</v>
      </c>
      <c r="V27" s="0" t="n">
        <f aca="false">IFERROR((B27/(B27+C27))*25,0)+IFERROR((D27/(D27+E27))*25,0)+IFERROR((F27/(F27+G27))*10,0)+H27+((J27-RMEAN)/RDEV)*5+((M27-PMEAN)/PDEV)*5+((DMEAN-R27)/DDEV)*7+((S27-TOMEAN)/TODEV)*3</f>
        <v>46.6787884103085</v>
      </c>
    </row>
    <row r="28" customFormat="false" ht="15" hidden="false" customHeight="false" outlineLevel="0" collapsed="false">
      <c r="A28" s="0" t="s">
        <v>32</v>
      </c>
      <c r="B28" s="0" t="n">
        <f aca="false">SUMIF(Games!$A$2:$A$897,$A28,Games!$K$2:$K$897)+SUMIF(Games!$B$2:$B$897,$A28,Games!$L$2:$L$897)</f>
        <v>8</v>
      </c>
      <c r="C28" s="0" t="n">
        <f aca="false">SUMIF(Games!$A$2:$A$897,$A28,Games!$L$2:$L$897)+SUMIF(Games!$B$2:$B$897,$A28,Games!$K$2:$K$897)</f>
        <v>5</v>
      </c>
      <c r="D28" s="0" t="n">
        <f aca="false">SUMIF(Games!$A$2:$A$897,$A28,Games!$O$2:$O$897)+SUMIF(Games!$B$2:$B$897,$A28,Games!$M$2:$M$897)</f>
        <v>89</v>
      </c>
      <c r="E28" s="0" t="n">
        <f aca="false">SUMIF(Games!$A$2:$A$897,$A28,Games!$P$2:$P$897)+SUMIF(Games!$B$2:$B$897,$A28,Games!$N$2:$N$897)</f>
        <v>185</v>
      </c>
      <c r="F28" s="0" t="n">
        <f aca="false">SUMIF(Games!$A$2:$A$897,$A28,Games!$S$2:$S$897)+SUMIF(Games!$B$2:$B$897,$A28,Games!$Q$2:$Q$897)</f>
        <v>1862</v>
      </c>
      <c r="G28" s="0" t="n">
        <f aca="false">SUMIF(Games!$A$2:$A$897,$A28,Games!$T$2:$T$897)+SUMIF(Games!$B$2:$B$897,$A28,Games!$R$2:$R$897)</f>
        <v>2708</v>
      </c>
      <c r="H28" s="0" t="n">
        <f aca="false">SUMIF(Games!$A$2:$A$897,$A28,Games!$U$2:$U$897)+SUMIF(Games!$B$2:$B$897,$A28,Games!$V$2:$V$897)</f>
        <v>5.21049518107854</v>
      </c>
      <c r="I28" s="0" t="n">
        <f aca="false">SUMIF(Games!$A$2:$A$897,$A28,Games!$E$2:$E$897)+SUMIF(Games!$B$2:$B$897,$A28,Games!$F$2:$F$897)</f>
        <v>2218</v>
      </c>
      <c r="J28" s="0" t="n">
        <f aca="false">IFERROR(I28/(B28+C28),0)</f>
        <v>170.615384615385</v>
      </c>
      <c r="K28" s="0" t="n">
        <f aca="false">SUMIF(Games!$A$2:$A$897,$A28,Games!$F$2:$F$897)+SUMIF(Games!$B$2:$B$897,$A28,Games!$E$2:$E$897)</f>
        <v>1462</v>
      </c>
      <c r="L28" s="0" t="n">
        <f aca="false">SUMIF(Games!$A$2:$A$897,$A28,Games!$G$2:$G$897)+SUMIF(Games!$B$2:$B$897,$A28,Games!$H$2:$H$897)</f>
        <v>3776</v>
      </c>
      <c r="M28" s="0" t="n">
        <f aca="false">IFERROR(L28/(B28+C28),0)</f>
        <v>290.461538461538</v>
      </c>
      <c r="N28" s="0" t="n">
        <f aca="false">SUMIF(Games!$A$2:$A$897,$A28,Games!$H$2:$H$897)+SUMIF(Games!$B$2:$B$897,$A28,Games!$G$2:$G$897)</f>
        <v>3806</v>
      </c>
      <c r="O28" s="0" t="n">
        <f aca="false">SUMIF(Games!$A$2:$A$897,$A28,Games!$I$2:$I$897)+SUMIF(Games!$B$2:$B$897,$A28,Games!$J$2:$J$897)</f>
        <v>7</v>
      </c>
      <c r="P28" s="0" t="n">
        <f aca="false">SUMIF(Games!$A$2:$A$897,$A28,Games!$J$2:$J$897)+SUMIF(Games!$B$2:$B$897,$A28,Games!$I$2:$I$897)</f>
        <v>19</v>
      </c>
      <c r="R28" s="0" t="n">
        <f aca="false">IFERROR((K28+N28)/(B28+C28),0)</f>
        <v>405.230769230769</v>
      </c>
      <c r="S28" s="0" t="n">
        <f aca="false">P28-O28</f>
        <v>12</v>
      </c>
      <c r="T28" s="0" t="n">
        <f aca="false">IFERROR((D28/(D28+E28))*(F28/(F28+G28)),0)</f>
        <v>0.132343592774202</v>
      </c>
      <c r="U28" s="0" t="n">
        <f aca="false">RANK(T28,T$2:T$132)</f>
        <v>71</v>
      </c>
      <c r="V28" s="0" t="n">
        <f aca="false">IFERROR((B28/(B28+C28))*25,0)+IFERROR((D28/(D28+E28))*25,0)+IFERROR((F28/(F28+G28))*10,0)+H28+((J28-RMEAN)/RDEV)*5+((M28-PMEAN)/PDEV)*5+((DMEAN-R28)/DDEV)*7+((S28-TOMEAN)/TODEV)*3</f>
        <v>41.0676846934913</v>
      </c>
    </row>
    <row r="29" customFormat="false" ht="15" hidden="false" customHeight="false" outlineLevel="0" collapsed="false">
      <c r="A29" s="0" t="s">
        <v>33</v>
      </c>
      <c r="B29" s="0" t="n">
        <f aca="false">SUMIF(Games!$A$2:$A$897,$A29,Games!$K$2:$K$897)+SUMIF(Games!$B$2:$B$897,$A29,Games!$L$2:$L$897)</f>
        <v>9</v>
      </c>
      <c r="C29" s="0" t="n">
        <f aca="false">SUMIF(Games!$A$2:$A$897,$A29,Games!$L$2:$L$897)+SUMIF(Games!$B$2:$B$897,$A29,Games!$K$2:$K$897)</f>
        <v>4</v>
      </c>
      <c r="D29" s="0" t="n">
        <f aca="false">SUMIF(Games!$A$2:$A$897,$A29,Games!$O$2:$O$897)+SUMIF(Games!$B$2:$B$897,$A29,Games!$M$2:$M$897)</f>
        <v>65</v>
      </c>
      <c r="E29" s="0" t="n">
        <f aca="false">SUMIF(Games!$A$2:$A$897,$A29,Games!$P$2:$P$897)+SUMIF(Games!$B$2:$B$897,$A29,Games!$N$2:$N$897)</f>
        <v>203</v>
      </c>
      <c r="F29" s="0" t="n">
        <f aca="false">SUMIF(Games!$A$2:$A$897,$A29,Games!$S$2:$S$897)+SUMIF(Games!$B$2:$B$897,$A29,Games!$Q$2:$Q$897)</f>
        <v>1812</v>
      </c>
      <c r="G29" s="0" t="n">
        <f aca="false">SUMIF(Games!$A$2:$A$897,$A29,Games!$T$2:$T$897)+SUMIF(Games!$B$2:$B$897,$A29,Games!$R$2:$R$897)</f>
        <v>2897</v>
      </c>
      <c r="H29" s="0" t="n">
        <f aca="false">SUMIF(Games!$A$2:$A$897,$A29,Games!$U$2:$U$897)+SUMIF(Games!$B$2:$B$897,$A29,Games!$V$2:$V$897)</f>
        <v>-21.9681638581405</v>
      </c>
      <c r="I29" s="0" t="n">
        <f aca="false">SUMIF(Games!$A$2:$A$897,$A29,Games!$E$2:$E$897)+SUMIF(Games!$B$2:$B$897,$A29,Games!$F$2:$F$897)</f>
        <v>1843</v>
      </c>
      <c r="J29" s="0" t="n">
        <f aca="false">IFERROR(I29/(B29+C29),0)</f>
        <v>141.769230769231</v>
      </c>
      <c r="K29" s="0" t="n">
        <f aca="false">SUMIF(Games!$A$2:$A$897,$A29,Games!$F$2:$F$897)+SUMIF(Games!$B$2:$B$897,$A29,Games!$E$2:$E$897)</f>
        <v>2024</v>
      </c>
      <c r="L29" s="0" t="n">
        <f aca="false">SUMIF(Games!$A$2:$A$897,$A29,Games!$G$2:$G$897)+SUMIF(Games!$B$2:$B$897,$A29,Games!$H$2:$H$897)</f>
        <v>2914</v>
      </c>
      <c r="M29" s="0" t="n">
        <f aca="false">IFERROR(L29/(B29+C29),0)</f>
        <v>224.153846153846</v>
      </c>
      <c r="N29" s="0" t="n">
        <f aca="false">SUMIF(Games!$A$2:$A$897,$A29,Games!$H$2:$H$897)+SUMIF(Games!$B$2:$B$897,$A29,Games!$G$2:$G$897)</f>
        <v>2872</v>
      </c>
      <c r="O29" s="0" t="n">
        <f aca="false">SUMIF(Games!$A$2:$A$897,$A29,Games!$I$2:$I$897)+SUMIF(Games!$B$2:$B$897,$A29,Games!$J$2:$J$897)</f>
        <v>19</v>
      </c>
      <c r="P29" s="0" t="n">
        <f aca="false">SUMIF(Games!$A$2:$A$897,$A29,Games!$J$2:$J$897)+SUMIF(Games!$B$2:$B$897,$A29,Games!$I$2:$I$897)</f>
        <v>20</v>
      </c>
      <c r="R29" s="0" t="n">
        <f aca="false">IFERROR((K29+N29)/(B29+C29),0)</f>
        <v>376.615384615385</v>
      </c>
      <c r="S29" s="0" t="n">
        <f aca="false">P29-O29</f>
        <v>1</v>
      </c>
      <c r="T29" s="0" t="n">
        <f aca="false">IFERROR((D29/(D29+E29))*(F29/(F29+G29)),0)</f>
        <v>0.0933271632916327</v>
      </c>
      <c r="U29" s="0" t="n">
        <f aca="false">RANK(T29,T$2:T$132)</f>
        <v>130</v>
      </c>
      <c r="V29" s="0" t="n">
        <f aca="false">IFERROR((B29/(B29+C29))*25,0)+IFERROR((D29/(D29+E29))*25,0)+IFERROR((F29/(F29+G29))*10,0)+H29+((J29-RMEAN)/RDEV)*5+((M29-PMEAN)/PDEV)*5+((DMEAN-R29)/DDEV)*7+((S29-TOMEAN)/TODEV)*3</f>
        <v>3.11001958394393</v>
      </c>
    </row>
    <row r="30" customFormat="false" ht="15" hidden="false" customHeight="false" outlineLevel="0" collapsed="false">
      <c r="A30" s="0" t="s">
        <v>34</v>
      </c>
      <c r="B30" s="0" t="n">
        <f aca="false">SUMIF(Games!$A$2:$A$897,$A30,Games!$K$2:$K$897)+SUMIF(Games!$B$2:$B$897,$A30,Games!$L$2:$L$897)</f>
        <v>4</v>
      </c>
      <c r="C30" s="0" t="n">
        <f aca="false">SUMIF(Games!$A$2:$A$897,$A30,Games!$L$2:$L$897)+SUMIF(Games!$B$2:$B$897,$A30,Games!$K$2:$K$897)</f>
        <v>8</v>
      </c>
      <c r="D30" s="0" t="n">
        <f aca="false">SUMIF(Games!$A$2:$A$897,$A30,Games!$O$2:$O$897)+SUMIF(Games!$B$2:$B$897,$A30,Games!$M$2:$M$897)</f>
        <v>76</v>
      </c>
      <c r="E30" s="0" t="n">
        <f aca="false">SUMIF(Games!$A$2:$A$897,$A30,Games!$P$2:$P$897)+SUMIF(Games!$B$2:$B$897,$A30,Games!$N$2:$N$897)</f>
        <v>185</v>
      </c>
      <c r="F30" s="0" t="n">
        <f aca="false">SUMIF(Games!$A$2:$A$897,$A30,Games!$S$2:$S$897)+SUMIF(Games!$B$2:$B$897,$A30,Games!$Q$2:$Q$897)</f>
        <v>1715</v>
      </c>
      <c r="G30" s="0" t="n">
        <f aca="false">SUMIF(Games!$A$2:$A$897,$A30,Games!$T$2:$T$897)+SUMIF(Games!$B$2:$B$897,$A30,Games!$R$2:$R$897)</f>
        <v>2797</v>
      </c>
      <c r="H30" s="0" t="n">
        <f aca="false">SUMIF(Games!$A$2:$A$897,$A30,Games!$U$2:$U$897)+SUMIF(Games!$B$2:$B$897,$A30,Games!$V$2:$V$897)</f>
        <v>-66.8871828935209</v>
      </c>
      <c r="I30" s="0" t="n">
        <f aca="false">SUMIF(Games!$A$2:$A$897,$A30,Games!$E$2:$E$897)+SUMIF(Games!$B$2:$B$897,$A30,Games!$F$2:$F$897)</f>
        <v>1250</v>
      </c>
      <c r="J30" s="0" t="n">
        <f aca="false">IFERROR(I30/(B30+C30),0)</f>
        <v>104.166666666667</v>
      </c>
      <c r="K30" s="0" t="n">
        <f aca="false">SUMIF(Games!$A$2:$A$897,$A30,Games!$F$2:$F$897)+SUMIF(Games!$B$2:$B$897,$A30,Games!$E$2:$E$897)</f>
        <v>2301</v>
      </c>
      <c r="L30" s="0" t="n">
        <f aca="false">SUMIF(Games!$A$2:$A$897,$A30,Games!$G$2:$G$897)+SUMIF(Games!$B$2:$B$897,$A30,Games!$H$2:$H$897)</f>
        <v>2625</v>
      </c>
      <c r="M30" s="0" t="n">
        <f aca="false">IFERROR(L30/(B30+C30),0)</f>
        <v>218.75</v>
      </c>
      <c r="N30" s="0" t="n">
        <f aca="false">SUMIF(Games!$A$2:$A$897,$A30,Games!$H$2:$H$897)+SUMIF(Games!$B$2:$B$897,$A30,Games!$G$2:$G$897)</f>
        <v>3122</v>
      </c>
      <c r="O30" s="0" t="n">
        <f aca="false">SUMIF(Games!$A$2:$A$897,$A30,Games!$I$2:$I$897)+SUMIF(Games!$B$2:$B$897,$A30,Games!$J$2:$J$897)</f>
        <v>20</v>
      </c>
      <c r="P30" s="0" t="n">
        <f aca="false">SUMIF(Games!$A$2:$A$897,$A30,Games!$J$2:$J$897)+SUMIF(Games!$B$2:$B$897,$A30,Games!$I$2:$I$897)</f>
        <v>15</v>
      </c>
      <c r="R30" s="0" t="n">
        <f aca="false">IFERROR((K30+N30)/(B30+C30),0)</f>
        <v>451.916666666667</v>
      </c>
      <c r="S30" s="0" t="n">
        <f aca="false">P30-O30</f>
        <v>-5</v>
      </c>
      <c r="T30" s="0" t="n">
        <f aca="false">IFERROR((D30/(D30+E30))*(F30/(F30+G30)),0)</f>
        <v>0.110679736963669</v>
      </c>
      <c r="U30" s="0" t="n">
        <f aca="false">RANK(T30,T$2:T$132)</f>
        <v>121</v>
      </c>
      <c r="V30" s="0" t="n">
        <f aca="false">IFERROR((B30/(B30+C30))*25,0)+IFERROR((D30/(D30+E30))*25,0)+IFERROR((F30/(F30+G30))*10,0)+H30+((J30-RMEAN)/RDEV)*5+((M30-PMEAN)/PDEV)*5+((DMEAN-R30)/DDEV)*7+((S30-TOMEAN)/TODEV)*3</f>
        <v>-67.126369096356</v>
      </c>
    </row>
    <row r="31" customFormat="false" ht="15" hidden="false" customHeight="false" outlineLevel="0" collapsed="false">
      <c r="A31" s="0" t="s">
        <v>35</v>
      </c>
      <c r="B31" s="0" t="n">
        <f aca="false">SUMIF(Games!$A$2:$A$897,$A31,Games!$K$2:$K$897)+SUMIF(Games!$B$2:$B$897,$A31,Games!$L$2:$L$897)</f>
        <v>6</v>
      </c>
      <c r="C31" s="0" t="n">
        <f aca="false">SUMIF(Games!$A$2:$A$897,$A31,Games!$L$2:$L$897)+SUMIF(Games!$B$2:$B$897,$A31,Games!$K$2:$K$897)</f>
        <v>7</v>
      </c>
      <c r="D31" s="0" t="n">
        <f aca="false">SUMIF(Games!$A$2:$A$897,$A31,Games!$O$2:$O$897)+SUMIF(Games!$B$2:$B$897,$A31,Games!$M$2:$M$897)</f>
        <v>106</v>
      </c>
      <c r="E31" s="0" t="n">
        <f aca="false">SUMIF(Games!$A$2:$A$897,$A31,Games!$P$2:$P$897)+SUMIF(Games!$B$2:$B$897,$A31,Games!$N$2:$N$897)</f>
        <v>171</v>
      </c>
      <c r="F31" s="0" t="n">
        <f aca="false">SUMIF(Games!$A$2:$A$897,$A31,Games!$S$2:$S$897)+SUMIF(Games!$B$2:$B$897,$A31,Games!$Q$2:$Q$897)</f>
        <v>1993</v>
      </c>
      <c r="G31" s="0" t="n">
        <f aca="false">SUMIF(Games!$A$2:$A$897,$A31,Games!$T$2:$T$897)+SUMIF(Games!$B$2:$B$897,$A31,Games!$R$2:$R$897)</f>
        <v>2856</v>
      </c>
      <c r="H31" s="0" t="n">
        <f aca="false">SUMIF(Games!$A$2:$A$897,$A31,Games!$U$2:$U$897)+SUMIF(Games!$B$2:$B$897,$A31,Games!$V$2:$V$897)</f>
        <v>-1.82789574561204</v>
      </c>
      <c r="I31" s="0" t="n">
        <f aca="false">SUMIF(Games!$A$2:$A$897,$A31,Games!$E$2:$E$897)+SUMIF(Games!$B$2:$B$897,$A31,Games!$F$2:$F$897)</f>
        <v>2603</v>
      </c>
      <c r="J31" s="0" t="n">
        <f aca="false">IFERROR(I31/(B31+C31),0)</f>
        <v>200.230769230769</v>
      </c>
      <c r="K31" s="0" t="n">
        <f aca="false">SUMIF(Games!$A$2:$A$897,$A31,Games!$F$2:$F$897)+SUMIF(Games!$B$2:$B$897,$A31,Games!$E$2:$E$897)</f>
        <v>2278</v>
      </c>
      <c r="L31" s="0" t="n">
        <f aca="false">SUMIF(Games!$A$2:$A$897,$A31,Games!$G$2:$G$897)+SUMIF(Games!$B$2:$B$897,$A31,Games!$H$2:$H$897)</f>
        <v>2910</v>
      </c>
      <c r="M31" s="0" t="n">
        <f aca="false">IFERROR(L31/(B31+C31),0)</f>
        <v>223.846153846154</v>
      </c>
      <c r="N31" s="0" t="n">
        <f aca="false">SUMIF(Games!$A$2:$A$897,$A31,Games!$H$2:$H$897)+SUMIF(Games!$B$2:$B$897,$A31,Games!$G$2:$G$897)</f>
        <v>3065</v>
      </c>
      <c r="O31" s="0" t="n">
        <f aca="false">SUMIF(Games!$A$2:$A$897,$A31,Games!$I$2:$I$897)+SUMIF(Games!$B$2:$B$897,$A31,Games!$J$2:$J$897)</f>
        <v>14</v>
      </c>
      <c r="P31" s="0" t="n">
        <f aca="false">SUMIF(Games!$A$2:$A$897,$A31,Games!$J$2:$J$897)+SUMIF(Games!$B$2:$B$897,$A31,Games!$I$2:$I$897)</f>
        <v>22</v>
      </c>
      <c r="R31" s="0" t="n">
        <f aca="false">IFERROR((K31+N31)/(B31+C31),0)</f>
        <v>411</v>
      </c>
      <c r="S31" s="0" t="n">
        <f aca="false">P31-O31</f>
        <v>8</v>
      </c>
      <c r="T31" s="0" t="n">
        <f aca="false">IFERROR((D31/(D31+E31))*(F31/(F31+G31)),0)</f>
        <v>0.157282792313425</v>
      </c>
      <c r="U31" s="0" t="n">
        <f aca="false">RANK(T31,T$2:T$132)</f>
        <v>21</v>
      </c>
      <c r="V31" s="0" t="n">
        <f aca="false">IFERROR((B31/(B31+C31))*25,0)+IFERROR((D31/(D31+E31))*25,0)+IFERROR((F31/(F31+G31))*10,0)+H31+((J31-RMEAN)/RDEV)*5+((M31-PMEAN)/PDEV)*5+((DMEAN-R31)/DDEV)*7+((S31-TOMEAN)/TODEV)*3</f>
        <v>26.059752658376</v>
      </c>
    </row>
    <row r="32" customFormat="false" ht="15" hidden="false" customHeight="false" outlineLevel="0" collapsed="false">
      <c r="A32" s="0" t="s">
        <v>36</v>
      </c>
      <c r="B32" s="0" t="n">
        <f aca="false">SUMIF(Games!$A$2:$A$897,$A32,Games!$K$2:$K$897)+SUMIF(Games!$B$2:$B$897,$A32,Games!$L$2:$L$897)</f>
        <v>5</v>
      </c>
      <c r="C32" s="0" t="n">
        <f aca="false">SUMIF(Games!$A$2:$A$897,$A32,Games!$L$2:$L$897)+SUMIF(Games!$B$2:$B$897,$A32,Games!$K$2:$K$897)</f>
        <v>7</v>
      </c>
      <c r="D32" s="0" t="n">
        <f aca="false">SUMIF(Games!$A$2:$A$897,$A32,Games!$O$2:$O$897)+SUMIF(Games!$B$2:$B$897,$A32,Games!$M$2:$M$897)</f>
        <v>83</v>
      </c>
      <c r="E32" s="0" t="n">
        <f aca="false">SUMIF(Games!$A$2:$A$897,$A32,Games!$P$2:$P$897)+SUMIF(Games!$B$2:$B$897,$A32,Games!$N$2:$N$897)</f>
        <v>182</v>
      </c>
      <c r="F32" s="0" t="n">
        <f aca="false">SUMIF(Games!$A$2:$A$897,$A32,Games!$S$2:$S$897)+SUMIF(Games!$B$2:$B$897,$A32,Games!$Q$2:$Q$897)</f>
        <v>1756</v>
      </c>
      <c r="G32" s="0" t="n">
        <f aca="false">SUMIF(Games!$A$2:$A$897,$A32,Games!$T$2:$T$897)+SUMIF(Games!$B$2:$B$897,$A32,Games!$R$2:$R$897)</f>
        <v>2701</v>
      </c>
      <c r="H32" s="0" t="n">
        <f aca="false">SUMIF(Games!$A$2:$A$897,$A32,Games!$U$2:$U$897)+SUMIF(Games!$B$2:$B$897,$A32,Games!$V$2:$V$897)</f>
        <v>-13.4438542827782</v>
      </c>
      <c r="I32" s="0" t="n">
        <f aca="false">SUMIF(Games!$A$2:$A$897,$A32,Games!$E$2:$E$897)+SUMIF(Games!$B$2:$B$897,$A32,Games!$F$2:$F$897)</f>
        <v>2210</v>
      </c>
      <c r="J32" s="0" t="n">
        <f aca="false">IFERROR(I32/(B32+C32),0)</f>
        <v>184.166666666667</v>
      </c>
      <c r="K32" s="0" t="n">
        <f aca="false">SUMIF(Games!$A$2:$A$897,$A32,Games!$F$2:$F$897)+SUMIF(Games!$B$2:$B$897,$A32,Games!$E$2:$E$897)</f>
        <v>2148</v>
      </c>
      <c r="L32" s="0" t="n">
        <f aca="false">SUMIF(Games!$A$2:$A$897,$A32,Games!$G$2:$G$897)+SUMIF(Games!$B$2:$B$897,$A32,Games!$H$2:$H$897)</f>
        <v>2715</v>
      </c>
      <c r="M32" s="0" t="n">
        <f aca="false">IFERROR(L32/(B32+C32),0)</f>
        <v>226.25</v>
      </c>
      <c r="N32" s="0" t="n">
        <f aca="false">SUMIF(Games!$A$2:$A$897,$A32,Games!$H$2:$H$897)+SUMIF(Games!$B$2:$B$897,$A32,Games!$G$2:$G$897)</f>
        <v>2949</v>
      </c>
      <c r="O32" s="0" t="n">
        <f aca="false">SUMIF(Games!$A$2:$A$897,$A32,Games!$I$2:$I$897)+SUMIF(Games!$B$2:$B$897,$A32,Games!$J$2:$J$897)</f>
        <v>13</v>
      </c>
      <c r="P32" s="0" t="n">
        <f aca="false">SUMIF(Games!$A$2:$A$897,$A32,Games!$J$2:$J$897)+SUMIF(Games!$B$2:$B$897,$A32,Games!$I$2:$I$897)</f>
        <v>20</v>
      </c>
      <c r="R32" s="0" t="n">
        <f aca="false">IFERROR((K32+N32)/(B32+C32),0)</f>
        <v>424.75</v>
      </c>
      <c r="S32" s="0" t="n">
        <f aca="false">P32-O32</f>
        <v>7</v>
      </c>
      <c r="T32" s="0" t="n">
        <f aca="false">IFERROR((D32/(D32+E32))*(F32/(F32+G32)),0)</f>
        <v>0.123399697740675</v>
      </c>
      <c r="U32" s="0" t="n">
        <f aca="false">RANK(T32,T$2:T$132)</f>
        <v>94</v>
      </c>
      <c r="V32" s="0" t="n">
        <f aca="false">IFERROR((B32/(B32+C32))*25,0)+IFERROR((D32/(D32+E32))*25,0)+IFERROR((F32/(F32+G32))*10,0)+H32+((J32-RMEAN)/RDEV)*5+((M32-PMEAN)/PDEV)*5+((DMEAN-R32)/DDEV)*7+((S32-TOMEAN)/TODEV)*3</f>
        <v>7.56625635520636</v>
      </c>
    </row>
    <row r="33" customFormat="false" ht="15" hidden="false" customHeight="false" outlineLevel="0" collapsed="false">
      <c r="A33" s="0" t="s">
        <v>37</v>
      </c>
      <c r="B33" s="0" t="n">
        <f aca="false">SUMIF(Games!$A$2:$A$897,$A33,Games!$K$2:$K$897)+SUMIF(Games!$B$2:$B$897,$A33,Games!$L$2:$L$897)</f>
        <v>10</v>
      </c>
      <c r="C33" s="0" t="n">
        <f aca="false">SUMIF(Games!$A$2:$A$897,$A33,Games!$L$2:$L$897)+SUMIF(Games!$B$2:$B$897,$A33,Games!$K$2:$K$897)</f>
        <v>3</v>
      </c>
      <c r="D33" s="0" t="n">
        <f aca="false">SUMIF(Games!$A$2:$A$897,$A33,Games!$O$2:$O$897)+SUMIF(Games!$B$2:$B$897,$A33,Games!$M$2:$M$897)</f>
        <v>91</v>
      </c>
      <c r="E33" s="0" t="n">
        <f aca="false">SUMIF(Games!$A$2:$A$897,$A33,Games!$P$2:$P$897)+SUMIF(Games!$B$2:$B$897,$A33,Games!$N$2:$N$897)</f>
        <v>184</v>
      </c>
      <c r="F33" s="0" t="n">
        <f aca="false">SUMIF(Games!$A$2:$A$897,$A33,Games!$S$2:$S$897)+SUMIF(Games!$B$2:$B$897,$A33,Games!$Q$2:$Q$897)</f>
        <v>1976</v>
      </c>
      <c r="G33" s="0" t="n">
        <f aca="false">SUMIF(Games!$A$2:$A$897,$A33,Games!$T$2:$T$897)+SUMIF(Games!$B$2:$B$897,$A33,Games!$R$2:$R$897)</f>
        <v>2616</v>
      </c>
      <c r="H33" s="0" t="n">
        <f aca="false">SUMIF(Games!$A$2:$A$897,$A33,Games!$U$2:$U$897)+SUMIF(Games!$B$2:$B$897,$A33,Games!$V$2:$V$897)</f>
        <v>24.5580966607971</v>
      </c>
      <c r="I33" s="0" t="n">
        <f aca="false">SUMIF(Games!$A$2:$A$897,$A33,Games!$E$2:$E$897)+SUMIF(Games!$B$2:$B$897,$A33,Games!$F$2:$F$897)</f>
        <v>2783</v>
      </c>
      <c r="J33" s="0" t="n">
        <f aca="false">IFERROR(I33/(B33+C33),0)</f>
        <v>214.076923076923</v>
      </c>
      <c r="K33" s="0" t="n">
        <f aca="false">SUMIF(Games!$A$2:$A$897,$A33,Games!$F$2:$F$897)+SUMIF(Games!$B$2:$B$897,$A33,Games!$E$2:$E$897)</f>
        <v>2040</v>
      </c>
      <c r="L33" s="0" t="n">
        <f aca="false">SUMIF(Games!$A$2:$A$897,$A33,Games!$G$2:$G$897)+SUMIF(Games!$B$2:$B$897,$A33,Games!$H$2:$H$897)</f>
        <v>3512</v>
      </c>
      <c r="M33" s="0" t="n">
        <f aca="false">IFERROR(L33/(B33+C33),0)</f>
        <v>270.153846153846</v>
      </c>
      <c r="N33" s="0" t="n">
        <f aca="false">SUMIF(Games!$A$2:$A$897,$A33,Games!$H$2:$H$897)+SUMIF(Games!$B$2:$B$897,$A33,Games!$G$2:$G$897)</f>
        <v>2150</v>
      </c>
      <c r="O33" s="0" t="n">
        <f aca="false">SUMIF(Games!$A$2:$A$897,$A33,Games!$I$2:$I$897)+SUMIF(Games!$B$2:$B$897,$A33,Games!$J$2:$J$897)</f>
        <v>14</v>
      </c>
      <c r="P33" s="0" t="n">
        <f aca="false">SUMIF(Games!$A$2:$A$897,$A33,Games!$J$2:$J$897)+SUMIF(Games!$B$2:$B$897,$A33,Games!$I$2:$I$897)</f>
        <v>16</v>
      </c>
      <c r="R33" s="0" t="n">
        <f aca="false">IFERROR((K33+N33)/(B33+C33),0)</f>
        <v>322.307692307692</v>
      </c>
      <c r="S33" s="0" t="n">
        <f aca="false">P33-O33</f>
        <v>2</v>
      </c>
      <c r="T33" s="0" t="n">
        <f aca="false">IFERROR((D33/(D33+E33))*(F33/(F33+G33)),0)</f>
        <v>0.14239467849224</v>
      </c>
      <c r="U33" s="0" t="n">
        <f aca="false">RANK(T33,T$2:T$132)</f>
        <v>54</v>
      </c>
      <c r="V33" s="0" t="n">
        <f aca="false">IFERROR((B33/(B33+C33))*25,0)+IFERROR((D33/(D33+E33))*25,0)+IFERROR((F33/(F33+G33))*10,0)+H33+((J33-RMEAN)/RDEV)*5+((M33-PMEAN)/PDEV)*5+((DMEAN-R33)/DDEV)*7+((S33-TOMEAN)/TODEV)*3</f>
        <v>74.4051331765656</v>
      </c>
    </row>
    <row r="34" customFormat="false" ht="15" hidden="false" customHeight="false" outlineLevel="0" collapsed="false">
      <c r="A34" s="0" t="s">
        <v>38</v>
      </c>
      <c r="B34" s="0" t="n">
        <f aca="false">SUMIF(Games!$A$2:$A$897,$A34,Games!$K$2:$K$897)+SUMIF(Games!$B$2:$B$897,$A34,Games!$L$2:$L$897)</f>
        <v>10</v>
      </c>
      <c r="C34" s="0" t="n">
        <f aca="false">SUMIF(Games!$A$2:$A$897,$A34,Games!$L$2:$L$897)+SUMIF(Games!$B$2:$B$897,$A34,Games!$K$2:$K$897)</f>
        <v>4</v>
      </c>
      <c r="D34" s="0" t="n">
        <f aca="false">SUMIF(Games!$A$2:$A$897,$A34,Games!$O$2:$O$897)+SUMIF(Games!$B$2:$B$897,$A34,Games!$M$2:$M$897)</f>
        <v>95</v>
      </c>
      <c r="E34" s="0" t="n">
        <f aca="false">SUMIF(Games!$A$2:$A$897,$A34,Games!$P$2:$P$897)+SUMIF(Games!$B$2:$B$897,$A34,Games!$N$2:$N$897)</f>
        <v>193</v>
      </c>
      <c r="F34" s="0" t="n">
        <f aca="false">SUMIF(Games!$A$2:$A$897,$A34,Games!$S$2:$S$897)+SUMIF(Games!$B$2:$B$897,$A34,Games!$Q$2:$Q$897)</f>
        <v>1953</v>
      </c>
      <c r="G34" s="0" t="n">
        <f aca="false">SUMIF(Games!$A$2:$A$897,$A34,Games!$T$2:$T$897)+SUMIF(Games!$B$2:$B$897,$A34,Games!$R$2:$R$897)</f>
        <v>3025</v>
      </c>
      <c r="H34" s="0" t="n">
        <f aca="false">SUMIF(Games!$A$2:$A$897,$A34,Games!$U$2:$U$897)+SUMIF(Games!$B$2:$B$897,$A34,Games!$V$2:$V$897)</f>
        <v>12.9890854262163</v>
      </c>
      <c r="I34" s="0" t="n">
        <f aca="false">SUMIF(Games!$A$2:$A$897,$A34,Games!$E$2:$E$897)+SUMIF(Games!$B$2:$B$897,$A34,Games!$F$2:$F$897)</f>
        <v>1862</v>
      </c>
      <c r="J34" s="0" t="n">
        <f aca="false">IFERROR(I34/(B34+C34),0)</f>
        <v>133</v>
      </c>
      <c r="K34" s="0" t="n">
        <f aca="false">SUMIF(Games!$A$2:$A$897,$A34,Games!$F$2:$F$897)+SUMIF(Games!$B$2:$B$897,$A34,Games!$E$2:$E$897)</f>
        <v>2092</v>
      </c>
      <c r="L34" s="0" t="n">
        <f aca="false">SUMIF(Games!$A$2:$A$897,$A34,Games!$G$2:$G$897)+SUMIF(Games!$B$2:$B$897,$A34,Games!$H$2:$H$897)</f>
        <v>3774</v>
      </c>
      <c r="M34" s="0" t="n">
        <f aca="false">IFERROR(L34/(B34+C34),0)</f>
        <v>269.571428571429</v>
      </c>
      <c r="N34" s="0" t="n">
        <f aca="false">SUMIF(Games!$A$2:$A$897,$A34,Games!$H$2:$H$897)+SUMIF(Games!$B$2:$B$897,$A34,Games!$G$2:$G$897)</f>
        <v>2642</v>
      </c>
      <c r="O34" s="0" t="n">
        <f aca="false">SUMIF(Games!$A$2:$A$897,$A34,Games!$I$2:$I$897)+SUMIF(Games!$B$2:$B$897,$A34,Games!$J$2:$J$897)</f>
        <v>14</v>
      </c>
      <c r="P34" s="0" t="n">
        <f aca="false">SUMIF(Games!$A$2:$A$897,$A34,Games!$J$2:$J$897)+SUMIF(Games!$B$2:$B$897,$A34,Games!$I$2:$I$897)</f>
        <v>18</v>
      </c>
      <c r="R34" s="0" t="n">
        <f aca="false">IFERROR((K34+N34)/(B34+C34),0)</f>
        <v>338.142857142857</v>
      </c>
      <c r="S34" s="0" t="n">
        <f aca="false">P34-O34</f>
        <v>4</v>
      </c>
      <c r="T34" s="0" t="n">
        <f aca="false">IFERROR((D34/(D34+E34))*(F34/(F34+G34)),0)</f>
        <v>0.129413167938931</v>
      </c>
      <c r="U34" s="0" t="n">
        <f aca="false">RANK(T34,T$2:T$132)</f>
        <v>81</v>
      </c>
      <c r="V34" s="0" t="n">
        <f aca="false">IFERROR((B34/(B34+C34))*25,0)+IFERROR((D34/(D34+E34))*25,0)+IFERROR((F34/(F34+G34))*10,0)+H34+((J34-RMEAN)/RDEV)*5+((M34-PMEAN)/PDEV)*5+((DMEAN-R34)/DDEV)*7+((S34-TOMEAN)/TODEV)*3</f>
        <v>50.7679312872456</v>
      </c>
    </row>
    <row r="35" customFormat="false" ht="15" hidden="false" customHeight="false" outlineLevel="0" collapsed="false">
      <c r="A35" s="0" t="s">
        <v>39</v>
      </c>
      <c r="B35" s="0" t="n">
        <f aca="false">SUMIF(Games!$A$2:$A$897,$A35,Games!$K$2:$K$897)+SUMIF(Games!$B$2:$B$897,$A35,Games!$L$2:$L$897)</f>
        <v>15</v>
      </c>
      <c r="C35" s="0" t="n">
        <f aca="false">SUMIF(Games!$A$2:$A$897,$A35,Games!$L$2:$L$897)+SUMIF(Games!$B$2:$B$897,$A35,Games!$K$2:$K$897)</f>
        <v>0</v>
      </c>
      <c r="D35" s="0" t="n">
        <f aca="false">SUMIF(Games!$A$2:$A$897,$A35,Games!$O$2:$O$897)+SUMIF(Games!$B$2:$B$897,$A35,Games!$M$2:$M$897)</f>
        <v>119</v>
      </c>
      <c r="E35" s="0" t="n">
        <f aca="false">SUMIF(Games!$A$2:$A$897,$A35,Games!$P$2:$P$897)+SUMIF(Games!$B$2:$B$897,$A35,Games!$N$2:$N$897)</f>
        <v>182</v>
      </c>
      <c r="F35" s="0" t="n">
        <f aca="false">SUMIF(Games!$A$2:$A$897,$A35,Games!$S$2:$S$897)+SUMIF(Games!$B$2:$B$897,$A35,Games!$Q$2:$Q$897)</f>
        <v>2230</v>
      </c>
      <c r="G35" s="0" t="n">
        <f aca="false">SUMIF(Games!$A$2:$A$897,$A35,Games!$T$2:$T$897)+SUMIF(Games!$B$2:$B$897,$A35,Games!$R$2:$R$897)</f>
        <v>3050</v>
      </c>
      <c r="H35" s="0" t="n">
        <f aca="false">SUMIF(Games!$A$2:$A$897,$A35,Games!$U$2:$U$897)+SUMIF(Games!$B$2:$B$897,$A35,Games!$V$2:$V$897)</f>
        <v>70.1509902883651</v>
      </c>
      <c r="I35" s="0" t="n">
        <f aca="false">SUMIF(Games!$A$2:$A$897,$A35,Games!$E$2:$E$897)+SUMIF(Games!$B$2:$B$897,$A35,Games!$F$2:$F$897)</f>
        <v>3080</v>
      </c>
      <c r="J35" s="0" t="n">
        <f aca="false">IFERROR(I35/(B35+C35),0)</f>
        <v>205.333333333333</v>
      </c>
      <c r="K35" s="0" t="n">
        <f aca="false">SUMIF(Games!$A$2:$A$897,$A35,Games!$F$2:$F$897)+SUMIF(Games!$B$2:$B$897,$A35,Games!$E$2:$E$897)</f>
        <v>1156</v>
      </c>
      <c r="L35" s="0" t="n">
        <f aca="false">SUMIF(Games!$A$2:$A$897,$A35,Games!$G$2:$G$897)+SUMIF(Games!$B$2:$B$897,$A35,Games!$H$2:$H$897)</f>
        <v>4437</v>
      </c>
      <c r="M35" s="0" t="n">
        <f aca="false">IFERROR(L35/(B35+C35),0)</f>
        <v>295.8</v>
      </c>
      <c r="N35" s="0" t="n">
        <f aca="false">SUMIF(Games!$A$2:$A$897,$A35,Games!$H$2:$H$897)+SUMIF(Games!$B$2:$B$897,$A35,Games!$G$2:$G$897)</f>
        <v>3296</v>
      </c>
      <c r="O35" s="0" t="n">
        <f aca="false">SUMIF(Games!$A$2:$A$897,$A35,Games!$I$2:$I$897)+SUMIF(Games!$B$2:$B$897,$A35,Games!$J$2:$J$897)</f>
        <v>17</v>
      </c>
      <c r="P35" s="0" t="n">
        <f aca="false">SUMIF(Games!$A$2:$A$897,$A35,Games!$J$2:$J$897)+SUMIF(Games!$B$2:$B$897,$A35,Games!$I$2:$I$897)</f>
        <v>19</v>
      </c>
      <c r="R35" s="0" t="n">
        <f aca="false">IFERROR((K35+N35)/(B35+C35),0)</f>
        <v>296.8</v>
      </c>
      <c r="S35" s="0" t="n">
        <f aca="false">P35-O35</f>
        <v>2</v>
      </c>
      <c r="T35" s="0" t="n">
        <f aca="false">IFERROR((D35/(D35+E35))*(F35/(F35+G35)),0)</f>
        <v>0.166974982381959</v>
      </c>
      <c r="U35" s="0" t="n">
        <f aca="false">RANK(T35,T$2:T$132)</f>
        <v>14</v>
      </c>
      <c r="V35" s="0" t="n">
        <f aca="false">IFERROR((B35/(B35+C35))*25,0)+IFERROR((D35/(D35+E35))*25,0)+IFERROR((F35/(F35+G35))*10,0)+H35+((J35-RMEAN)/RDEV)*5+((M35-PMEAN)/PDEV)*5+((DMEAN-R35)/DDEV)*7+((S35-TOMEAN)/TODEV)*3</f>
        <v>132.240543095084</v>
      </c>
    </row>
    <row r="36" customFormat="false" ht="15" hidden="false" customHeight="false" outlineLevel="0" collapsed="false">
      <c r="A36" s="0" t="s">
        <v>40</v>
      </c>
      <c r="B36" s="0" t="n">
        <f aca="false">SUMIF(Games!$A$2:$A$897,$A36,Games!$K$2:$K$897)+SUMIF(Games!$B$2:$B$897,$A36,Games!$L$2:$L$897)</f>
        <v>6</v>
      </c>
      <c r="C36" s="0" t="n">
        <f aca="false">SUMIF(Games!$A$2:$A$897,$A36,Games!$L$2:$L$897)+SUMIF(Games!$B$2:$B$897,$A36,Games!$K$2:$K$897)</f>
        <v>7</v>
      </c>
      <c r="D36" s="0" t="n">
        <f aca="false">SUMIF(Games!$A$2:$A$897,$A36,Games!$O$2:$O$897)+SUMIF(Games!$B$2:$B$897,$A36,Games!$M$2:$M$897)</f>
        <v>86</v>
      </c>
      <c r="E36" s="0" t="n">
        <f aca="false">SUMIF(Games!$A$2:$A$897,$A36,Games!$P$2:$P$897)+SUMIF(Games!$B$2:$B$897,$A36,Games!$N$2:$N$897)</f>
        <v>183</v>
      </c>
      <c r="F36" s="0" t="n">
        <f aca="false">SUMIF(Games!$A$2:$A$897,$A36,Games!$S$2:$S$897)+SUMIF(Games!$B$2:$B$897,$A36,Games!$Q$2:$Q$897)</f>
        <v>1801</v>
      </c>
      <c r="G36" s="0" t="n">
        <f aca="false">SUMIF(Games!$A$2:$A$897,$A36,Games!$T$2:$T$897)+SUMIF(Games!$B$2:$B$897,$A36,Games!$R$2:$R$897)</f>
        <v>2905</v>
      </c>
      <c r="H36" s="0" t="n">
        <f aca="false">SUMIF(Games!$A$2:$A$897,$A36,Games!$U$2:$U$897)+SUMIF(Games!$B$2:$B$897,$A36,Games!$V$2:$V$897)</f>
        <v>-13.8926540755056</v>
      </c>
      <c r="I36" s="0" t="n">
        <f aca="false">SUMIF(Games!$A$2:$A$897,$A36,Games!$E$2:$E$897)+SUMIF(Games!$B$2:$B$897,$A36,Games!$F$2:$F$897)</f>
        <v>1783</v>
      </c>
      <c r="J36" s="0" t="n">
        <f aca="false">IFERROR(I36/(B36+C36),0)</f>
        <v>137.153846153846</v>
      </c>
      <c r="K36" s="0" t="n">
        <f aca="false">SUMIF(Games!$A$2:$A$897,$A36,Games!$F$2:$F$897)+SUMIF(Games!$B$2:$B$897,$A36,Games!$E$2:$E$897)</f>
        <v>3018</v>
      </c>
      <c r="L36" s="0" t="n">
        <f aca="false">SUMIF(Games!$A$2:$A$897,$A36,Games!$G$2:$G$897)+SUMIF(Games!$B$2:$B$897,$A36,Games!$H$2:$H$897)</f>
        <v>4282</v>
      </c>
      <c r="M36" s="0" t="n">
        <f aca="false">IFERROR(L36/(B36+C36),0)</f>
        <v>329.384615384615</v>
      </c>
      <c r="N36" s="0" t="n">
        <f aca="false">SUMIF(Games!$A$2:$A$897,$A36,Games!$H$2:$H$897)+SUMIF(Games!$B$2:$B$897,$A36,Games!$G$2:$G$897)</f>
        <v>3354</v>
      </c>
      <c r="O36" s="0" t="n">
        <f aca="false">SUMIF(Games!$A$2:$A$897,$A36,Games!$I$2:$I$897)+SUMIF(Games!$B$2:$B$897,$A36,Games!$J$2:$J$897)</f>
        <v>21</v>
      </c>
      <c r="P36" s="0" t="n">
        <f aca="false">SUMIF(Games!$A$2:$A$897,$A36,Games!$J$2:$J$897)+SUMIF(Games!$B$2:$B$897,$A36,Games!$I$2:$I$897)</f>
        <v>17</v>
      </c>
      <c r="R36" s="0" t="n">
        <f aca="false">IFERROR((K36+N36)/(B36+C36),0)</f>
        <v>490.153846153846</v>
      </c>
      <c r="S36" s="0" t="n">
        <f aca="false">P36-O36</f>
        <v>-4</v>
      </c>
      <c r="T36" s="0" t="n">
        <f aca="false">IFERROR((D36/(D36+E36))*(F36/(F36+G36)),0)</f>
        <v>0.122351123378049</v>
      </c>
      <c r="U36" s="0" t="n">
        <f aca="false">RANK(T36,T$2:T$132)</f>
        <v>99</v>
      </c>
      <c r="V36" s="0" t="n">
        <f aca="false">IFERROR((B36/(B36+C36))*25,0)+IFERROR((D36/(D36+E36))*25,0)+IFERROR((F36/(F36+G36))*10,0)+H36+((J36-RMEAN)/RDEV)*5+((M36-PMEAN)/PDEV)*5+((DMEAN-R36)/DDEV)*7+((S36-TOMEAN)/TODEV)*3</f>
        <v>-0.758130201804596</v>
      </c>
    </row>
    <row r="37" customFormat="false" ht="15" hidden="false" customHeight="false" outlineLevel="0" collapsed="false">
      <c r="A37" s="0" t="s">
        <v>41</v>
      </c>
      <c r="B37" s="0" t="n">
        <f aca="false">SUMIF(Games!$A$2:$A$897,$A37,Games!$K$2:$K$897)+SUMIF(Games!$B$2:$B$897,$A37,Games!$L$2:$L$897)</f>
        <v>4</v>
      </c>
      <c r="C37" s="0" t="n">
        <f aca="false">SUMIF(Games!$A$2:$A$897,$A37,Games!$L$2:$L$897)+SUMIF(Games!$B$2:$B$897,$A37,Games!$K$2:$K$897)</f>
        <v>8</v>
      </c>
      <c r="D37" s="0" t="n">
        <f aca="false">SUMIF(Games!$A$2:$A$897,$A37,Games!$O$2:$O$897)+SUMIF(Games!$B$2:$B$897,$A37,Games!$M$2:$M$897)</f>
        <v>78</v>
      </c>
      <c r="E37" s="0" t="n">
        <f aca="false">SUMIF(Games!$A$2:$A$897,$A37,Games!$P$2:$P$897)+SUMIF(Games!$B$2:$B$897,$A37,Games!$N$2:$N$897)</f>
        <v>72</v>
      </c>
      <c r="F37" s="0" t="n">
        <f aca="false">SUMIF(Games!$A$2:$A$897,$A37,Games!$S$2:$S$897)+SUMIF(Games!$B$2:$B$897,$A37,Games!$Q$2:$Q$897)</f>
        <v>1027</v>
      </c>
      <c r="G37" s="0" t="n">
        <f aca="false">SUMIF(Games!$A$2:$A$897,$A37,Games!$T$2:$T$897)+SUMIF(Games!$B$2:$B$897,$A37,Games!$R$2:$R$897)</f>
        <v>2364</v>
      </c>
      <c r="H37" s="0" t="n">
        <f aca="false">SUMIF(Games!$A$2:$A$897,$A37,Games!$U$2:$U$897)+SUMIF(Games!$B$2:$B$897,$A37,Games!$V$2:$V$897)</f>
        <v>-13.440868848609</v>
      </c>
      <c r="I37" s="0" t="n">
        <f aca="false">SUMIF(Games!$A$2:$A$897,$A37,Games!$E$2:$E$897)+SUMIF(Games!$B$2:$B$897,$A37,Games!$F$2:$F$897)</f>
        <v>2586</v>
      </c>
      <c r="J37" s="0" t="n">
        <f aca="false">IFERROR(I37/(B37+C37),0)</f>
        <v>215.5</v>
      </c>
      <c r="K37" s="0" t="n">
        <f aca="false">SUMIF(Games!$A$2:$A$897,$A37,Games!$F$2:$F$897)+SUMIF(Games!$B$2:$B$897,$A37,Games!$E$2:$E$897)</f>
        <v>2037</v>
      </c>
      <c r="L37" s="0" t="n">
        <f aca="false">SUMIF(Games!$A$2:$A$897,$A37,Games!$G$2:$G$897)+SUMIF(Games!$B$2:$B$897,$A37,Games!$H$2:$H$897)</f>
        <v>2431</v>
      </c>
      <c r="M37" s="0" t="n">
        <f aca="false">IFERROR(L37/(B37+C37),0)</f>
        <v>202.583333333333</v>
      </c>
      <c r="N37" s="0" t="n">
        <f aca="false">SUMIF(Games!$A$2:$A$897,$A37,Games!$H$2:$H$897)+SUMIF(Games!$B$2:$B$897,$A37,Games!$G$2:$G$897)</f>
        <v>2743</v>
      </c>
      <c r="O37" s="0" t="n">
        <f aca="false">SUMIF(Games!$A$2:$A$897,$A37,Games!$I$2:$I$897)+SUMIF(Games!$B$2:$B$897,$A37,Games!$J$2:$J$897)</f>
        <v>19</v>
      </c>
      <c r="P37" s="0" t="n">
        <f aca="false">SUMIF(Games!$A$2:$A$897,$A37,Games!$J$2:$J$897)+SUMIF(Games!$B$2:$B$897,$A37,Games!$I$2:$I$897)</f>
        <v>25</v>
      </c>
      <c r="R37" s="0" t="n">
        <f aca="false">IFERROR((K37+N37)/(B37+C37),0)</f>
        <v>398.333333333333</v>
      </c>
      <c r="S37" s="0" t="n">
        <f aca="false">P37-O37</f>
        <v>6</v>
      </c>
      <c r="T37" s="0" t="n">
        <f aca="false">IFERROR((D37/(D37+E37))*(F37/(F37+G37)),0)</f>
        <v>0.157487466823946</v>
      </c>
      <c r="U37" s="0" t="n">
        <f aca="false">RANK(T37,T$2:T$132)</f>
        <v>20</v>
      </c>
      <c r="V37" s="0" t="n">
        <f aca="false">IFERROR((B37/(B37+C37))*25,0)+IFERROR((D37/(D37+E37))*25,0)+IFERROR((F37/(F37+G37))*10,0)+H37+((J37-RMEAN)/RDEV)*5+((M37-PMEAN)/PDEV)*5+((DMEAN-R37)/DDEV)*7+((S37-TOMEAN)/TODEV)*3</f>
        <v>14.1011811033612</v>
      </c>
    </row>
    <row r="38" customFormat="false" ht="15" hidden="false" customHeight="false" outlineLevel="0" collapsed="false">
      <c r="A38" s="0" t="s">
        <v>42</v>
      </c>
      <c r="B38" s="0" t="n">
        <f aca="false">SUMIF(Games!$A$2:$A$897,$A38,Games!$K$2:$K$897)+SUMIF(Games!$B$2:$B$897,$A38,Games!$L$2:$L$897)</f>
        <v>5</v>
      </c>
      <c r="C38" s="0" t="n">
        <f aca="false">SUMIF(Games!$A$2:$A$897,$A38,Games!$L$2:$L$897)+SUMIF(Games!$B$2:$B$897,$A38,Games!$K$2:$K$897)</f>
        <v>7</v>
      </c>
      <c r="D38" s="0" t="n">
        <f aca="false">SUMIF(Games!$A$2:$A$897,$A38,Games!$O$2:$O$897)+SUMIF(Games!$B$2:$B$897,$A38,Games!$M$2:$M$897)</f>
        <v>99</v>
      </c>
      <c r="E38" s="0" t="n">
        <f aca="false">SUMIF(Games!$A$2:$A$897,$A38,Games!$P$2:$P$897)+SUMIF(Games!$B$2:$B$897,$A38,Games!$N$2:$N$897)</f>
        <v>163</v>
      </c>
      <c r="F38" s="0" t="n">
        <f aca="false">SUMIF(Games!$A$2:$A$897,$A38,Games!$S$2:$S$897)+SUMIF(Games!$B$2:$B$897,$A38,Games!$Q$2:$Q$897)</f>
        <v>1799</v>
      </c>
      <c r="G38" s="0" t="n">
        <f aca="false">SUMIF(Games!$A$2:$A$897,$A38,Games!$T$2:$T$897)+SUMIF(Games!$B$2:$B$897,$A38,Games!$R$2:$R$897)</f>
        <v>2708</v>
      </c>
      <c r="H38" s="0" t="n">
        <f aca="false">SUMIF(Games!$A$2:$A$897,$A38,Games!$U$2:$U$897)+SUMIF(Games!$B$2:$B$897,$A38,Games!$V$2:$V$897)</f>
        <v>-30.4431542663615</v>
      </c>
      <c r="I38" s="0" t="n">
        <f aca="false">SUMIF(Games!$A$2:$A$897,$A38,Games!$E$2:$E$897)+SUMIF(Games!$B$2:$B$897,$A38,Games!$F$2:$F$897)</f>
        <v>1596</v>
      </c>
      <c r="J38" s="0" t="n">
        <f aca="false">IFERROR(I38/(B38+C38),0)</f>
        <v>133</v>
      </c>
      <c r="K38" s="0" t="n">
        <f aca="false">SUMIF(Games!$A$2:$A$897,$A38,Games!$F$2:$F$897)+SUMIF(Games!$B$2:$B$897,$A38,Games!$E$2:$E$897)</f>
        <v>2269</v>
      </c>
      <c r="L38" s="0" t="n">
        <f aca="false">SUMIF(Games!$A$2:$A$897,$A38,Games!$G$2:$G$897)+SUMIF(Games!$B$2:$B$897,$A38,Games!$H$2:$H$897)</f>
        <v>2306</v>
      </c>
      <c r="M38" s="0" t="n">
        <f aca="false">IFERROR(L38/(B38+C38),0)</f>
        <v>192.166666666667</v>
      </c>
      <c r="N38" s="0" t="n">
        <f aca="false">SUMIF(Games!$A$2:$A$897,$A38,Games!$H$2:$H$897)+SUMIF(Games!$B$2:$B$897,$A38,Games!$G$2:$G$897)</f>
        <v>2549</v>
      </c>
      <c r="O38" s="0" t="n">
        <f aca="false">SUMIF(Games!$A$2:$A$897,$A38,Games!$I$2:$I$897)+SUMIF(Games!$B$2:$B$897,$A38,Games!$J$2:$J$897)</f>
        <v>13</v>
      </c>
      <c r="P38" s="0" t="n">
        <f aca="false">SUMIF(Games!$A$2:$A$897,$A38,Games!$J$2:$J$897)+SUMIF(Games!$B$2:$B$897,$A38,Games!$I$2:$I$897)</f>
        <v>24</v>
      </c>
      <c r="R38" s="0" t="n">
        <f aca="false">IFERROR((K38+N38)/(B38+C38),0)</f>
        <v>401.5</v>
      </c>
      <c r="S38" s="0" t="n">
        <f aca="false">P38-O38</f>
        <v>11</v>
      </c>
      <c r="T38" s="0" t="n">
        <f aca="false">IFERROR((D38/(D38+E38))*(F38/(F38+G38)),0)</f>
        <v>0.150826449780409</v>
      </c>
      <c r="U38" s="0" t="n">
        <f aca="false">RANK(T38,T$2:T$132)</f>
        <v>34</v>
      </c>
      <c r="V38" s="0" t="n">
        <f aca="false">IFERROR((B38/(B38+C38))*25,0)+IFERROR((D38/(D38+E38))*25,0)+IFERROR((F38/(F38+G38))*10,0)+H38+((J38-RMEAN)/RDEV)*5+((M38-PMEAN)/PDEV)*5+((DMEAN-R38)/DDEV)*7+((S38-TOMEAN)/TODEV)*3</f>
        <v>-11.7615649583778</v>
      </c>
    </row>
    <row r="39" customFormat="false" ht="15" hidden="false" customHeight="false" outlineLevel="0" collapsed="false">
      <c r="A39" s="0" t="s">
        <v>43</v>
      </c>
      <c r="B39" s="0" t="n">
        <f aca="false">SUMIF(Games!$A$2:$A$897,$A39,Games!$K$2:$K$897)+SUMIF(Games!$B$2:$B$897,$A39,Games!$L$2:$L$897)</f>
        <v>3</v>
      </c>
      <c r="C39" s="0" t="n">
        <f aca="false">SUMIF(Games!$A$2:$A$897,$A39,Games!$L$2:$L$897)+SUMIF(Games!$B$2:$B$897,$A39,Games!$K$2:$K$897)</f>
        <v>10</v>
      </c>
      <c r="D39" s="0" t="n">
        <f aca="false">SUMIF(Games!$A$2:$A$897,$A39,Games!$O$2:$O$897)+SUMIF(Games!$B$2:$B$897,$A39,Games!$M$2:$M$897)</f>
        <v>89</v>
      </c>
      <c r="E39" s="0" t="n">
        <f aca="false">SUMIF(Games!$A$2:$A$897,$A39,Games!$P$2:$P$897)+SUMIF(Games!$B$2:$B$897,$A39,Games!$N$2:$N$897)</f>
        <v>185</v>
      </c>
      <c r="F39" s="0" t="n">
        <f aca="false">SUMIF(Games!$A$2:$A$897,$A39,Games!$S$2:$S$897)+SUMIF(Games!$B$2:$B$897,$A39,Games!$Q$2:$Q$897)</f>
        <v>1827</v>
      </c>
      <c r="G39" s="0" t="n">
        <f aca="false">SUMIF(Games!$A$2:$A$897,$A39,Games!$T$2:$T$897)+SUMIF(Games!$B$2:$B$897,$A39,Games!$R$2:$R$897)</f>
        <v>2966</v>
      </c>
      <c r="H39" s="0" t="n">
        <f aca="false">SUMIF(Games!$A$2:$A$897,$A39,Games!$U$2:$U$897)+SUMIF(Games!$B$2:$B$897,$A39,Games!$V$2:$V$897)</f>
        <v>-45.4622435795549</v>
      </c>
      <c r="I39" s="0" t="n">
        <f aca="false">SUMIF(Games!$A$2:$A$897,$A39,Games!$E$2:$E$897)+SUMIF(Games!$B$2:$B$897,$A39,Games!$F$2:$F$897)</f>
        <v>1784</v>
      </c>
      <c r="J39" s="0" t="n">
        <f aca="false">IFERROR(I39/(B39+C39),0)</f>
        <v>137.230769230769</v>
      </c>
      <c r="K39" s="0" t="n">
        <f aca="false">SUMIF(Games!$A$2:$A$897,$A39,Games!$F$2:$F$897)+SUMIF(Games!$B$2:$B$897,$A39,Games!$E$2:$E$897)</f>
        <v>2773</v>
      </c>
      <c r="L39" s="0" t="n">
        <f aca="false">SUMIF(Games!$A$2:$A$897,$A39,Games!$G$2:$G$897)+SUMIF(Games!$B$2:$B$897,$A39,Games!$H$2:$H$897)</f>
        <v>2672</v>
      </c>
      <c r="M39" s="0" t="n">
        <f aca="false">IFERROR(L39/(B39+C39),0)</f>
        <v>205.538461538462</v>
      </c>
      <c r="N39" s="0" t="n">
        <f aca="false">SUMIF(Games!$A$2:$A$897,$A39,Games!$H$2:$H$897)+SUMIF(Games!$B$2:$B$897,$A39,Games!$G$2:$G$897)</f>
        <v>2923</v>
      </c>
      <c r="O39" s="0" t="n">
        <f aca="false">SUMIF(Games!$A$2:$A$897,$A39,Games!$I$2:$I$897)+SUMIF(Games!$B$2:$B$897,$A39,Games!$J$2:$J$897)</f>
        <v>20</v>
      </c>
      <c r="P39" s="0" t="n">
        <f aca="false">SUMIF(Games!$A$2:$A$897,$A39,Games!$J$2:$J$897)+SUMIF(Games!$B$2:$B$897,$A39,Games!$I$2:$I$897)</f>
        <v>12</v>
      </c>
      <c r="R39" s="0" t="n">
        <f aca="false">IFERROR((K39+N39)/(B39+C39),0)</f>
        <v>438.153846153846</v>
      </c>
      <c r="S39" s="0" t="n">
        <f aca="false">P39-O39</f>
        <v>-8</v>
      </c>
      <c r="T39" s="0" t="n">
        <f aca="false">IFERROR((D39/(D39+E39))*(F39/(F39+G39)),0)</f>
        <v>0.123814230302403</v>
      </c>
      <c r="U39" s="0" t="n">
        <f aca="false">RANK(T39,T$2:T$132)</f>
        <v>92</v>
      </c>
      <c r="V39" s="0" t="n">
        <f aca="false">IFERROR((B39/(B39+C39))*25,0)+IFERROR((D39/(D39+E39))*25,0)+IFERROR((F39/(F39+G39))*10,0)+H39+((J39-RMEAN)/RDEV)*5+((M39-PMEAN)/PDEV)*5+((DMEAN-R39)/DDEV)*7+((S39-TOMEAN)/TODEV)*3</f>
        <v>-44.4608968293662</v>
      </c>
    </row>
    <row r="40" customFormat="false" ht="15" hidden="false" customHeight="false" outlineLevel="0" collapsed="false">
      <c r="A40" s="0" t="s">
        <v>44</v>
      </c>
      <c r="B40" s="0" t="n">
        <f aca="false">SUMIF(Games!$A$2:$A$897,$A40,Games!$K$2:$K$897)+SUMIF(Games!$B$2:$B$897,$A40,Games!$L$2:$L$897)</f>
        <v>8</v>
      </c>
      <c r="C40" s="0" t="n">
        <f aca="false">SUMIF(Games!$A$2:$A$897,$A40,Games!$L$2:$L$897)+SUMIF(Games!$B$2:$B$897,$A40,Games!$K$2:$K$897)</f>
        <v>5</v>
      </c>
      <c r="D40" s="0" t="n">
        <f aca="false">SUMIF(Games!$A$2:$A$897,$A40,Games!$O$2:$O$897)+SUMIF(Games!$B$2:$B$897,$A40,Games!$M$2:$M$897)</f>
        <v>83</v>
      </c>
      <c r="E40" s="0" t="n">
        <f aca="false">SUMIF(Games!$A$2:$A$897,$A40,Games!$P$2:$P$897)+SUMIF(Games!$B$2:$B$897,$A40,Games!$N$2:$N$897)</f>
        <v>84</v>
      </c>
      <c r="F40" s="0" t="n">
        <f aca="false">SUMIF(Games!$A$2:$A$897,$A40,Games!$S$2:$S$897)+SUMIF(Games!$B$2:$B$897,$A40,Games!$Q$2:$Q$897)</f>
        <v>1185</v>
      </c>
      <c r="G40" s="0" t="n">
        <f aca="false">SUMIF(Games!$A$2:$A$897,$A40,Games!$T$2:$T$897)+SUMIF(Games!$B$2:$B$897,$A40,Games!$R$2:$R$897)</f>
        <v>2368</v>
      </c>
      <c r="H40" s="0" t="n">
        <f aca="false">SUMIF(Games!$A$2:$A$897,$A40,Games!$U$2:$U$897)+SUMIF(Games!$B$2:$B$897,$A40,Games!$V$2:$V$897)</f>
        <v>-1.62579202526057</v>
      </c>
      <c r="I40" s="0" t="n">
        <f aca="false">SUMIF(Games!$A$2:$A$897,$A40,Games!$E$2:$E$897)+SUMIF(Games!$B$2:$B$897,$A40,Games!$F$2:$F$897)</f>
        <v>1847</v>
      </c>
      <c r="J40" s="0" t="n">
        <f aca="false">IFERROR(I40/(B40+C40),0)</f>
        <v>142.076923076923</v>
      </c>
      <c r="K40" s="0" t="n">
        <f aca="false">SUMIF(Games!$A$2:$A$897,$A40,Games!$F$2:$F$897)+SUMIF(Games!$B$2:$B$897,$A40,Games!$E$2:$E$897)</f>
        <v>1862</v>
      </c>
      <c r="L40" s="0" t="n">
        <f aca="false">SUMIF(Games!$A$2:$A$897,$A40,Games!$G$2:$G$897)+SUMIF(Games!$B$2:$B$897,$A40,Games!$H$2:$H$897)</f>
        <v>4082</v>
      </c>
      <c r="M40" s="0" t="n">
        <f aca="false">IFERROR(L40/(B40+C40),0)</f>
        <v>314</v>
      </c>
      <c r="N40" s="0" t="n">
        <f aca="false">SUMIF(Games!$A$2:$A$897,$A40,Games!$H$2:$H$897)+SUMIF(Games!$B$2:$B$897,$A40,Games!$G$2:$G$897)</f>
        <v>3623</v>
      </c>
      <c r="O40" s="0" t="n">
        <f aca="false">SUMIF(Games!$A$2:$A$897,$A40,Games!$I$2:$I$897)+SUMIF(Games!$B$2:$B$897,$A40,Games!$J$2:$J$897)</f>
        <v>19</v>
      </c>
      <c r="P40" s="0" t="n">
        <f aca="false">SUMIF(Games!$A$2:$A$897,$A40,Games!$J$2:$J$897)+SUMIF(Games!$B$2:$B$897,$A40,Games!$I$2:$I$897)</f>
        <v>13</v>
      </c>
      <c r="R40" s="0" t="n">
        <f aca="false">IFERROR((K40+N40)/(B40+C40),0)</f>
        <v>421.923076923077</v>
      </c>
      <c r="S40" s="0" t="n">
        <f aca="false">P40-O40</f>
        <v>-6</v>
      </c>
      <c r="T40" s="0" t="n">
        <f aca="false">IFERROR((D40/(D40+E40))*(F40/(F40+G40)),0)</f>
        <v>0.165761918324904</v>
      </c>
      <c r="U40" s="0" t="n">
        <f aca="false">RANK(T40,T$2:T$132)</f>
        <v>15</v>
      </c>
      <c r="V40" s="0" t="n">
        <f aca="false">IFERROR((B40/(B40+C40))*25,0)+IFERROR((D40/(D40+E40))*25,0)+IFERROR((F40/(F40+G40))*10,0)+H40+((J40-RMEAN)/RDEV)*5+((M40-PMEAN)/PDEV)*5+((DMEAN-R40)/DDEV)*7+((S40-TOMEAN)/TODEV)*3</f>
        <v>26.766374981033</v>
      </c>
    </row>
    <row r="41" customFormat="false" ht="15" hidden="false" customHeight="false" outlineLevel="0" collapsed="false">
      <c r="A41" s="0" t="s">
        <v>45</v>
      </c>
      <c r="B41" s="0" t="n">
        <f aca="false">SUMIF(Games!$A$2:$A$897,$A41,Games!$K$2:$K$897)+SUMIF(Games!$B$2:$B$897,$A41,Games!$L$2:$L$897)</f>
        <v>8</v>
      </c>
      <c r="C41" s="0" t="n">
        <f aca="false">SUMIF(Games!$A$2:$A$897,$A41,Games!$L$2:$L$897)+SUMIF(Games!$B$2:$B$897,$A41,Games!$K$2:$K$897)</f>
        <v>5</v>
      </c>
      <c r="D41" s="0" t="n">
        <f aca="false">SUMIF(Games!$A$2:$A$897,$A41,Games!$O$2:$O$897)+SUMIF(Games!$B$2:$B$897,$A41,Games!$M$2:$M$897)</f>
        <v>86</v>
      </c>
      <c r="E41" s="0" t="n">
        <f aca="false">SUMIF(Games!$A$2:$A$897,$A41,Games!$P$2:$P$897)+SUMIF(Games!$B$2:$B$897,$A41,Games!$N$2:$N$897)</f>
        <v>185</v>
      </c>
      <c r="F41" s="0" t="n">
        <f aca="false">SUMIF(Games!$A$2:$A$897,$A41,Games!$S$2:$S$897)+SUMIF(Games!$B$2:$B$897,$A41,Games!$Q$2:$Q$897)</f>
        <v>1893</v>
      </c>
      <c r="G41" s="0" t="n">
        <f aca="false">SUMIF(Games!$A$2:$A$897,$A41,Games!$T$2:$T$897)+SUMIF(Games!$B$2:$B$897,$A41,Games!$R$2:$R$897)</f>
        <v>2650</v>
      </c>
      <c r="H41" s="0" t="n">
        <f aca="false">SUMIF(Games!$A$2:$A$897,$A41,Games!$U$2:$U$897)+SUMIF(Games!$B$2:$B$897,$A41,Games!$V$2:$V$897)</f>
        <v>11.9449843759908</v>
      </c>
      <c r="I41" s="0" t="n">
        <f aca="false">SUMIF(Games!$A$2:$A$897,$A41,Games!$E$2:$E$897)+SUMIF(Games!$B$2:$B$897,$A41,Games!$F$2:$F$897)</f>
        <v>2180</v>
      </c>
      <c r="J41" s="0" t="n">
        <f aca="false">IFERROR(I41/(B41+C41),0)</f>
        <v>167.692307692308</v>
      </c>
      <c r="K41" s="0" t="n">
        <f aca="false">SUMIF(Games!$A$2:$A$897,$A41,Games!$F$2:$F$897)+SUMIF(Games!$B$2:$B$897,$A41,Games!$E$2:$E$897)</f>
        <v>1295</v>
      </c>
      <c r="L41" s="0" t="n">
        <f aca="false">SUMIF(Games!$A$2:$A$897,$A41,Games!$G$2:$G$897)+SUMIF(Games!$B$2:$B$897,$A41,Games!$H$2:$H$897)</f>
        <v>2722</v>
      </c>
      <c r="M41" s="0" t="n">
        <f aca="false">IFERROR(L41/(B41+C41),0)</f>
        <v>209.384615384615</v>
      </c>
      <c r="N41" s="0" t="n">
        <f aca="false">SUMIF(Games!$A$2:$A$897,$A41,Games!$H$2:$H$897)+SUMIF(Games!$B$2:$B$897,$A41,Games!$G$2:$G$897)</f>
        <v>2259</v>
      </c>
      <c r="O41" s="0" t="n">
        <f aca="false">SUMIF(Games!$A$2:$A$897,$A41,Games!$I$2:$I$897)+SUMIF(Games!$B$2:$B$897,$A41,Games!$J$2:$J$897)</f>
        <v>16</v>
      </c>
      <c r="P41" s="0" t="n">
        <f aca="false">SUMIF(Games!$A$2:$A$897,$A41,Games!$J$2:$J$897)+SUMIF(Games!$B$2:$B$897,$A41,Games!$I$2:$I$897)</f>
        <v>31</v>
      </c>
      <c r="R41" s="0" t="n">
        <f aca="false">IFERROR((K41+N41)/(B41+C41),0)</f>
        <v>273.384615384615</v>
      </c>
      <c r="S41" s="0" t="n">
        <f aca="false">P41-O41</f>
        <v>15</v>
      </c>
      <c r="T41" s="0" t="n">
        <f aca="false">IFERROR((D41/(D41+E41))*(F41/(F41+G41)),0)</f>
        <v>0.132232143364797</v>
      </c>
      <c r="U41" s="0" t="n">
        <f aca="false">RANK(T41,T$2:T$132)</f>
        <v>72</v>
      </c>
      <c r="V41" s="0" t="n">
        <f aca="false">IFERROR((B41/(B41+C41))*25,0)+IFERROR((D41/(D41+E41))*25,0)+IFERROR((F41/(F41+G41))*10,0)+H41+((J41-RMEAN)/RDEV)*5+((M41-PMEAN)/PDEV)*5+((DMEAN-R41)/DDEV)*7+((S41-TOMEAN)/TODEV)*3</f>
        <v>58.8727868834215</v>
      </c>
    </row>
    <row r="42" customFormat="false" ht="15" hidden="false" customHeight="false" outlineLevel="0" collapsed="false">
      <c r="A42" s="0" t="s">
        <v>46</v>
      </c>
      <c r="B42" s="0" t="n">
        <f aca="false">SUMIF(Games!$A$2:$A$897,$A42,Games!$K$2:$K$897)+SUMIF(Games!$B$2:$B$897,$A42,Games!$L$2:$L$897)</f>
        <v>4</v>
      </c>
      <c r="C42" s="0" t="n">
        <f aca="false">SUMIF(Games!$A$2:$A$897,$A42,Games!$L$2:$L$897)+SUMIF(Games!$B$2:$B$897,$A42,Games!$K$2:$K$897)</f>
        <v>8</v>
      </c>
      <c r="D42" s="0" t="n">
        <f aca="false">SUMIF(Games!$A$2:$A$897,$A42,Games!$O$2:$O$897)+SUMIF(Games!$B$2:$B$897,$A42,Games!$M$2:$M$897)</f>
        <v>98</v>
      </c>
      <c r="E42" s="0" t="n">
        <f aca="false">SUMIF(Games!$A$2:$A$897,$A42,Games!$P$2:$P$897)+SUMIF(Games!$B$2:$B$897,$A42,Games!$N$2:$N$897)</f>
        <v>165</v>
      </c>
      <c r="F42" s="0" t="n">
        <f aca="false">SUMIF(Games!$A$2:$A$897,$A42,Games!$S$2:$S$897)+SUMIF(Games!$B$2:$B$897,$A42,Games!$Q$2:$Q$897)</f>
        <v>1804</v>
      </c>
      <c r="G42" s="0" t="n">
        <f aca="false">SUMIF(Games!$A$2:$A$897,$A42,Games!$T$2:$T$897)+SUMIF(Games!$B$2:$B$897,$A42,Games!$R$2:$R$897)</f>
        <v>2199</v>
      </c>
      <c r="H42" s="0" t="n">
        <f aca="false">SUMIF(Games!$A$2:$A$897,$A42,Games!$U$2:$U$897)+SUMIF(Games!$B$2:$B$897,$A42,Games!$V$2:$V$897)</f>
        <v>-20.2020361675227</v>
      </c>
      <c r="I42" s="0" t="n">
        <f aca="false">SUMIF(Games!$A$2:$A$897,$A42,Games!$E$2:$E$897)+SUMIF(Games!$B$2:$B$897,$A42,Games!$F$2:$F$897)</f>
        <v>1330</v>
      </c>
      <c r="J42" s="0" t="n">
        <f aca="false">IFERROR(I42/(B42+C42),0)</f>
        <v>110.833333333333</v>
      </c>
      <c r="K42" s="0" t="n">
        <f aca="false">SUMIF(Games!$A$2:$A$897,$A42,Games!$F$2:$F$897)+SUMIF(Games!$B$2:$B$897,$A42,Games!$E$2:$E$897)</f>
        <v>2101</v>
      </c>
      <c r="L42" s="0" t="n">
        <f aca="false">SUMIF(Games!$A$2:$A$897,$A42,Games!$G$2:$G$897)+SUMIF(Games!$B$2:$B$897,$A42,Games!$H$2:$H$897)</f>
        <v>2609</v>
      </c>
      <c r="M42" s="0" t="n">
        <f aca="false">IFERROR(L42/(B42+C42),0)</f>
        <v>217.416666666667</v>
      </c>
      <c r="N42" s="0" t="n">
        <f aca="false">SUMIF(Games!$A$2:$A$897,$A42,Games!$H$2:$H$897)+SUMIF(Games!$B$2:$B$897,$A42,Games!$G$2:$G$897)</f>
        <v>3293</v>
      </c>
      <c r="O42" s="0" t="n">
        <f aca="false">SUMIF(Games!$A$2:$A$897,$A42,Games!$I$2:$I$897)+SUMIF(Games!$B$2:$B$897,$A42,Games!$J$2:$J$897)</f>
        <v>18</v>
      </c>
      <c r="P42" s="0" t="n">
        <f aca="false">SUMIF(Games!$A$2:$A$897,$A42,Games!$J$2:$J$897)+SUMIF(Games!$B$2:$B$897,$A42,Games!$I$2:$I$897)</f>
        <v>13</v>
      </c>
      <c r="R42" s="0" t="n">
        <f aca="false">IFERROR((K42+N42)/(B42+C42),0)</f>
        <v>449.5</v>
      </c>
      <c r="S42" s="0" t="n">
        <f aca="false">P42-O42</f>
        <v>-5</v>
      </c>
      <c r="T42" s="0" t="n">
        <f aca="false">IFERROR((D42/(D42+E42))*(F42/(F42+G42)),0)</f>
        <v>0.167927286474308</v>
      </c>
      <c r="U42" s="0" t="n">
        <f aca="false">RANK(T42,T$2:T$132)</f>
        <v>12</v>
      </c>
      <c r="V42" s="0" t="n">
        <f aca="false">IFERROR((B42/(B42+C42))*25,0)+IFERROR((D42/(D42+E42))*25,0)+IFERROR((F42/(F42+G42))*10,0)+H42+((J42-RMEAN)/RDEV)*5+((M42-PMEAN)/PDEV)*5+((DMEAN-R42)/DDEV)*7+((S42-TOMEAN)/TODEV)*3</f>
        <v>-16.76218929935</v>
      </c>
    </row>
    <row r="43" customFormat="false" ht="15" hidden="false" customHeight="false" outlineLevel="0" collapsed="false">
      <c r="A43" s="0" t="s">
        <v>47</v>
      </c>
      <c r="B43" s="0" t="n">
        <f aca="false">SUMIF(Games!$A$2:$A$897,$A43,Games!$K$2:$K$897)+SUMIF(Games!$B$2:$B$897,$A43,Games!$L$2:$L$897)</f>
        <v>8</v>
      </c>
      <c r="C43" s="0" t="n">
        <f aca="false">SUMIF(Games!$A$2:$A$897,$A43,Games!$L$2:$L$897)+SUMIF(Games!$B$2:$B$897,$A43,Games!$K$2:$K$897)</f>
        <v>5</v>
      </c>
      <c r="D43" s="0" t="n">
        <f aca="false">SUMIF(Games!$A$2:$A$897,$A43,Games!$O$2:$O$897)+SUMIF(Games!$B$2:$B$897,$A43,Games!$M$2:$M$897)</f>
        <v>86</v>
      </c>
      <c r="E43" s="0" t="n">
        <f aca="false">SUMIF(Games!$A$2:$A$897,$A43,Games!$P$2:$P$897)+SUMIF(Games!$B$2:$B$897,$A43,Games!$N$2:$N$897)</f>
        <v>187</v>
      </c>
      <c r="F43" s="0" t="n">
        <f aca="false">SUMIF(Games!$A$2:$A$897,$A43,Games!$S$2:$S$897)+SUMIF(Games!$B$2:$B$897,$A43,Games!$Q$2:$Q$897)</f>
        <v>1901</v>
      </c>
      <c r="G43" s="0" t="n">
        <f aca="false">SUMIF(Games!$A$2:$A$897,$A43,Games!$T$2:$T$897)+SUMIF(Games!$B$2:$B$897,$A43,Games!$R$2:$R$897)</f>
        <v>2668</v>
      </c>
      <c r="H43" s="0" t="n">
        <f aca="false">SUMIF(Games!$A$2:$A$897,$A43,Games!$U$2:$U$897)+SUMIF(Games!$B$2:$B$897,$A43,Games!$V$2:$V$897)</f>
        <v>7.63525239600919</v>
      </c>
      <c r="I43" s="0" t="n">
        <f aca="false">SUMIF(Games!$A$2:$A$897,$A43,Games!$E$2:$E$897)+SUMIF(Games!$B$2:$B$897,$A43,Games!$F$2:$F$897)</f>
        <v>1234</v>
      </c>
      <c r="J43" s="0" t="n">
        <f aca="false">IFERROR(I43/(B43+C43),0)</f>
        <v>94.9230769230769</v>
      </c>
      <c r="K43" s="0" t="n">
        <f aca="false">SUMIF(Games!$A$2:$A$897,$A43,Games!$F$2:$F$897)+SUMIF(Games!$B$2:$B$897,$A43,Games!$E$2:$E$897)</f>
        <v>1317</v>
      </c>
      <c r="L43" s="0" t="n">
        <f aca="false">SUMIF(Games!$A$2:$A$897,$A43,Games!$G$2:$G$897)+SUMIF(Games!$B$2:$B$897,$A43,Games!$H$2:$H$897)</f>
        <v>2037</v>
      </c>
      <c r="M43" s="0" t="n">
        <f aca="false">IFERROR(L43/(B43+C43),0)</f>
        <v>156.692307692308</v>
      </c>
      <c r="N43" s="0" t="n">
        <f aca="false">SUMIF(Games!$A$2:$A$897,$A43,Games!$H$2:$H$897)+SUMIF(Games!$B$2:$B$897,$A43,Games!$G$2:$G$897)</f>
        <v>2203</v>
      </c>
      <c r="O43" s="0" t="n">
        <f aca="false">SUMIF(Games!$A$2:$A$897,$A43,Games!$I$2:$I$897)+SUMIF(Games!$B$2:$B$897,$A43,Games!$J$2:$J$897)</f>
        <v>17</v>
      </c>
      <c r="P43" s="0" t="n">
        <f aca="false">SUMIF(Games!$A$2:$A$897,$A43,Games!$J$2:$J$897)+SUMIF(Games!$B$2:$B$897,$A43,Games!$I$2:$I$897)</f>
        <v>23</v>
      </c>
      <c r="R43" s="0" t="n">
        <f aca="false">IFERROR((K43+N43)/(B43+C43),0)</f>
        <v>270.769230769231</v>
      </c>
      <c r="S43" s="0" t="n">
        <f aca="false">P43-O43</f>
        <v>6</v>
      </c>
      <c r="T43" s="0" t="n">
        <f aca="false">IFERROR((D43/(D43+E43))*(F43/(F43+G43)),0)</f>
        <v>0.131068027325414</v>
      </c>
      <c r="U43" s="0" t="n">
        <f aca="false">RANK(T43,T$2:T$132)</f>
        <v>76</v>
      </c>
      <c r="V43" s="0" t="n">
        <f aca="false">IFERROR((B43/(B43+C43))*25,0)+IFERROR((D43/(D43+E43))*25,0)+IFERROR((F43/(F43+G43))*10,0)+H43+((J43-RMEAN)/RDEV)*5+((M43-PMEAN)/PDEV)*5+((DMEAN-R43)/DDEV)*7+((S43-TOMEAN)/TODEV)*3</f>
        <v>37.8679462661797</v>
      </c>
    </row>
    <row r="44" customFormat="false" ht="15" hidden="false" customHeight="false" outlineLevel="0" collapsed="false">
      <c r="A44" s="0" t="s">
        <v>48</v>
      </c>
      <c r="B44" s="0" t="n">
        <f aca="false">SUMIF(Games!$A$2:$A$897,$A44,Games!$K$2:$K$897)+SUMIF(Games!$B$2:$B$897,$A44,Games!$L$2:$L$897)</f>
        <v>4</v>
      </c>
      <c r="C44" s="0" t="n">
        <f aca="false">SUMIF(Games!$A$2:$A$897,$A44,Games!$L$2:$L$897)+SUMIF(Games!$B$2:$B$897,$A44,Games!$K$2:$K$897)</f>
        <v>8</v>
      </c>
      <c r="D44" s="0" t="n">
        <f aca="false">SUMIF(Games!$A$2:$A$897,$A44,Games!$O$2:$O$897)+SUMIF(Games!$B$2:$B$897,$A44,Games!$M$2:$M$897)</f>
        <v>95</v>
      </c>
      <c r="E44" s="0" t="n">
        <f aca="false">SUMIF(Games!$A$2:$A$897,$A44,Games!$P$2:$P$897)+SUMIF(Games!$B$2:$B$897,$A44,Games!$N$2:$N$897)</f>
        <v>171</v>
      </c>
      <c r="F44" s="0" t="n">
        <f aca="false">SUMIF(Games!$A$2:$A$897,$A44,Games!$S$2:$S$897)+SUMIF(Games!$B$2:$B$897,$A44,Games!$Q$2:$Q$897)</f>
        <v>1863</v>
      </c>
      <c r="G44" s="0" t="n">
        <f aca="false">SUMIF(Games!$A$2:$A$897,$A44,Games!$T$2:$T$897)+SUMIF(Games!$B$2:$B$897,$A44,Games!$R$2:$R$897)</f>
        <v>2524</v>
      </c>
      <c r="H44" s="0" t="n">
        <f aca="false">SUMIF(Games!$A$2:$A$897,$A44,Games!$U$2:$U$897)+SUMIF(Games!$B$2:$B$897,$A44,Games!$V$2:$V$897)</f>
        <v>-2.36213431823597</v>
      </c>
      <c r="I44" s="0" t="n">
        <f aca="false">SUMIF(Games!$A$2:$A$897,$A44,Games!$E$2:$E$897)+SUMIF(Games!$B$2:$B$897,$A44,Games!$F$2:$F$897)</f>
        <v>1286</v>
      </c>
      <c r="J44" s="0" t="n">
        <f aca="false">IFERROR(I44/(B44+C44),0)</f>
        <v>107.166666666667</v>
      </c>
      <c r="K44" s="0" t="n">
        <f aca="false">SUMIF(Games!$A$2:$A$897,$A44,Games!$F$2:$F$897)+SUMIF(Games!$B$2:$B$897,$A44,Games!$E$2:$E$897)</f>
        <v>1288</v>
      </c>
      <c r="L44" s="0" t="n">
        <f aca="false">SUMIF(Games!$A$2:$A$897,$A44,Games!$G$2:$G$897)+SUMIF(Games!$B$2:$B$897,$A44,Games!$H$2:$H$897)</f>
        <v>3141</v>
      </c>
      <c r="M44" s="0" t="n">
        <f aca="false">IFERROR(L44/(B44+C44),0)</f>
        <v>261.75</v>
      </c>
      <c r="N44" s="0" t="n">
        <f aca="false">SUMIF(Games!$A$2:$A$897,$A44,Games!$H$2:$H$897)+SUMIF(Games!$B$2:$B$897,$A44,Games!$G$2:$G$897)</f>
        <v>2139</v>
      </c>
      <c r="O44" s="0" t="n">
        <f aca="false">SUMIF(Games!$A$2:$A$897,$A44,Games!$I$2:$I$897)+SUMIF(Games!$B$2:$B$897,$A44,Games!$J$2:$J$897)</f>
        <v>22</v>
      </c>
      <c r="P44" s="0" t="n">
        <f aca="false">SUMIF(Games!$A$2:$A$897,$A44,Games!$J$2:$J$897)+SUMIF(Games!$B$2:$B$897,$A44,Games!$I$2:$I$897)</f>
        <v>15</v>
      </c>
      <c r="R44" s="0" t="n">
        <f aca="false">IFERROR((K44+N44)/(B44+C44),0)</f>
        <v>285.583333333333</v>
      </c>
      <c r="S44" s="0" t="n">
        <f aca="false">P44-O44</f>
        <v>-7</v>
      </c>
      <c r="T44" s="0" t="n">
        <f aca="false">IFERROR((D44/(D44+E44))*(F44/(F44+G44)),0)</f>
        <v>0.151665635481455</v>
      </c>
      <c r="U44" s="0" t="n">
        <f aca="false">RANK(T44,T$2:T$132)</f>
        <v>28</v>
      </c>
      <c r="V44" s="0" t="n">
        <f aca="false">IFERROR((B44/(B44+C44))*25,0)+IFERROR((D44/(D44+E44))*25,0)+IFERROR((F44/(F44+G44))*10,0)+H44+((J44-RMEAN)/RDEV)*5+((M44-PMEAN)/PDEV)*5+((DMEAN-R44)/DDEV)*7+((S44-TOMEAN)/TODEV)*3</f>
        <v>25.637158901541</v>
      </c>
    </row>
    <row r="45" customFormat="false" ht="15" hidden="false" customHeight="false" outlineLevel="0" collapsed="false">
      <c r="A45" s="0" t="s">
        <v>49</v>
      </c>
      <c r="B45" s="0" t="n">
        <f aca="false">SUMIF(Games!$A$2:$A$897,$A45,Games!$K$2:$K$897)+SUMIF(Games!$B$2:$B$897,$A45,Games!$L$2:$L$897)</f>
        <v>8</v>
      </c>
      <c r="C45" s="0" t="n">
        <f aca="false">SUMIF(Games!$A$2:$A$897,$A45,Games!$L$2:$L$897)+SUMIF(Games!$B$2:$B$897,$A45,Games!$K$2:$K$897)</f>
        <v>3</v>
      </c>
      <c r="D45" s="0" t="n">
        <f aca="false">SUMIF(Games!$A$2:$A$897,$A45,Games!$O$2:$O$897)+SUMIF(Games!$B$2:$B$897,$A45,Games!$M$2:$M$897)</f>
        <v>68</v>
      </c>
      <c r="E45" s="0" t="n">
        <f aca="false">SUMIF(Games!$A$2:$A$897,$A45,Games!$P$2:$P$897)+SUMIF(Games!$B$2:$B$897,$A45,Games!$N$2:$N$897)</f>
        <v>177</v>
      </c>
      <c r="F45" s="0" t="n">
        <f aca="false">SUMIF(Games!$A$2:$A$897,$A45,Games!$S$2:$S$897)+SUMIF(Games!$B$2:$B$897,$A45,Games!$Q$2:$Q$897)</f>
        <v>1638</v>
      </c>
      <c r="G45" s="0" t="n">
        <f aca="false">SUMIF(Games!$A$2:$A$897,$A45,Games!$T$2:$T$897)+SUMIF(Games!$B$2:$B$897,$A45,Games!$R$2:$R$897)</f>
        <v>2420</v>
      </c>
      <c r="H45" s="0" t="n">
        <f aca="false">SUMIF(Games!$A$2:$A$897,$A45,Games!$U$2:$U$897)+SUMIF(Games!$B$2:$B$897,$A45,Games!$V$2:$V$897)</f>
        <v>15.2188678863635</v>
      </c>
      <c r="I45" s="0" t="n">
        <f aca="false">SUMIF(Games!$A$2:$A$897,$A45,Games!$E$2:$E$897)+SUMIF(Games!$B$2:$B$897,$A45,Games!$F$2:$F$897)</f>
        <v>2059</v>
      </c>
      <c r="J45" s="0" t="n">
        <f aca="false">IFERROR(I45/(B45+C45),0)</f>
        <v>187.181818181818</v>
      </c>
      <c r="K45" s="0" t="n">
        <f aca="false">SUMIF(Games!$A$2:$A$897,$A45,Games!$F$2:$F$897)+SUMIF(Games!$B$2:$B$897,$A45,Games!$E$2:$E$897)</f>
        <v>882</v>
      </c>
      <c r="L45" s="0" t="n">
        <f aca="false">SUMIF(Games!$A$2:$A$897,$A45,Games!$G$2:$G$897)+SUMIF(Games!$B$2:$B$897,$A45,Games!$H$2:$H$897)</f>
        <v>2918</v>
      </c>
      <c r="M45" s="0" t="n">
        <f aca="false">IFERROR(L45/(B45+C45),0)</f>
        <v>265.272727272727</v>
      </c>
      <c r="N45" s="0" t="n">
        <f aca="false">SUMIF(Games!$A$2:$A$897,$A45,Games!$H$2:$H$897)+SUMIF(Games!$B$2:$B$897,$A45,Games!$G$2:$G$897)</f>
        <v>2310</v>
      </c>
      <c r="O45" s="0" t="n">
        <f aca="false">SUMIF(Games!$A$2:$A$897,$A45,Games!$I$2:$I$897)+SUMIF(Games!$B$2:$B$897,$A45,Games!$J$2:$J$897)</f>
        <v>20</v>
      </c>
      <c r="P45" s="0" t="n">
        <f aca="false">SUMIF(Games!$A$2:$A$897,$A45,Games!$J$2:$J$897)+SUMIF(Games!$B$2:$B$897,$A45,Games!$I$2:$I$897)</f>
        <v>22</v>
      </c>
      <c r="R45" s="0" t="n">
        <f aca="false">IFERROR((K45+N45)/(B45+C45),0)</f>
        <v>290.181818181818</v>
      </c>
      <c r="S45" s="0" t="n">
        <f aca="false">P45-O45</f>
        <v>2</v>
      </c>
      <c r="T45" s="0" t="n">
        <f aca="false">IFERROR((D45/(D45+E45))*(F45/(F45+G45)),0)</f>
        <v>0.112032669154404</v>
      </c>
      <c r="U45" s="0" t="n">
        <f aca="false">RANK(T45,T$2:T$132)</f>
        <v>119</v>
      </c>
      <c r="V45" s="0" t="n">
        <f aca="false">IFERROR((B45/(B45+C45))*25,0)+IFERROR((D45/(D45+E45))*25,0)+IFERROR((F45/(F45+G45))*10,0)+H45+((J45-RMEAN)/RDEV)*5+((M45-PMEAN)/PDEV)*5+((DMEAN-R45)/DDEV)*7+((S45-TOMEAN)/TODEV)*3</f>
        <v>63.3431863975597</v>
      </c>
    </row>
    <row r="46" customFormat="false" ht="15" hidden="false" customHeight="false" outlineLevel="0" collapsed="false">
      <c r="A46" s="0" t="s">
        <v>50</v>
      </c>
      <c r="B46" s="0" t="n">
        <f aca="false">SUMIF(Games!$A$2:$A$897,$A46,Games!$K$2:$K$897)+SUMIF(Games!$B$2:$B$897,$A46,Games!$L$2:$L$897)</f>
        <v>6</v>
      </c>
      <c r="C46" s="0" t="n">
        <f aca="false">SUMIF(Games!$A$2:$A$897,$A46,Games!$L$2:$L$897)+SUMIF(Games!$B$2:$B$897,$A46,Games!$K$2:$K$897)</f>
        <v>7</v>
      </c>
      <c r="D46" s="0" t="n">
        <f aca="false">SUMIF(Games!$A$2:$A$897,$A46,Games!$O$2:$O$897)+SUMIF(Games!$B$2:$B$897,$A46,Games!$M$2:$M$897)</f>
        <v>99</v>
      </c>
      <c r="E46" s="0" t="n">
        <f aca="false">SUMIF(Games!$A$2:$A$897,$A46,Games!$P$2:$P$897)+SUMIF(Games!$B$2:$B$897,$A46,Games!$N$2:$N$897)</f>
        <v>178</v>
      </c>
      <c r="F46" s="0" t="n">
        <f aca="false">SUMIF(Games!$A$2:$A$897,$A46,Games!$S$2:$S$897)+SUMIF(Games!$B$2:$B$897,$A46,Games!$Q$2:$Q$897)</f>
        <v>1946</v>
      </c>
      <c r="G46" s="0" t="n">
        <f aca="false">SUMIF(Games!$A$2:$A$897,$A46,Games!$T$2:$T$897)+SUMIF(Games!$B$2:$B$897,$A46,Games!$R$2:$R$897)</f>
        <v>2584</v>
      </c>
      <c r="H46" s="0" t="n">
        <f aca="false">SUMIF(Games!$A$2:$A$897,$A46,Games!$U$2:$U$897)+SUMIF(Games!$B$2:$B$897,$A46,Games!$V$2:$V$897)</f>
        <v>-6.43608178918004</v>
      </c>
      <c r="I46" s="0" t="n">
        <f aca="false">SUMIF(Games!$A$2:$A$897,$A46,Games!$E$2:$E$897)+SUMIF(Games!$B$2:$B$897,$A46,Games!$F$2:$F$897)</f>
        <v>2386</v>
      </c>
      <c r="J46" s="0" t="n">
        <f aca="false">IFERROR(I46/(B46+C46),0)</f>
        <v>183.538461538462</v>
      </c>
      <c r="K46" s="0" t="n">
        <f aca="false">SUMIF(Games!$A$2:$A$897,$A46,Games!$F$2:$F$897)+SUMIF(Games!$B$2:$B$897,$A46,Games!$E$2:$E$897)</f>
        <v>2709</v>
      </c>
      <c r="L46" s="0" t="n">
        <f aca="false">SUMIF(Games!$A$2:$A$897,$A46,Games!$G$2:$G$897)+SUMIF(Games!$B$2:$B$897,$A46,Games!$H$2:$H$897)</f>
        <v>3307</v>
      </c>
      <c r="M46" s="0" t="n">
        <f aca="false">IFERROR(L46/(B46+C46),0)</f>
        <v>254.384615384615</v>
      </c>
      <c r="N46" s="0" t="n">
        <f aca="false">SUMIF(Games!$A$2:$A$897,$A46,Games!$H$2:$H$897)+SUMIF(Games!$B$2:$B$897,$A46,Games!$G$2:$G$897)</f>
        <v>3372</v>
      </c>
      <c r="O46" s="0" t="n">
        <f aca="false">SUMIF(Games!$A$2:$A$897,$A46,Games!$I$2:$I$897)+SUMIF(Games!$B$2:$B$897,$A46,Games!$J$2:$J$897)</f>
        <v>19</v>
      </c>
      <c r="P46" s="0" t="n">
        <f aca="false">SUMIF(Games!$A$2:$A$897,$A46,Games!$J$2:$J$897)+SUMIF(Games!$B$2:$B$897,$A46,Games!$I$2:$I$897)</f>
        <v>22</v>
      </c>
      <c r="R46" s="0" t="n">
        <f aca="false">IFERROR((K46+N46)/(B46+C46),0)</f>
        <v>467.769230769231</v>
      </c>
      <c r="S46" s="0" t="n">
        <f aca="false">P46-O46</f>
        <v>3</v>
      </c>
      <c r="T46" s="0" t="n">
        <f aca="false">IFERROR((D46/(D46+E46))*(F46/(F46+G46)),0)</f>
        <v>0.153532407296722</v>
      </c>
      <c r="U46" s="0" t="n">
        <f aca="false">RANK(T46,T$2:T$132)</f>
        <v>25</v>
      </c>
      <c r="V46" s="0" t="n">
        <f aca="false">IFERROR((B46/(B46+C46))*25,0)+IFERROR((D46/(D46+E46))*25,0)+IFERROR((F46/(F46+G46))*10,0)+H46+((J46-RMEAN)/RDEV)*5+((M46-PMEAN)/PDEV)*5+((DMEAN-R46)/DDEV)*7+((S46-TOMEAN)/TODEV)*3</f>
        <v>12.1807174501224</v>
      </c>
    </row>
    <row r="47" customFormat="false" ht="15" hidden="false" customHeight="false" outlineLevel="0" collapsed="false">
      <c r="A47" s="0" t="s">
        <v>51</v>
      </c>
      <c r="B47" s="0" t="n">
        <f aca="false">SUMIF(Games!$A$2:$A$897,$A47,Games!$K$2:$K$897)+SUMIF(Games!$B$2:$B$897,$A47,Games!$L$2:$L$897)</f>
        <v>10</v>
      </c>
      <c r="C47" s="0" t="n">
        <f aca="false">SUMIF(Games!$A$2:$A$897,$A47,Games!$L$2:$L$897)+SUMIF(Games!$B$2:$B$897,$A47,Games!$K$2:$K$897)</f>
        <v>4</v>
      </c>
      <c r="D47" s="0" t="n">
        <f aca="false">SUMIF(Games!$A$2:$A$897,$A47,Games!$O$2:$O$897)+SUMIF(Games!$B$2:$B$897,$A47,Games!$M$2:$M$897)</f>
        <v>113</v>
      </c>
      <c r="E47" s="0" t="n">
        <f aca="false">SUMIF(Games!$A$2:$A$897,$A47,Games!$P$2:$P$897)+SUMIF(Games!$B$2:$B$897,$A47,Games!$N$2:$N$897)</f>
        <v>179</v>
      </c>
      <c r="F47" s="0" t="n">
        <f aca="false">SUMIF(Games!$A$2:$A$897,$A47,Games!$S$2:$S$897)+SUMIF(Games!$B$2:$B$897,$A47,Games!$Q$2:$Q$897)</f>
        <v>2086</v>
      </c>
      <c r="G47" s="0" t="n">
        <f aca="false">SUMIF(Games!$A$2:$A$897,$A47,Games!$T$2:$T$897)+SUMIF(Games!$B$2:$B$897,$A47,Games!$R$2:$R$897)</f>
        <v>2863</v>
      </c>
      <c r="H47" s="0" t="n">
        <f aca="false">SUMIF(Games!$A$2:$A$897,$A47,Games!$U$2:$U$897)+SUMIF(Games!$B$2:$B$897,$A47,Games!$V$2:$V$897)</f>
        <v>21.8465772021697</v>
      </c>
      <c r="I47" s="0" t="n">
        <f aca="false">SUMIF(Games!$A$2:$A$897,$A47,Games!$E$2:$E$897)+SUMIF(Games!$B$2:$B$897,$A47,Games!$F$2:$F$897)</f>
        <v>2916</v>
      </c>
      <c r="J47" s="0" t="n">
        <f aca="false">IFERROR(I47/(B47+C47),0)</f>
        <v>208.285714285714</v>
      </c>
      <c r="K47" s="0" t="n">
        <f aca="false">SUMIF(Games!$A$2:$A$897,$A47,Games!$F$2:$F$897)+SUMIF(Games!$B$2:$B$897,$A47,Games!$E$2:$E$897)</f>
        <v>2111</v>
      </c>
      <c r="L47" s="0" t="n">
        <f aca="false">SUMIF(Games!$A$2:$A$897,$A47,Games!$G$2:$G$897)+SUMIF(Games!$B$2:$B$897,$A47,Games!$H$2:$H$897)</f>
        <v>2947</v>
      </c>
      <c r="M47" s="0" t="n">
        <f aca="false">IFERROR(L47/(B47+C47),0)</f>
        <v>210.5</v>
      </c>
      <c r="N47" s="0" t="n">
        <f aca="false">SUMIF(Games!$A$2:$A$897,$A47,Games!$H$2:$H$897)+SUMIF(Games!$B$2:$B$897,$A47,Games!$G$2:$G$897)</f>
        <v>3141</v>
      </c>
      <c r="O47" s="0" t="n">
        <f aca="false">SUMIF(Games!$A$2:$A$897,$A47,Games!$I$2:$I$897)+SUMIF(Games!$B$2:$B$897,$A47,Games!$J$2:$J$897)</f>
        <v>12</v>
      </c>
      <c r="P47" s="0" t="n">
        <f aca="false">SUMIF(Games!$A$2:$A$897,$A47,Games!$J$2:$J$897)+SUMIF(Games!$B$2:$B$897,$A47,Games!$I$2:$I$897)</f>
        <v>24</v>
      </c>
      <c r="R47" s="0" t="n">
        <f aca="false">IFERROR((K47+N47)/(B47+C47),0)</f>
        <v>375.142857142857</v>
      </c>
      <c r="S47" s="0" t="n">
        <f aca="false">P47-O47</f>
        <v>12</v>
      </c>
      <c r="T47" s="0" t="n">
        <f aca="false">IFERROR((D47/(D47+E47))*(F47/(F47+G47)),0)</f>
        <v>0.16311445234543</v>
      </c>
      <c r="U47" s="0" t="n">
        <f aca="false">RANK(T47,T$2:T$132)</f>
        <v>17</v>
      </c>
      <c r="V47" s="0" t="n">
        <f aca="false">IFERROR((B47/(B47+C47))*25,0)+IFERROR((D47/(D47+E47))*25,0)+IFERROR((F47/(F47+G47))*10,0)+H47+((J47-RMEAN)/RDEV)*5+((M47-PMEAN)/PDEV)*5+((DMEAN-R47)/DDEV)*7+((S47-TOMEAN)/TODEV)*3</f>
        <v>62.4984098506809</v>
      </c>
    </row>
    <row r="48" customFormat="false" ht="15" hidden="false" customHeight="false" outlineLevel="0" collapsed="false">
      <c r="A48" s="0" t="s">
        <v>52</v>
      </c>
      <c r="B48" s="0" t="n">
        <f aca="false">SUMIF(Games!$A$2:$A$897,$A48,Games!$K$2:$K$897)+SUMIF(Games!$B$2:$B$897,$A48,Games!$L$2:$L$897)</f>
        <v>5</v>
      </c>
      <c r="C48" s="0" t="n">
        <f aca="false">SUMIF(Games!$A$2:$A$897,$A48,Games!$L$2:$L$897)+SUMIF(Games!$B$2:$B$897,$A48,Games!$K$2:$K$897)</f>
        <v>7</v>
      </c>
      <c r="D48" s="0" t="n">
        <f aca="false">SUMIF(Games!$A$2:$A$897,$A48,Games!$O$2:$O$897)+SUMIF(Games!$B$2:$B$897,$A48,Games!$M$2:$M$897)</f>
        <v>94</v>
      </c>
      <c r="E48" s="0" t="n">
        <f aca="false">SUMIF(Games!$A$2:$A$897,$A48,Games!$P$2:$P$897)+SUMIF(Games!$B$2:$B$897,$A48,Games!$N$2:$N$897)</f>
        <v>171</v>
      </c>
      <c r="F48" s="0" t="n">
        <f aca="false">SUMIF(Games!$A$2:$A$897,$A48,Games!$S$2:$S$897)+SUMIF(Games!$B$2:$B$897,$A48,Games!$Q$2:$Q$897)</f>
        <v>1742</v>
      </c>
      <c r="G48" s="0" t="n">
        <f aca="false">SUMIF(Games!$A$2:$A$897,$A48,Games!$T$2:$T$897)+SUMIF(Games!$B$2:$B$897,$A48,Games!$R$2:$R$897)</f>
        <v>2700</v>
      </c>
      <c r="H48" s="0" t="n">
        <f aca="false">SUMIF(Games!$A$2:$A$897,$A48,Games!$U$2:$U$897)+SUMIF(Games!$B$2:$B$897,$A48,Games!$V$2:$V$897)</f>
        <v>-13.2069215358089</v>
      </c>
      <c r="I48" s="0" t="n">
        <f aca="false">SUMIF(Games!$A$2:$A$897,$A48,Games!$E$2:$E$897)+SUMIF(Games!$B$2:$B$897,$A48,Games!$F$2:$F$897)</f>
        <v>2433</v>
      </c>
      <c r="J48" s="0" t="n">
        <f aca="false">IFERROR(I48/(B48+C48),0)</f>
        <v>202.75</v>
      </c>
      <c r="K48" s="0" t="n">
        <f aca="false">SUMIF(Games!$A$2:$A$897,$A48,Games!$F$2:$F$897)+SUMIF(Games!$B$2:$B$897,$A48,Games!$E$2:$E$897)</f>
        <v>1921</v>
      </c>
      <c r="L48" s="0" t="n">
        <f aca="false">SUMIF(Games!$A$2:$A$897,$A48,Games!$G$2:$G$897)+SUMIF(Games!$B$2:$B$897,$A48,Games!$H$2:$H$897)</f>
        <v>2582</v>
      </c>
      <c r="M48" s="0" t="n">
        <f aca="false">IFERROR(L48/(B48+C48),0)</f>
        <v>215.166666666667</v>
      </c>
      <c r="N48" s="0" t="n">
        <f aca="false">SUMIF(Games!$A$2:$A$897,$A48,Games!$H$2:$H$897)+SUMIF(Games!$B$2:$B$897,$A48,Games!$G$2:$G$897)</f>
        <v>3283</v>
      </c>
      <c r="O48" s="0" t="n">
        <f aca="false">SUMIF(Games!$A$2:$A$897,$A48,Games!$I$2:$I$897)+SUMIF(Games!$B$2:$B$897,$A48,Games!$J$2:$J$897)</f>
        <v>13</v>
      </c>
      <c r="P48" s="0" t="n">
        <f aca="false">SUMIF(Games!$A$2:$A$897,$A48,Games!$J$2:$J$897)+SUMIF(Games!$B$2:$B$897,$A48,Games!$I$2:$I$897)</f>
        <v>13</v>
      </c>
      <c r="R48" s="0" t="n">
        <f aca="false">IFERROR((K48+N48)/(B48+C48),0)</f>
        <v>433.666666666667</v>
      </c>
      <c r="S48" s="0" t="n">
        <f aca="false">P48-O48</f>
        <v>0</v>
      </c>
      <c r="T48" s="0" t="n">
        <f aca="false">IFERROR((D48/(D48+E48))*(F48/(F48+G48)),0)</f>
        <v>0.139107830061251</v>
      </c>
      <c r="U48" s="0" t="n">
        <f aca="false">RANK(T48,T$2:T$132)</f>
        <v>60</v>
      </c>
      <c r="V48" s="0" t="n">
        <f aca="false">IFERROR((B48/(B48+C48))*25,0)+IFERROR((D48/(D48+E48))*25,0)+IFERROR((F48/(F48+G48))*10,0)+H48+((J48-RMEAN)/RDEV)*5+((M48-PMEAN)/PDEV)*5+((DMEAN-R48)/DDEV)*7+((S48-TOMEAN)/TODEV)*3</f>
        <v>5.55380386419207</v>
      </c>
    </row>
    <row r="49" customFormat="false" ht="15" hidden="false" customHeight="false" outlineLevel="0" collapsed="false">
      <c r="A49" s="0" t="s">
        <v>53</v>
      </c>
      <c r="B49" s="0" t="n">
        <f aca="false">SUMIF(Games!$A$2:$A$897,$A49,Games!$K$2:$K$897)+SUMIF(Games!$B$2:$B$897,$A49,Games!$L$2:$L$897)</f>
        <v>7</v>
      </c>
      <c r="C49" s="0" t="n">
        <f aca="false">SUMIF(Games!$A$2:$A$897,$A49,Games!$L$2:$L$897)+SUMIF(Games!$B$2:$B$897,$A49,Games!$K$2:$K$897)</f>
        <v>6</v>
      </c>
      <c r="D49" s="0" t="n">
        <f aca="false">SUMIF(Games!$A$2:$A$897,$A49,Games!$O$2:$O$897)+SUMIF(Games!$B$2:$B$897,$A49,Games!$M$2:$M$897)</f>
        <v>101</v>
      </c>
      <c r="E49" s="0" t="n">
        <f aca="false">SUMIF(Games!$A$2:$A$897,$A49,Games!$P$2:$P$897)+SUMIF(Games!$B$2:$B$897,$A49,Games!$N$2:$N$897)</f>
        <v>175</v>
      </c>
      <c r="F49" s="0" t="n">
        <f aca="false">SUMIF(Games!$A$2:$A$897,$A49,Games!$S$2:$S$897)+SUMIF(Games!$B$2:$B$897,$A49,Games!$Q$2:$Q$897)</f>
        <v>1952</v>
      </c>
      <c r="G49" s="0" t="n">
        <f aca="false">SUMIF(Games!$A$2:$A$897,$A49,Games!$T$2:$T$897)+SUMIF(Games!$B$2:$B$897,$A49,Games!$R$2:$R$897)</f>
        <v>2764</v>
      </c>
      <c r="H49" s="0" t="n">
        <f aca="false">SUMIF(Games!$A$2:$A$897,$A49,Games!$U$2:$U$897)+SUMIF(Games!$B$2:$B$897,$A49,Games!$V$2:$V$897)</f>
        <v>0.382404445024025</v>
      </c>
      <c r="I49" s="0" t="n">
        <f aca="false">SUMIF(Games!$A$2:$A$897,$A49,Games!$E$2:$E$897)+SUMIF(Games!$B$2:$B$897,$A49,Games!$F$2:$F$897)</f>
        <v>1511</v>
      </c>
      <c r="J49" s="0" t="n">
        <f aca="false">IFERROR(I49/(B49+C49),0)</f>
        <v>116.230769230769</v>
      </c>
      <c r="K49" s="0" t="n">
        <f aca="false">SUMIF(Games!$A$2:$A$897,$A49,Games!$F$2:$F$897)+SUMIF(Games!$B$2:$B$897,$A49,Games!$E$2:$E$897)</f>
        <v>1828</v>
      </c>
      <c r="L49" s="0" t="n">
        <f aca="false">SUMIF(Games!$A$2:$A$897,$A49,Games!$G$2:$G$897)+SUMIF(Games!$B$2:$B$897,$A49,Games!$H$2:$H$897)</f>
        <v>2710</v>
      </c>
      <c r="M49" s="0" t="n">
        <f aca="false">IFERROR(L49/(B49+C49),0)</f>
        <v>208.461538461538</v>
      </c>
      <c r="N49" s="0" t="n">
        <f aca="false">SUMIF(Games!$A$2:$A$897,$A49,Games!$H$2:$H$897)+SUMIF(Games!$B$2:$B$897,$A49,Games!$G$2:$G$897)</f>
        <v>2220</v>
      </c>
      <c r="O49" s="0" t="n">
        <f aca="false">SUMIF(Games!$A$2:$A$897,$A49,Games!$I$2:$I$897)+SUMIF(Games!$B$2:$B$897,$A49,Games!$J$2:$J$897)</f>
        <v>19</v>
      </c>
      <c r="P49" s="0" t="n">
        <f aca="false">SUMIF(Games!$A$2:$A$897,$A49,Games!$J$2:$J$897)+SUMIF(Games!$B$2:$B$897,$A49,Games!$I$2:$I$897)</f>
        <v>16</v>
      </c>
      <c r="R49" s="0" t="n">
        <f aca="false">IFERROR((K49+N49)/(B49+C49),0)</f>
        <v>311.384615384615</v>
      </c>
      <c r="S49" s="0" t="n">
        <f aca="false">P49-O49</f>
        <v>-3</v>
      </c>
      <c r="T49" s="0" t="n">
        <f aca="false">IFERROR((D49/(D49+E49))*(F49/(F49+G49)),0)</f>
        <v>0.151467099359565</v>
      </c>
      <c r="U49" s="0" t="n">
        <f aca="false">RANK(T49,T$2:T$132)</f>
        <v>30</v>
      </c>
      <c r="V49" s="0" t="n">
        <f aca="false">IFERROR((B49/(B49+C49))*25,0)+IFERROR((D49/(D49+E49))*25,0)+IFERROR((F49/(F49+G49))*10,0)+H49+((J49-RMEAN)/RDEV)*5+((M49-PMEAN)/PDEV)*5+((DMEAN-R49)/DDEV)*7+((S49-TOMEAN)/TODEV)*3</f>
        <v>27.7873703644363</v>
      </c>
    </row>
    <row r="50" customFormat="false" ht="15" hidden="false" customHeight="false" outlineLevel="0" collapsed="false">
      <c r="A50" s="0" t="s">
        <v>54</v>
      </c>
      <c r="B50" s="0" t="n">
        <f aca="false">SUMIF(Games!$A$2:$A$897,$A50,Games!$K$2:$K$897)+SUMIF(Games!$B$2:$B$897,$A50,Games!$L$2:$L$897)</f>
        <v>10</v>
      </c>
      <c r="C50" s="0" t="n">
        <f aca="false">SUMIF(Games!$A$2:$A$897,$A50,Games!$L$2:$L$897)+SUMIF(Games!$B$2:$B$897,$A50,Games!$K$2:$K$897)</f>
        <v>4</v>
      </c>
      <c r="D50" s="0" t="n">
        <f aca="false">SUMIF(Games!$A$2:$A$897,$A50,Games!$O$2:$O$897)+SUMIF(Games!$B$2:$B$897,$A50,Games!$M$2:$M$897)</f>
        <v>112</v>
      </c>
      <c r="E50" s="0" t="n">
        <f aca="false">SUMIF(Games!$A$2:$A$897,$A50,Games!$P$2:$P$897)+SUMIF(Games!$B$2:$B$897,$A50,Games!$N$2:$N$897)</f>
        <v>177</v>
      </c>
      <c r="F50" s="0" t="n">
        <f aca="false">SUMIF(Games!$A$2:$A$897,$A50,Games!$S$2:$S$897)+SUMIF(Games!$B$2:$B$897,$A50,Games!$Q$2:$Q$897)</f>
        <v>2090</v>
      </c>
      <c r="G50" s="0" t="n">
        <f aca="false">SUMIF(Games!$A$2:$A$897,$A50,Games!$T$2:$T$897)+SUMIF(Games!$B$2:$B$897,$A50,Games!$R$2:$R$897)</f>
        <v>3020</v>
      </c>
      <c r="H50" s="0" t="n">
        <f aca="false">SUMIF(Games!$A$2:$A$897,$A50,Games!$U$2:$U$897)+SUMIF(Games!$B$2:$B$897,$A50,Games!$V$2:$V$897)</f>
        <v>18.4510926430905</v>
      </c>
      <c r="I50" s="0" t="n">
        <f aca="false">SUMIF(Games!$A$2:$A$897,$A50,Games!$E$2:$E$897)+SUMIF(Games!$B$2:$B$897,$A50,Games!$F$2:$F$897)</f>
        <v>2573</v>
      </c>
      <c r="J50" s="0" t="n">
        <f aca="false">IFERROR(I50/(B50+C50),0)</f>
        <v>183.785714285714</v>
      </c>
      <c r="K50" s="0" t="n">
        <f aca="false">SUMIF(Games!$A$2:$A$897,$A50,Games!$F$2:$F$897)+SUMIF(Games!$B$2:$B$897,$A50,Games!$E$2:$E$897)</f>
        <v>2072</v>
      </c>
      <c r="L50" s="0" t="n">
        <f aca="false">SUMIF(Games!$A$2:$A$897,$A50,Games!$G$2:$G$897)+SUMIF(Games!$B$2:$B$897,$A50,Games!$H$2:$H$897)</f>
        <v>3770</v>
      </c>
      <c r="M50" s="0" t="n">
        <f aca="false">IFERROR(L50/(B50+C50),0)</f>
        <v>269.285714285714</v>
      </c>
      <c r="N50" s="0" t="n">
        <f aca="false">SUMIF(Games!$A$2:$A$897,$A50,Games!$H$2:$H$897)+SUMIF(Games!$B$2:$B$897,$A50,Games!$G$2:$G$897)</f>
        <v>2885</v>
      </c>
      <c r="O50" s="0" t="n">
        <f aca="false">SUMIF(Games!$A$2:$A$897,$A50,Games!$I$2:$I$897)+SUMIF(Games!$B$2:$B$897,$A50,Games!$J$2:$J$897)</f>
        <v>19</v>
      </c>
      <c r="P50" s="0" t="n">
        <f aca="false">SUMIF(Games!$A$2:$A$897,$A50,Games!$J$2:$J$897)+SUMIF(Games!$B$2:$B$897,$A50,Games!$I$2:$I$897)</f>
        <v>20</v>
      </c>
      <c r="R50" s="0" t="n">
        <f aca="false">IFERROR((K50+N50)/(B50+C50),0)</f>
        <v>354.071428571429</v>
      </c>
      <c r="S50" s="0" t="n">
        <f aca="false">P50-O50</f>
        <v>1</v>
      </c>
      <c r="T50" s="0" t="n">
        <f aca="false">IFERROR((D50/(D50+E50))*(F50/(F50+G50)),0)</f>
        <v>0.158505948713087</v>
      </c>
      <c r="U50" s="0" t="n">
        <f aca="false">RANK(T50,T$2:T$132)</f>
        <v>19</v>
      </c>
      <c r="V50" s="0" t="n">
        <f aca="false">IFERROR((B50/(B50+C50))*25,0)+IFERROR((D50/(D50+E50))*25,0)+IFERROR((F50/(F50+G50))*10,0)+H50+((J50-RMEAN)/RDEV)*5+((M50-PMEAN)/PDEV)*5+((DMEAN-R50)/DDEV)*7+((S50-TOMEAN)/TODEV)*3</f>
        <v>59.9488749063494</v>
      </c>
    </row>
    <row r="51" customFormat="false" ht="15" hidden="false" customHeight="false" outlineLevel="0" collapsed="false">
      <c r="A51" s="0" t="s">
        <v>55</v>
      </c>
      <c r="B51" s="0" t="n">
        <f aca="false">SUMIF(Games!$A$2:$A$897,$A51,Games!$K$2:$K$897)+SUMIF(Games!$B$2:$B$897,$A51,Games!$L$2:$L$897)</f>
        <v>8</v>
      </c>
      <c r="C51" s="0" t="n">
        <f aca="false">SUMIF(Games!$A$2:$A$897,$A51,Games!$L$2:$L$897)+SUMIF(Games!$B$2:$B$897,$A51,Games!$K$2:$K$897)</f>
        <v>5</v>
      </c>
      <c r="D51" s="0" t="n">
        <f aca="false">SUMIF(Games!$A$2:$A$897,$A51,Games!$O$2:$O$897)+SUMIF(Games!$B$2:$B$897,$A51,Games!$M$2:$M$897)</f>
        <v>76</v>
      </c>
      <c r="E51" s="0" t="n">
        <f aca="false">SUMIF(Games!$A$2:$A$897,$A51,Games!$P$2:$P$897)+SUMIF(Games!$B$2:$B$897,$A51,Games!$N$2:$N$897)</f>
        <v>196</v>
      </c>
      <c r="F51" s="0" t="n">
        <f aca="false">SUMIF(Games!$A$2:$A$897,$A51,Games!$S$2:$S$897)+SUMIF(Games!$B$2:$B$897,$A51,Games!$Q$2:$Q$897)</f>
        <v>1833</v>
      </c>
      <c r="G51" s="0" t="n">
        <f aca="false">SUMIF(Games!$A$2:$A$897,$A51,Games!$T$2:$T$897)+SUMIF(Games!$B$2:$B$897,$A51,Games!$R$2:$R$897)</f>
        <v>2920</v>
      </c>
      <c r="H51" s="0" t="n">
        <f aca="false">SUMIF(Games!$A$2:$A$897,$A51,Games!$U$2:$U$897)+SUMIF(Games!$B$2:$B$897,$A51,Games!$V$2:$V$897)</f>
        <v>-5.32178641616247</v>
      </c>
      <c r="I51" s="0" t="n">
        <f aca="false">SUMIF(Games!$A$2:$A$897,$A51,Games!$E$2:$E$897)+SUMIF(Games!$B$2:$B$897,$A51,Games!$F$2:$F$897)</f>
        <v>2241</v>
      </c>
      <c r="J51" s="0" t="n">
        <f aca="false">IFERROR(I51/(B51+C51),0)</f>
        <v>172.384615384615</v>
      </c>
      <c r="K51" s="0" t="n">
        <f aca="false">SUMIF(Games!$A$2:$A$897,$A51,Games!$F$2:$F$897)+SUMIF(Games!$B$2:$B$897,$A51,Games!$E$2:$E$897)</f>
        <v>1905</v>
      </c>
      <c r="L51" s="0" t="n">
        <f aca="false">SUMIF(Games!$A$2:$A$897,$A51,Games!$G$2:$G$897)+SUMIF(Games!$B$2:$B$897,$A51,Games!$H$2:$H$897)</f>
        <v>2815</v>
      </c>
      <c r="M51" s="0" t="n">
        <f aca="false">IFERROR(L51/(B51+C51),0)</f>
        <v>216.538461538462</v>
      </c>
      <c r="N51" s="0" t="n">
        <f aca="false">SUMIF(Games!$A$2:$A$897,$A51,Games!$H$2:$H$897)+SUMIF(Games!$B$2:$B$897,$A51,Games!$G$2:$G$897)</f>
        <v>2595</v>
      </c>
      <c r="O51" s="0" t="n">
        <f aca="false">SUMIF(Games!$A$2:$A$897,$A51,Games!$I$2:$I$897)+SUMIF(Games!$B$2:$B$897,$A51,Games!$J$2:$J$897)</f>
        <v>27</v>
      </c>
      <c r="P51" s="0" t="n">
        <f aca="false">SUMIF(Games!$A$2:$A$897,$A51,Games!$J$2:$J$897)+SUMIF(Games!$B$2:$B$897,$A51,Games!$I$2:$I$897)</f>
        <v>24</v>
      </c>
      <c r="R51" s="0" t="n">
        <f aca="false">IFERROR((K51+N51)/(B51+C51),0)</f>
        <v>346.153846153846</v>
      </c>
      <c r="S51" s="0" t="n">
        <f aca="false">P51-O51</f>
        <v>-3</v>
      </c>
      <c r="T51" s="0" t="n">
        <f aca="false">IFERROR((D51/(D51+E51))*(F51/(F51+G51)),0)</f>
        <v>0.10775547332335</v>
      </c>
      <c r="U51" s="0" t="n">
        <f aca="false">RANK(T51,T$2:T$132)</f>
        <v>122</v>
      </c>
      <c r="V51" s="0" t="n">
        <f aca="false">IFERROR((B51/(B51+C51))*25,0)+IFERROR((D51/(D51+E51))*25,0)+IFERROR((F51/(F51+G51))*10,0)+H51+((J51-RMEAN)/RDEV)*5+((M51-PMEAN)/PDEV)*5+((DMEAN-R51)/DDEV)*7+((S51-TOMEAN)/TODEV)*3</f>
        <v>23.8108843829599</v>
      </c>
    </row>
    <row r="52" customFormat="false" ht="15" hidden="false" customHeight="false" outlineLevel="0" collapsed="false">
      <c r="A52" s="0" t="s">
        <v>56</v>
      </c>
      <c r="B52" s="0" t="n">
        <f aca="false">SUMIF(Games!$A$2:$A$897,$A52,Games!$K$2:$K$897)+SUMIF(Games!$B$2:$B$897,$A52,Games!$L$2:$L$897)</f>
        <v>6</v>
      </c>
      <c r="C52" s="0" t="n">
        <f aca="false">SUMIF(Games!$A$2:$A$897,$A52,Games!$L$2:$L$897)+SUMIF(Games!$B$2:$B$897,$A52,Games!$K$2:$K$897)</f>
        <v>7</v>
      </c>
      <c r="D52" s="0" t="n">
        <f aca="false">SUMIF(Games!$A$2:$A$897,$A52,Games!$O$2:$O$897)+SUMIF(Games!$B$2:$B$897,$A52,Games!$M$2:$M$897)</f>
        <v>95</v>
      </c>
      <c r="E52" s="0" t="n">
        <f aca="false">SUMIF(Games!$A$2:$A$897,$A52,Games!$P$2:$P$897)+SUMIF(Games!$B$2:$B$897,$A52,Games!$N$2:$N$897)</f>
        <v>179</v>
      </c>
      <c r="F52" s="0" t="n">
        <f aca="false">SUMIF(Games!$A$2:$A$897,$A52,Games!$S$2:$S$897)+SUMIF(Games!$B$2:$B$897,$A52,Games!$Q$2:$Q$897)</f>
        <v>1824</v>
      </c>
      <c r="G52" s="0" t="n">
        <f aca="false">SUMIF(Games!$A$2:$A$897,$A52,Games!$T$2:$T$897)+SUMIF(Games!$B$2:$B$897,$A52,Games!$R$2:$R$897)</f>
        <v>2946</v>
      </c>
      <c r="H52" s="0" t="n">
        <f aca="false">SUMIF(Games!$A$2:$A$897,$A52,Games!$U$2:$U$897)+SUMIF(Games!$B$2:$B$897,$A52,Games!$V$2:$V$897)</f>
        <v>-4.63442638905566</v>
      </c>
      <c r="I52" s="0" t="n">
        <f aca="false">SUMIF(Games!$A$2:$A$897,$A52,Games!$E$2:$E$897)+SUMIF(Games!$B$2:$B$897,$A52,Games!$F$2:$F$897)</f>
        <v>1877</v>
      </c>
      <c r="J52" s="0" t="n">
        <f aca="false">IFERROR(I52/(B52+C52),0)</f>
        <v>144.384615384615</v>
      </c>
      <c r="K52" s="0" t="n">
        <f aca="false">SUMIF(Games!$A$2:$A$897,$A52,Games!$F$2:$F$897)+SUMIF(Games!$B$2:$B$897,$A52,Games!$E$2:$E$897)</f>
        <v>1848</v>
      </c>
      <c r="L52" s="0" t="n">
        <f aca="false">SUMIF(Games!$A$2:$A$897,$A52,Games!$G$2:$G$897)+SUMIF(Games!$B$2:$B$897,$A52,Games!$H$2:$H$897)</f>
        <v>2859</v>
      </c>
      <c r="M52" s="0" t="n">
        <f aca="false">IFERROR(L52/(B52+C52),0)</f>
        <v>219.923076923077</v>
      </c>
      <c r="N52" s="0" t="n">
        <f aca="false">SUMIF(Games!$A$2:$A$897,$A52,Games!$H$2:$H$897)+SUMIF(Games!$B$2:$B$897,$A52,Games!$G$2:$G$897)</f>
        <v>2859</v>
      </c>
      <c r="O52" s="0" t="n">
        <f aca="false">SUMIF(Games!$A$2:$A$897,$A52,Games!$I$2:$I$897)+SUMIF(Games!$B$2:$B$897,$A52,Games!$J$2:$J$897)</f>
        <v>17</v>
      </c>
      <c r="P52" s="0" t="n">
        <f aca="false">SUMIF(Games!$A$2:$A$897,$A52,Games!$J$2:$J$897)+SUMIF(Games!$B$2:$B$897,$A52,Games!$I$2:$I$897)</f>
        <v>23</v>
      </c>
      <c r="R52" s="0" t="n">
        <f aca="false">IFERROR((K52+N52)/(B52+C52),0)</f>
        <v>362.076923076923</v>
      </c>
      <c r="S52" s="0" t="n">
        <f aca="false">P52-O52</f>
        <v>6</v>
      </c>
      <c r="T52" s="0" t="n">
        <f aca="false">IFERROR((D52/(D52+E52))*(F52/(F52+G52)),0)</f>
        <v>0.132580452646559</v>
      </c>
      <c r="U52" s="0" t="n">
        <f aca="false">RANK(T52,T$2:T$132)</f>
        <v>69</v>
      </c>
      <c r="V52" s="0" t="n">
        <f aca="false">IFERROR((B52/(B52+C52))*25,0)+IFERROR((D52/(D52+E52))*25,0)+IFERROR((F52/(F52+G52))*10,0)+H52+((J52-RMEAN)/RDEV)*5+((M52-PMEAN)/PDEV)*5+((DMEAN-R52)/DDEV)*7+((S52-TOMEAN)/TODEV)*3</f>
        <v>21.296772820841</v>
      </c>
    </row>
    <row r="53" customFormat="false" ht="15" hidden="false" customHeight="false" outlineLevel="0" collapsed="false">
      <c r="A53" s="0" t="s">
        <v>57</v>
      </c>
      <c r="B53" s="0" t="n">
        <f aca="false">SUMIF(Games!$A$2:$A$897,$A53,Games!$K$2:$K$897)+SUMIF(Games!$B$2:$B$897,$A53,Games!$L$2:$L$897)</f>
        <v>3</v>
      </c>
      <c r="C53" s="0" t="n">
        <f aca="false">SUMIF(Games!$A$2:$A$897,$A53,Games!$L$2:$L$897)+SUMIF(Games!$B$2:$B$897,$A53,Games!$K$2:$K$897)</f>
        <v>9</v>
      </c>
      <c r="D53" s="0" t="n">
        <f aca="false">SUMIF(Games!$A$2:$A$897,$A53,Games!$O$2:$O$897)+SUMIF(Games!$B$2:$B$897,$A53,Games!$M$2:$M$897)</f>
        <v>85</v>
      </c>
      <c r="E53" s="0" t="n">
        <f aca="false">SUMIF(Games!$A$2:$A$897,$A53,Games!$P$2:$P$897)+SUMIF(Games!$B$2:$B$897,$A53,Games!$N$2:$N$897)</f>
        <v>178</v>
      </c>
      <c r="F53" s="0" t="n">
        <f aca="false">SUMIF(Games!$A$2:$A$897,$A53,Games!$S$2:$S$897)+SUMIF(Games!$B$2:$B$897,$A53,Games!$Q$2:$Q$897)</f>
        <v>1757</v>
      </c>
      <c r="G53" s="0" t="n">
        <f aca="false">SUMIF(Games!$A$2:$A$897,$A53,Games!$T$2:$T$897)+SUMIF(Games!$B$2:$B$897,$A53,Games!$R$2:$R$897)</f>
        <v>2680</v>
      </c>
      <c r="H53" s="0" t="n">
        <f aca="false">SUMIF(Games!$A$2:$A$897,$A53,Games!$U$2:$U$897)+SUMIF(Games!$B$2:$B$897,$A53,Games!$V$2:$V$897)</f>
        <v>-33.0416786038711</v>
      </c>
      <c r="I53" s="0" t="n">
        <f aca="false">SUMIF(Games!$A$2:$A$897,$A53,Games!$E$2:$E$897)+SUMIF(Games!$B$2:$B$897,$A53,Games!$F$2:$F$897)</f>
        <v>1505</v>
      </c>
      <c r="J53" s="0" t="n">
        <f aca="false">IFERROR(I53/(B53+C53),0)</f>
        <v>125.416666666667</v>
      </c>
      <c r="K53" s="0" t="n">
        <f aca="false">SUMIF(Games!$A$2:$A$897,$A53,Games!$F$2:$F$897)+SUMIF(Games!$B$2:$B$897,$A53,Games!$E$2:$E$897)</f>
        <v>2918</v>
      </c>
      <c r="L53" s="0" t="n">
        <f aca="false">SUMIF(Games!$A$2:$A$897,$A53,Games!$G$2:$G$897)+SUMIF(Games!$B$2:$B$897,$A53,Games!$H$2:$H$897)</f>
        <v>3207</v>
      </c>
      <c r="M53" s="0" t="n">
        <f aca="false">IFERROR(L53/(B53+C53),0)</f>
        <v>267.25</v>
      </c>
      <c r="N53" s="0" t="n">
        <f aca="false">SUMIF(Games!$A$2:$A$897,$A53,Games!$H$2:$H$897)+SUMIF(Games!$B$2:$B$897,$A53,Games!$G$2:$G$897)</f>
        <v>2707</v>
      </c>
      <c r="O53" s="0" t="n">
        <f aca="false">SUMIF(Games!$A$2:$A$897,$A53,Games!$I$2:$I$897)+SUMIF(Games!$B$2:$B$897,$A53,Games!$J$2:$J$897)</f>
        <v>25</v>
      </c>
      <c r="P53" s="0" t="n">
        <f aca="false">SUMIF(Games!$A$2:$A$897,$A53,Games!$J$2:$J$897)+SUMIF(Games!$B$2:$B$897,$A53,Games!$I$2:$I$897)</f>
        <v>22</v>
      </c>
      <c r="R53" s="0" t="n">
        <f aca="false">IFERROR((K53+N53)/(B53+C53),0)</f>
        <v>468.75</v>
      </c>
      <c r="S53" s="0" t="n">
        <f aca="false">P53-O53</f>
        <v>-3</v>
      </c>
      <c r="T53" s="0" t="n">
        <f aca="false">IFERROR((D53/(D53+E53))*(F53/(F53+G53)),0)</f>
        <v>0.127981003161284</v>
      </c>
      <c r="U53" s="0" t="n">
        <f aca="false">RANK(T53,T$2:T$132)</f>
        <v>85</v>
      </c>
      <c r="V53" s="0" t="n">
        <f aca="false">IFERROR((B53/(B53+C53))*25,0)+IFERROR((D53/(D53+E53))*25,0)+IFERROR((F53/(F53+G53))*10,0)+H53+((J53-RMEAN)/RDEV)*5+((M53-PMEAN)/PDEV)*5+((DMEAN-R53)/DDEV)*7+((S53-TOMEAN)/TODEV)*3</f>
        <v>-28.8496785360916</v>
      </c>
    </row>
    <row r="54" customFormat="false" ht="15" hidden="false" customHeight="false" outlineLevel="0" collapsed="false">
      <c r="A54" s="0" t="s">
        <v>58</v>
      </c>
      <c r="B54" s="0" t="n">
        <f aca="false">SUMIF(Games!$A$2:$A$897,$A54,Games!$K$2:$K$897)+SUMIF(Games!$B$2:$B$897,$A54,Games!$L$2:$L$897)</f>
        <v>4</v>
      </c>
      <c r="C54" s="0" t="n">
        <f aca="false">SUMIF(Games!$A$2:$A$897,$A54,Games!$L$2:$L$897)+SUMIF(Games!$B$2:$B$897,$A54,Games!$K$2:$K$897)</f>
        <v>8</v>
      </c>
      <c r="D54" s="0" t="n">
        <f aca="false">SUMIF(Games!$A$2:$A$897,$A54,Games!$O$2:$O$897)+SUMIF(Games!$B$2:$B$897,$A54,Games!$M$2:$M$897)</f>
        <v>88</v>
      </c>
      <c r="E54" s="0" t="n">
        <f aca="false">SUMIF(Games!$A$2:$A$897,$A54,Games!$P$2:$P$897)+SUMIF(Games!$B$2:$B$897,$A54,Games!$N$2:$N$897)</f>
        <v>172</v>
      </c>
      <c r="F54" s="0" t="n">
        <f aca="false">SUMIF(Games!$A$2:$A$897,$A54,Games!$S$2:$S$897)+SUMIF(Games!$B$2:$B$897,$A54,Games!$Q$2:$Q$897)</f>
        <v>1774</v>
      </c>
      <c r="G54" s="0" t="n">
        <f aca="false">SUMIF(Games!$A$2:$A$897,$A54,Games!$T$2:$T$897)+SUMIF(Games!$B$2:$B$897,$A54,Games!$R$2:$R$897)</f>
        <v>2608</v>
      </c>
      <c r="H54" s="0" t="n">
        <f aca="false">SUMIF(Games!$A$2:$A$897,$A54,Games!$U$2:$U$897)+SUMIF(Games!$B$2:$B$897,$A54,Games!$V$2:$V$897)</f>
        <v>-31.9873639875862</v>
      </c>
      <c r="I54" s="0" t="n">
        <f aca="false">SUMIF(Games!$A$2:$A$897,$A54,Games!$E$2:$E$897)+SUMIF(Games!$B$2:$B$897,$A54,Games!$F$2:$F$897)</f>
        <v>1447</v>
      </c>
      <c r="J54" s="0" t="n">
        <f aca="false">IFERROR(I54/(B54+C54),0)</f>
        <v>120.583333333333</v>
      </c>
      <c r="K54" s="0" t="n">
        <f aca="false">SUMIF(Games!$A$2:$A$897,$A54,Games!$F$2:$F$897)+SUMIF(Games!$B$2:$B$897,$A54,Games!$E$2:$E$897)</f>
        <v>2337</v>
      </c>
      <c r="L54" s="0" t="n">
        <f aca="false">SUMIF(Games!$A$2:$A$897,$A54,Games!$G$2:$G$897)+SUMIF(Games!$B$2:$B$897,$A54,Games!$H$2:$H$897)</f>
        <v>2464</v>
      </c>
      <c r="M54" s="0" t="n">
        <f aca="false">IFERROR(L54/(B54+C54),0)</f>
        <v>205.333333333333</v>
      </c>
      <c r="N54" s="0" t="n">
        <f aca="false">SUMIF(Games!$A$2:$A$897,$A54,Games!$H$2:$H$897)+SUMIF(Games!$B$2:$B$897,$A54,Games!$G$2:$G$897)</f>
        <v>2792</v>
      </c>
      <c r="O54" s="0" t="n">
        <f aca="false">SUMIF(Games!$A$2:$A$897,$A54,Games!$I$2:$I$897)+SUMIF(Games!$B$2:$B$897,$A54,Games!$J$2:$J$897)</f>
        <v>15</v>
      </c>
      <c r="P54" s="0" t="n">
        <f aca="false">SUMIF(Games!$A$2:$A$897,$A54,Games!$J$2:$J$897)+SUMIF(Games!$B$2:$B$897,$A54,Games!$I$2:$I$897)</f>
        <v>8</v>
      </c>
      <c r="R54" s="0" t="n">
        <f aca="false">IFERROR((K54+N54)/(B54+C54),0)</f>
        <v>427.416666666667</v>
      </c>
      <c r="S54" s="0" t="n">
        <f aca="false">P54-O54</f>
        <v>-7</v>
      </c>
      <c r="T54" s="0" t="n">
        <f aca="false">IFERROR((D54/(D54+E54))*(F54/(F54+G54)),0)</f>
        <v>0.137022083347962</v>
      </c>
      <c r="U54" s="0" t="n">
        <f aca="false">RANK(T54,T$2:T$132)</f>
        <v>61</v>
      </c>
      <c r="V54" s="0" t="n">
        <f aca="false">IFERROR((B54/(B54+C54))*25,0)+IFERROR((D54/(D54+E54))*25,0)+IFERROR((F54/(F54+G54))*10,0)+H54+((J54-RMEAN)/RDEV)*5+((M54-PMEAN)/PDEV)*5+((DMEAN-R54)/DDEV)*7+((S54-TOMEAN)/TODEV)*3</f>
        <v>-27.8081183340941</v>
      </c>
    </row>
    <row r="55" customFormat="false" ht="15" hidden="false" customHeight="false" outlineLevel="0" collapsed="false">
      <c r="A55" s="0" t="s">
        <v>59</v>
      </c>
      <c r="B55" s="0" t="n">
        <f aca="false">SUMIF(Games!$A$2:$A$897,$A55,Games!$K$2:$K$897)+SUMIF(Games!$B$2:$B$897,$A55,Games!$L$2:$L$897)</f>
        <v>8</v>
      </c>
      <c r="C55" s="0" t="n">
        <f aca="false">SUMIF(Games!$A$2:$A$897,$A55,Games!$L$2:$L$897)+SUMIF(Games!$B$2:$B$897,$A55,Games!$K$2:$K$897)</f>
        <v>5</v>
      </c>
      <c r="D55" s="0" t="n">
        <f aca="false">SUMIF(Games!$A$2:$A$897,$A55,Games!$O$2:$O$897)+SUMIF(Games!$B$2:$B$897,$A55,Games!$M$2:$M$897)</f>
        <v>93</v>
      </c>
      <c r="E55" s="0" t="n">
        <f aca="false">SUMIF(Games!$A$2:$A$897,$A55,Games!$P$2:$P$897)+SUMIF(Games!$B$2:$B$897,$A55,Games!$N$2:$N$897)</f>
        <v>71</v>
      </c>
      <c r="F55" s="0" t="n">
        <f aca="false">SUMIF(Games!$A$2:$A$897,$A55,Games!$S$2:$S$897)+SUMIF(Games!$B$2:$B$897,$A55,Games!$Q$2:$Q$897)</f>
        <v>1177</v>
      </c>
      <c r="G55" s="0" t="n">
        <f aca="false">SUMIF(Games!$A$2:$A$897,$A55,Games!$T$2:$T$897)+SUMIF(Games!$B$2:$B$897,$A55,Games!$R$2:$R$897)</f>
        <v>2315</v>
      </c>
      <c r="H55" s="0" t="n">
        <f aca="false">SUMIF(Games!$A$2:$A$897,$A55,Games!$U$2:$U$897)+SUMIF(Games!$B$2:$B$897,$A55,Games!$V$2:$V$897)</f>
        <v>10.5621134025926</v>
      </c>
      <c r="I55" s="0" t="n">
        <f aca="false">SUMIF(Games!$A$2:$A$897,$A55,Games!$E$2:$E$897)+SUMIF(Games!$B$2:$B$897,$A55,Games!$F$2:$F$897)</f>
        <v>2613</v>
      </c>
      <c r="J55" s="0" t="n">
        <f aca="false">IFERROR(I55/(B55+C55),0)</f>
        <v>201</v>
      </c>
      <c r="K55" s="0" t="n">
        <f aca="false">SUMIF(Games!$A$2:$A$897,$A55,Games!$F$2:$F$897)+SUMIF(Games!$B$2:$B$897,$A55,Games!$E$2:$E$897)</f>
        <v>1730</v>
      </c>
      <c r="L55" s="0" t="n">
        <f aca="false">SUMIF(Games!$A$2:$A$897,$A55,Games!$G$2:$G$897)+SUMIF(Games!$B$2:$B$897,$A55,Games!$H$2:$H$897)</f>
        <v>2672</v>
      </c>
      <c r="M55" s="0" t="n">
        <f aca="false">IFERROR(L55/(B55+C55),0)</f>
        <v>205.538461538462</v>
      </c>
      <c r="N55" s="0" t="n">
        <f aca="false">SUMIF(Games!$A$2:$A$897,$A55,Games!$H$2:$H$897)+SUMIF(Games!$B$2:$B$897,$A55,Games!$G$2:$G$897)</f>
        <v>2562</v>
      </c>
      <c r="O55" s="0" t="n">
        <f aca="false">SUMIF(Games!$A$2:$A$897,$A55,Games!$I$2:$I$897)+SUMIF(Games!$B$2:$B$897,$A55,Games!$J$2:$J$897)</f>
        <v>23</v>
      </c>
      <c r="P55" s="0" t="n">
        <f aca="false">SUMIF(Games!$A$2:$A$897,$A55,Games!$J$2:$J$897)+SUMIF(Games!$B$2:$B$897,$A55,Games!$I$2:$I$897)</f>
        <v>30</v>
      </c>
      <c r="R55" s="0" t="n">
        <f aca="false">IFERROR((K55+N55)/(B55+C55),0)</f>
        <v>330.153846153846</v>
      </c>
      <c r="S55" s="0" t="n">
        <f aca="false">P55-O55</f>
        <v>7</v>
      </c>
      <c r="T55" s="0" t="n">
        <f aca="false">IFERROR((D55/(D55+E55))*(F55/(F55+G55)),0)</f>
        <v>0.191135487385802</v>
      </c>
      <c r="U55" s="0" t="n">
        <f aca="false">RANK(T55,T$2:T$132)</f>
        <v>11</v>
      </c>
      <c r="V55" s="0" t="n">
        <f aca="false">IFERROR((B55/(B55+C55))*25,0)+IFERROR((D55/(D55+E55))*25,0)+IFERROR((F55/(F55+G55))*10,0)+H55+((J55-RMEAN)/RDEV)*5+((M55-PMEAN)/PDEV)*5+((DMEAN-R55)/DDEV)*7+((S55-TOMEAN)/TODEV)*3</f>
        <v>55.0492843369849</v>
      </c>
    </row>
    <row r="56" customFormat="false" ht="15" hidden="false" customHeight="false" outlineLevel="0" collapsed="false">
      <c r="A56" s="0" t="s">
        <v>60</v>
      </c>
      <c r="B56" s="0" t="n">
        <f aca="false">SUMIF(Games!$A$2:$A$897,$A56,Games!$K$2:$K$897)+SUMIF(Games!$B$2:$B$897,$A56,Games!$L$2:$L$897)</f>
        <v>9</v>
      </c>
      <c r="C56" s="0" t="n">
        <f aca="false">SUMIF(Games!$A$2:$A$897,$A56,Games!$L$2:$L$897)+SUMIF(Games!$B$2:$B$897,$A56,Games!$K$2:$K$897)</f>
        <v>4</v>
      </c>
      <c r="D56" s="0" t="n">
        <f aca="false">SUMIF(Games!$A$2:$A$897,$A56,Games!$O$2:$O$897)+SUMIF(Games!$B$2:$B$897,$A56,Games!$M$2:$M$897)</f>
        <v>91</v>
      </c>
      <c r="E56" s="0" t="n">
        <f aca="false">SUMIF(Games!$A$2:$A$897,$A56,Games!$P$2:$P$897)+SUMIF(Games!$B$2:$B$897,$A56,Games!$N$2:$N$897)</f>
        <v>288</v>
      </c>
      <c r="F56" s="0" t="n">
        <f aca="false">SUMIF(Games!$A$2:$A$897,$A56,Games!$S$2:$S$897)+SUMIF(Games!$B$2:$B$897,$A56,Games!$Q$2:$Q$897)</f>
        <v>2558</v>
      </c>
      <c r="G56" s="0" t="n">
        <f aca="false">SUMIF(Games!$A$2:$A$897,$A56,Games!$T$2:$T$897)+SUMIF(Games!$B$2:$B$897,$A56,Games!$R$2:$R$897)</f>
        <v>3222</v>
      </c>
      <c r="H56" s="0" t="n">
        <f aca="false">SUMIF(Games!$A$2:$A$897,$A56,Games!$U$2:$U$897)+SUMIF(Games!$B$2:$B$897,$A56,Games!$V$2:$V$897)</f>
        <v>6.26056726161589</v>
      </c>
      <c r="I56" s="0" t="n">
        <f aca="false">SUMIF(Games!$A$2:$A$897,$A56,Games!$E$2:$E$897)+SUMIF(Games!$B$2:$B$897,$A56,Games!$F$2:$F$897)</f>
        <v>2668</v>
      </c>
      <c r="J56" s="0" t="n">
        <f aca="false">IFERROR(I56/(B56+C56),0)</f>
        <v>205.230769230769</v>
      </c>
      <c r="K56" s="0" t="n">
        <f aca="false">SUMIF(Games!$A$2:$A$897,$A56,Games!$F$2:$F$897)+SUMIF(Games!$B$2:$B$897,$A56,Games!$E$2:$E$897)</f>
        <v>1221</v>
      </c>
      <c r="L56" s="0" t="n">
        <f aca="false">SUMIF(Games!$A$2:$A$897,$A56,Games!$G$2:$G$897)+SUMIF(Games!$B$2:$B$897,$A56,Games!$H$2:$H$897)</f>
        <v>2496</v>
      </c>
      <c r="M56" s="0" t="n">
        <f aca="false">IFERROR(L56/(B56+C56),0)</f>
        <v>192</v>
      </c>
      <c r="N56" s="0" t="n">
        <f aca="false">SUMIF(Games!$A$2:$A$897,$A56,Games!$H$2:$H$897)+SUMIF(Games!$B$2:$B$897,$A56,Games!$G$2:$G$897)</f>
        <v>2608</v>
      </c>
      <c r="O56" s="0" t="n">
        <f aca="false">SUMIF(Games!$A$2:$A$897,$A56,Games!$I$2:$I$897)+SUMIF(Games!$B$2:$B$897,$A56,Games!$J$2:$J$897)</f>
        <v>19</v>
      </c>
      <c r="P56" s="0" t="n">
        <f aca="false">SUMIF(Games!$A$2:$A$897,$A56,Games!$J$2:$J$897)+SUMIF(Games!$B$2:$B$897,$A56,Games!$I$2:$I$897)</f>
        <v>28</v>
      </c>
      <c r="R56" s="0" t="n">
        <f aca="false">IFERROR((K56+N56)/(B56+C56),0)</f>
        <v>294.538461538462</v>
      </c>
      <c r="S56" s="0" t="n">
        <f aca="false">P56-O56</f>
        <v>9</v>
      </c>
      <c r="T56" s="0" t="n">
        <f aca="false">IFERROR((D56/(D56+E56))*(F56/(F56+G56)),0)</f>
        <v>0.106261241109823</v>
      </c>
      <c r="U56" s="0" t="n">
        <f aca="false">RANK(T56,T$2:T$132)</f>
        <v>125</v>
      </c>
      <c r="V56" s="0" t="n">
        <f aca="false">IFERROR((B56/(B56+C56))*25,0)+IFERROR((D56/(D56+E56))*25,0)+IFERROR((F56/(F56+G56))*10,0)+H56+((J56-RMEAN)/RDEV)*5+((M56-PMEAN)/PDEV)*5+((DMEAN-R56)/DDEV)*7+((S56-TOMEAN)/TODEV)*3</f>
        <v>50.4381580409444</v>
      </c>
    </row>
    <row r="57" customFormat="false" ht="15" hidden="false" customHeight="false" outlineLevel="0" collapsed="false">
      <c r="A57" s="0" t="s">
        <v>61</v>
      </c>
      <c r="B57" s="0" t="n">
        <f aca="false">SUMIF(Games!$A$2:$A$897,$A57,Games!$K$2:$K$897)+SUMIF(Games!$B$2:$B$897,$A57,Games!$L$2:$L$897)</f>
        <v>8</v>
      </c>
      <c r="C57" s="0" t="n">
        <f aca="false">SUMIF(Games!$A$2:$A$897,$A57,Games!$L$2:$L$897)+SUMIF(Games!$B$2:$B$897,$A57,Games!$K$2:$K$897)</f>
        <v>5</v>
      </c>
      <c r="D57" s="0" t="n">
        <f aca="false">SUMIF(Games!$A$2:$A$897,$A57,Games!$O$2:$O$897)+SUMIF(Games!$B$2:$B$897,$A57,Games!$M$2:$M$897)</f>
        <v>89</v>
      </c>
      <c r="E57" s="0" t="n">
        <f aca="false">SUMIF(Games!$A$2:$A$897,$A57,Games!$P$2:$P$897)+SUMIF(Games!$B$2:$B$897,$A57,Games!$N$2:$N$897)</f>
        <v>77</v>
      </c>
      <c r="F57" s="0" t="n">
        <f aca="false">SUMIF(Games!$A$2:$A$897,$A57,Games!$S$2:$S$897)+SUMIF(Games!$B$2:$B$897,$A57,Games!$Q$2:$Q$897)</f>
        <v>1207</v>
      </c>
      <c r="G57" s="0" t="n">
        <f aca="false">SUMIF(Games!$A$2:$A$897,$A57,Games!$T$2:$T$897)+SUMIF(Games!$B$2:$B$897,$A57,Games!$R$2:$R$897)</f>
        <v>1893</v>
      </c>
      <c r="H57" s="0" t="n">
        <f aca="false">SUMIF(Games!$A$2:$A$897,$A57,Games!$U$2:$U$897)+SUMIF(Games!$B$2:$B$897,$A57,Games!$V$2:$V$897)</f>
        <v>8.72853487153575</v>
      </c>
      <c r="I57" s="0" t="n">
        <f aca="false">SUMIF(Games!$A$2:$A$897,$A57,Games!$E$2:$E$897)+SUMIF(Games!$B$2:$B$897,$A57,Games!$F$2:$F$897)</f>
        <v>1837</v>
      </c>
      <c r="J57" s="0" t="n">
        <f aca="false">IFERROR(I57/(B57+C57),0)</f>
        <v>141.307692307692</v>
      </c>
      <c r="K57" s="0" t="n">
        <f aca="false">SUMIF(Games!$A$2:$A$897,$A57,Games!$F$2:$F$897)+SUMIF(Games!$B$2:$B$897,$A57,Games!$E$2:$E$897)</f>
        <v>1739</v>
      </c>
      <c r="L57" s="0" t="n">
        <f aca="false">SUMIF(Games!$A$2:$A$897,$A57,Games!$G$2:$G$897)+SUMIF(Games!$B$2:$B$897,$A57,Games!$H$2:$H$897)</f>
        <v>3383</v>
      </c>
      <c r="M57" s="0" t="n">
        <f aca="false">IFERROR(L57/(B57+C57),0)</f>
        <v>260.230769230769</v>
      </c>
      <c r="N57" s="0" t="n">
        <f aca="false">SUMIF(Games!$A$2:$A$897,$A57,Games!$H$2:$H$897)+SUMIF(Games!$B$2:$B$897,$A57,Games!$G$2:$G$897)</f>
        <v>2903</v>
      </c>
      <c r="O57" s="0" t="n">
        <f aca="false">SUMIF(Games!$A$2:$A$897,$A57,Games!$I$2:$I$897)+SUMIF(Games!$B$2:$B$897,$A57,Games!$J$2:$J$897)</f>
        <v>15</v>
      </c>
      <c r="P57" s="0" t="n">
        <f aca="false">SUMIF(Games!$A$2:$A$897,$A57,Games!$J$2:$J$897)+SUMIF(Games!$B$2:$B$897,$A57,Games!$I$2:$I$897)</f>
        <v>16</v>
      </c>
      <c r="R57" s="0" t="n">
        <f aca="false">IFERROR((K57+N57)/(B57+C57),0)</f>
        <v>357.076923076923</v>
      </c>
      <c r="S57" s="0" t="n">
        <f aca="false">P57-O57</f>
        <v>1</v>
      </c>
      <c r="T57" s="0" t="n">
        <f aca="false">IFERROR((D57/(D57+E57))*(F57/(F57+G57)),0)</f>
        <v>0.208750485814225</v>
      </c>
      <c r="U57" s="0" t="n">
        <f aca="false">RANK(T57,T$2:T$132)</f>
        <v>6</v>
      </c>
      <c r="V57" s="0" t="n">
        <f aca="false">IFERROR((B57/(B57+C57))*25,0)+IFERROR((D57/(D57+E57))*25,0)+IFERROR((F57/(F57+G57))*10,0)+H57+((J57-RMEAN)/RDEV)*5+((M57-PMEAN)/PDEV)*5+((DMEAN-R57)/DDEV)*7+((S57-TOMEAN)/TODEV)*3</f>
        <v>45.3094784305274</v>
      </c>
    </row>
    <row r="58" customFormat="false" ht="15" hidden="false" customHeight="false" outlineLevel="0" collapsed="false">
      <c r="A58" s="0" t="s">
        <v>62</v>
      </c>
      <c r="B58" s="0" t="n">
        <f aca="false">SUMIF(Games!$A$2:$A$897,$A58,Games!$K$2:$K$897)+SUMIF(Games!$B$2:$B$897,$A58,Games!$L$2:$L$897)</f>
        <v>7</v>
      </c>
      <c r="C58" s="0" t="n">
        <f aca="false">SUMIF(Games!$A$2:$A$897,$A58,Games!$L$2:$L$897)+SUMIF(Games!$B$2:$B$897,$A58,Games!$K$2:$K$897)</f>
        <v>6</v>
      </c>
      <c r="D58" s="0" t="n">
        <f aca="false">SUMIF(Games!$A$2:$A$897,$A58,Games!$O$2:$O$897)+SUMIF(Games!$B$2:$B$897,$A58,Games!$M$2:$M$897)</f>
        <v>89</v>
      </c>
      <c r="E58" s="0" t="n">
        <f aca="false">SUMIF(Games!$A$2:$A$897,$A58,Games!$P$2:$P$897)+SUMIF(Games!$B$2:$B$897,$A58,Games!$N$2:$N$897)</f>
        <v>186</v>
      </c>
      <c r="F58" s="0" t="n">
        <f aca="false">SUMIF(Games!$A$2:$A$897,$A58,Games!$S$2:$S$897)+SUMIF(Games!$B$2:$B$897,$A58,Games!$Q$2:$Q$897)</f>
        <v>1880</v>
      </c>
      <c r="G58" s="0" t="n">
        <f aca="false">SUMIF(Games!$A$2:$A$897,$A58,Games!$T$2:$T$897)+SUMIF(Games!$B$2:$B$897,$A58,Games!$R$2:$R$897)</f>
        <v>2820</v>
      </c>
      <c r="H58" s="0" t="n">
        <f aca="false">SUMIF(Games!$A$2:$A$897,$A58,Games!$U$2:$U$897)+SUMIF(Games!$B$2:$B$897,$A58,Games!$V$2:$V$897)</f>
        <v>4.92679953817608</v>
      </c>
      <c r="I58" s="0" t="n">
        <f aca="false">SUMIF(Games!$A$2:$A$897,$A58,Games!$E$2:$E$897)+SUMIF(Games!$B$2:$B$897,$A58,Games!$F$2:$F$897)</f>
        <v>1851</v>
      </c>
      <c r="J58" s="0" t="n">
        <f aca="false">IFERROR(I58/(B58+C58),0)</f>
        <v>142.384615384615</v>
      </c>
      <c r="K58" s="0" t="n">
        <f aca="false">SUMIF(Games!$A$2:$A$897,$A58,Games!$F$2:$F$897)+SUMIF(Games!$B$2:$B$897,$A58,Games!$E$2:$E$897)</f>
        <v>1587</v>
      </c>
      <c r="L58" s="0" t="n">
        <f aca="false">SUMIF(Games!$A$2:$A$897,$A58,Games!$G$2:$G$897)+SUMIF(Games!$B$2:$B$897,$A58,Games!$H$2:$H$897)</f>
        <v>3641</v>
      </c>
      <c r="M58" s="0" t="n">
        <f aca="false">IFERROR(L58/(B58+C58),0)</f>
        <v>280.076923076923</v>
      </c>
      <c r="N58" s="0" t="n">
        <f aca="false">SUMIF(Games!$A$2:$A$897,$A58,Games!$H$2:$H$897)+SUMIF(Games!$B$2:$B$897,$A58,Games!$G$2:$G$897)</f>
        <v>3137</v>
      </c>
      <c r="O58" s="0" t="n">
        <f aca="false">SUMIF(Games!$A$2:$A$897,$A58,Games!$I$2:$I$897)+SUMIF(Games!$B$2:$B$897,$A58,Games!$J$2:$J$897)</f>
        <v>16</v>
      </c>
      <c r="P58" s="0" t="n">
        <f aca="false">SUMIF(Games!$A$2:$A$897,$A58,Games!$J$2:$J$897)+SUMIF(Games!$B$2:$B$897,$A58,Games!$I$2:$I$897)</f>
        <v>22</v>
      </c>
      <c r="R58" s="0" t="n">
        <f aca="false">IFERROR((K58+N58)/(B58+C58),0)</f>
        <v>363.384615384615</v>
      </c>
      <c r="S58" s="0" t="n">
        <f aca="false">P58-O58</f>
        <v>6</v>
      </c>
      <c r="T58" s="0" t="n">
        <f aca="false">IFERROR((D58/(D58+E58))*(F58/(F58+G58)),0)</f>
        <v>0.129454545454545</v>
      </c>
      <c r="U58" s="0" t="n">
        <f aca="false">RANK(T58,T$2:T$132)</f>
        <v>80</v>
      </c>
      <c r="V58" s="0" t="n">
        <f aca="false">IFERROR((B58/(B58+C58))*25,0)+IFERROR((D58/(D58+E58))*25,0)+IFERROR((F58/(F58+G58))*10,0)+H58+((J58-RMEAN)/RDEV)*5+((M58-PMEAN)/PDEV)*5+((DMEAN-R58)/DDEV)*7+((S58-TOMEAN)/TODEV)*3</f>
        <v>37.7137152454101</v>
      </c>
    </row>
    <row r="59" customFormat="false" ht="15" hidden="false" customHeight="false" outlineLevel="0" collapsed="false">
      <c r="A59" s="0" t="s">
        <v>63</v>
      </c>
      <c r="B59" s="0" t="n">
        <f aca="false">SUMIF(Games!$A$2:$A$897,$A59,Games!$K$2:$K$897)+SUMIF(Games!$B$2:$B$897,$A59,Games!$L$2:$L$897)</f>
        <v>5</v>
      </c>
      <c r="C59" s="0" t="n">
        <f aca="false">SUMIF(Games!$A$2:$A$897,$A59,Games!$L$2:$L$897)+SUMIF(Games!$B$2:$B$897,$A59,Games!$K$2:$K$897)</f>
        <v>7</v>
      </c>
      <c r="D59" s="0" t="n">
        <f aca="false">SUMIF(Games!$A$2:$A$897,$A59,Games!$O$2:$O$897)+SUMIF(Games!$B$2:$B$897,$A59,Games!$M$2:$M$897)</f>
        <v>87</v>
      </c>
      <c r="E59" s="0" t="n">
        <f aca="false">SUMIF(Games!$A$2:$A$897,$A59,Games!$P$2:$P$897)+SUMIF(Games!$B$2:$B$897,$A59,Games!$N$2:$N$897)</f>
        <v>171</v>
      </c>
      <c r="F59" s="0" t="n">
        <f aca="false">SUMIF(Games!$A$2:$A$897,$A59,Games!$S$2:$S$897)+SUMIF(Games!$B$2:$B$897,$A59,Games!$Q$2:$Q$897)</f>
        <v>1749</v>
      </c>
      <c r="G59" s="0" t="n">
        <f aca="false">SUMIF(Games!$A$2:$A$897,$A59,Games!$T$2:$T$897)+SUMIF(Games!$B$2:$B$897,$A59,Games!$R$2:$R$897)</f>
        <v>2704</v>
      </c>
      <c r="H59" s="0" t="n">
        <f aca="false">SUMIF(Games!$A$2:$A$897,$A59,Games!$U$2:$U$897)+SUMIF(Games!$B$2:$B$897,$A59,Games!$V$2:$V$897)</f>
        <v>-18.7467293365721</v>
      </c>
      <c r="I59" s="0" t="n">
        <f aca="false">SUMIF(Games!$A$2:$A$897,$A59,Games!$E$2:$E$897)+SUMIF(Games!$B$2:$B$897,$A59,Games!$F$2:$F$897)</f>
        <v>1537</v>
      </c>
      <c r="J59" s="0" t="n">
        <f aca="false">IFERROR(I59/(B59+C59),0)</f>
        <v>128.083333333333</v>
      </c>
      <c r="K59" s="0" t="n">
        <f aca="false">SUMIF(Games!$A$2:$A$897,$A59,Games!$F$2:$F$897)+SUMIF(Games!$B$2:$B$897,$A59,Games!$E$2:$E$897)</f>
        <v>1720</v>
      </c>
      <c r="L59" s="0" t="n">
        <f aca="false">SUMIF(Games!$A$2:$A$897,$A59,Games!$G$2:$G$897)+SUMIF(Games!$B$2:$B$897,$A59,Games!$H$2:$H$897)</f>
        <v>2879</v>
      </c>
      <c r="M59" s="0" t="n">
        <f aca="false">IFERROR(L59/(B59+C59),0)</f>
        <v>239.916666666667</v>
      </c>
      <c r="N59" s="0" t="n">
        <f aca="false">SUMIF(Games!$A$2:$A$897,$A59,Games!$H$2:$H$897)+SUMIF(Games!$B$2:$B$897,$A59,Games!$G$2:$G$897)</f>
        <v>2791</v>
      </c>
      <c r="O59" s="0" t="n">
        <f aca="false">SUMIF(Games!$A$2:$A$897,$A59,Games!$I$2:$I$897)+SUMIF(Games!$B$2:$B$897,$A59,Games!$J$2:$J$897)</f>
        <v>25</v>
      </c>
      <c r="P59" s="0" t="n">
        <f aca="false">SUMIF(Games!$A$2:$A$897,$A59,Games!$J$2:$J$897)+SUMIF(Games!$B$2:$B$897,$A59,Games!$I$2:$I$897)</f>
        <v>22</v>
      </c>
      <c r="R59" s="0" t="n">
        <f aca="false">IFERROR((K59+N59)/(B59+C59),0)</f>
        <v>375.916666666667</v>
      </c>
      <c r="S59" s="0" t="n">
        <f aca="false">P59-O59</f>
        <v>-3</v>
      </c>
      <c r="T59" s="0" t="n">
        <f aca="false">IFERROR((D59/(D59+E59))*(F59/(F59+G59)),0)</f>
        <v>0.13244533343082</v>
      </c>
      <c r="U59" s="0" t="n">
        <f aca="false">RANK(T59,T$2:T$132)</f>
        <v>70</v>
      </c>
      <c r="V59" s="0" t="n">
        <f aca="false">IFERROR((B59/(B59+C59))*25,0)+IFERROR((D59/(D59+E59))*25,0)+IFERROR((F59/(F59+G59))*10,0)+H59+((J59-RMEAN)/RDEV)*5+((M59-PMEAN)/PDEV)*5+((DMEAN-R59)/DDEV)*7+((S59-TOMEAN)/TODEV)*3</f>
        <v>0.226760713996241</v>
      </c>
    </row>
    <row r="60" customFormat="false" ht="15" hidden="false" customHeight="false" outlineLevel="0" collapsed="false">
      <c r="A60" s="0" t="s">
        <v>64</v>
      </c>
      <c r="B60" s="0" t="n">
        <f aca="false">SUMIF(Games!$A$2:$A$897,$A60,Games!$K$2:$K$897)+SUMIF(Games!$B$2:$B$897,$A60,Games!$L$2:$L$897)</f>
        <v>6</v>
      </c>
      <c r="C60" s="0" t="n">
        <f aca="false">SUMIF(Games!$A$2:$A$897,$A60,Games!$L$2:$L$897)+SUMIF(Games!$B$2:$B$897,$A60,Games!$K$2:$K$897)</f>
        <v>7</v>
      </c>
      <c r="D60" s="0" t="n">
        <f aca="false">SUMIF(Games!$A$2:$A$897,$A60,Games!$O$2:$O$897)+SUMIF(Games!$B$2:$B$897,$A60,Games!$M$2:$M$897)</f>
        <v>75</v>
      </c>
      <c r="E60" s="0" t="n">
        <f aca="false">SUMIF(Games!$A$2:$A$897,$A60,Games!$P$2:$P$897)+SUMIF(Games!$B$2:$B$897,$A60,Games!$N$2:$N$897)</f>
        <v>196</v>
      </c>
      <c r="F60" s="0" t="n">
        <f aca="false">SUMIF(Games!$A$2:$A$897,$A60,Games!$S$2:$S$897)+SUMIF(Games!$B$2:$B$897,$A60,Games!$Q$2:$Q$897)</f>
        <v>1844</v>
      </c>
      <c r="G60" s="0" t="n">
        <f aca="false">SUMIF(Games!$A$2:$A$897,$A60,Games!$T$2:$T$897)+SUMIF(Games!$B$2:$B$897,$A60,Games!$R$2:$R$897)</f>
        <v>2911</v>
      </c>
      <c r="H60" s="0" t="n">
        <f aca="false">SUMIF(Games!$A$2:$A$897,$A60,Games!$U$2:$U$897)+SUMIF(Games!$B$2:$B$897,$A60,Games!$V$2:$V$897)</f>
        <v>-18.527388172724</v>
      </c>
      <c r="I60" s="0" t="n">
        <f aca="false">SUMIF(Games!$A$2:$A$897,$A60,Games!$E$2:$E$897)+SUMIF(Games!$B$2:$B$897,$A60,Games!$F$2:$F$897)</f>
        <v>1831</v>
      </c>
      <c r="J60" s="0" t="n">
        <f aca="false">IFERROR(I60/(B60+C60),0)</f>
        <v>140.846153846154</v>
      </c>
      <c r="K60" s="0" t="n">
        <f aca="false">SUMIF(Games!$A$2:$A$897,$A60,Games!$F$2:$F$897)+SUMIF(Games!$B$2:$B$897,$A60,Games!$E$2:$E$897)</f>
        <v>1767</v>
      </c>
      <c r="L60" s="0" t="n">
        <f aca="false">SUMIF(Games!$A$2:$A$897,$A60,Games!$G$2:$G$897)+SUMIF(Games!$B$2:$B$897,$A60,Games!$H$2:$H$897)</f>
        <v>2152</v>
      </c>
      <c r="M60" s="0" t="n">
        <f aca="false">IFERROR(L60/(B60+C60),0)</f>
        <v>165.538461538462</v>
      </c>
      <c r="N60" s="0" t="n">
        <f aca="false">SUMIF(Games!$A$2:$A$897,$A60,Games!$H$2:$H$897)+SUMIF(Games!$B$2:$B$897,$A60,Games!$G$2:$G$897)</f>
        <v>3083</v>
      </c>
      <c r="O60" s="0" t="n">
        <f aca="false">SUMIF(Games!$A$2:$A$897,$A60,Games!$I$2:$I$897)+SUMIF(Games!$B$2:$B$897,$A60,Games!$J$2:$J$897)</f>
        <v>11</v>
      </c>
      <c r="P60" s="0" t="n">
        <f aca="false">SUMIF(Games!$A$2:$A$897,$A60,Games!$J$2:$J$897)+SUMIF(Games!$B$2:$B$897,$A60,Games!$I$2:$I$897)</f>
        <v>22</v>
      </c>
      <c r="R60" s="0" t="n">
        <f aca="false">IFERROR((K60+N60)/(B60+C60),0)</f>
        <v>373.076923076923</v>
      </c>
      <c r="S60" s="0" t="n">
        <f aca="false">P60-O60</f>
        <v>11</v>
      </c>
      <c r="T60" s="0" t="n">
        <f aca="false">IFERROR((D60/(D60+E60))*(F60/(F60+G60)),0)</f>
        <v>0.107325363474455</v>
      </c>
      <c r="U60" s="0" t="n">
        <f aca="false">RANK(T60,T$2:T$132)</f>
        <v>123</v>
      </c>
      <c r="V60" s="0" t="n">
        <f aca="false">IFERROR((B60/(B60+C60))*25,0)+IFERROR((D60/(D60+E60))*25,0)+IFERROR((F60/(F60+G60))*10,0)+H60+((J60-RMEAN)/RDEV)*5+((M60-PMEAN)/PDEV)*5+((DMEAN-R60)/DDEV)*7+((S60-TOMEAN)/TODEV)*3</f>
        <v>0.823790840023107</v>
      </c>
    </row>
    <row r="61" customFormat="false" ht="15" hidden="false" customHeight="false" outlineLevel="0" collapsed="false">
      <c r="A61" s="0" t="s">
        <v>65</v>
      </c>
      <c r="B61" s="0" t="n">
        <f aca="false">SUMIF(Games!$A$2:$A$897,$A61,Games!$K$2:$K$897)+SUMIF(Games!$B$2:$B$897,$A61,Games!$L$2:$L$897)</f>
        <v>13</v>
      </c>
      <c r="C61" s="0" t="n">
        <f aca="false">SUMIF(Games!$A$2:$A$897,$A61,Games!$L$2:$L$897)+SUMIF(Games!$B$2:$B$897,$A61,Games!$K$2:$K$897)</f>
        <v>1</v>
      </c>
      <c r="D61" s="0" t="n">
        <f aca="false">SUMIF(Games!$A$2:$A$897,$A61,Games!$O$2:$O$897)+SUMIF(Games!$B$2:$B$897,$A61,Games!$M$2:$M$897)</f>
        <v>96</v>
      </c>
      <c r="E61" s="0" t="n">
        <f aca="false">SUMIF(Games!$A$2:$A$897,$A61,Games!$P$2:$P$897)+SUMIF(Games!$B$2:$B$897,$A61,Games!$N$2:$N$897)</f>
        <v>84</v>
      </c>
      <c r="F61" s="0" t="n">
        <f aca="false">SUMIF(Games!$A$2:$A$897,$A61,Games!$S$2:$S$897)+SUMIF(Games!$B$2:$B$897,$A61,Games!$Q$2:$Q$897)</f>
        <v>1287</v>
      </c>
      <c r="G61" s="0" t="n">
        <f aca="false">SUMIF(Games!$A$2:$A$897,$A61,Games!$T$2:$T$897)+SUMIF(Games!$B$2:$B$897,$A61,Games!$R$2:$R$897)</f>
        <v>2095</v>
      </c>
      <c r="H61" s="0" t="n">
        <f aca="false">SUMIF(Games!$A$2:$A$897,$A61,Games!$U$2:$U$897)+SUMIF(Games!$B$2:$B$897,$A61,Games!$V$2:$V$897)</f>
        <v>56.8983778484709</v>
      </c>
      <c r="I61" s="0" t="n">
        <f aca="false">SUMIF(Games!$A$2:$A$897,$A61,Games!$E$2:$E$897)+SUMIF(Games!$B$2:$B$897,$A61,Games!$F$2:$F$897)</f>
        <v>3344</v>
      </c>
      <c r="J61" s="0" t="n">
        <f aca="false">IFERROR(I61/(B61+C61),0)</f>
        <v>238.857142857143</v>
      </c>
      <c r="K61" s="0" t="n">
        <f aca="false">SUMIF(Games!$A$2:$A$897,$A61,Games!$F$2:$F$897)+SUMIF(Games!$B$2:$B$897,$A61,Games!$E$2:$E$897)</f>
        <v>1371</v>
      </c>
      <c r="L61" s="0" t="n">
        <f aca="false">SUMIF(Games!$A$2:$A$897,$A61,Games!$G$2:$G$897)+SUMIF(Games!$B$2:$B$897,$A61,Games!$H$2:$H$897)</f>
        <v>3078</v>
      </c>
      <c r="M61" s="0" t="n">
        <f aca="false">IFERROR(L61/(B61+C61),0)</f>
        <v>219.857142857143</v>
      </c>
      <c r="N61" s="0" t="n">
        <f aca="false">SUMIF(Games!$A$2:$A$897,$A61,Games!$H$2:$H$897)+SUMIF(Games!$B$2:$B$897,$A61,Games!$G$2:$G$897)</f>
        <v>2719</v>
      </c>
      <c r="O61" s="0" t="n">
        <f aca="false">SUMIF(Games!$A$2:$A$897,$A61,Games!$I$2:$I$897)+SUMIF(Games!$B$2:$B$897,$A61,Games!$J$2:$J$897)</f>
        <v>10</v>
      </c>
      <c r="P61" s="0" t="n">
        <f aca="false">SUMIF(Games!$A$2:$A$897,$A61,Games!$J$2:$J$897)+SUMIF(Games!$B$2:$B$897,$A61,Games!$I$2:$I$897)</f>
        <v>18</v>
      </c>
      <c r="R61" s="0" t="n">
        <f aca="false">IFERROR((K61+N61)/(B61+C61),0)</f>
        <v>292.142857142857</v>
      </c>
      <c r="S61" s="0" t="n">
        <f aca="false">P61-O61</f>
        <v>8</v>
      </c>
      <c r="T61" s="0" t="n">
        <f aca="false">IFERROR((D61/(D61+E61))*(F61/(F61+G61)),0)</f>
        <v>0.202956830277942</v>
      </c>
      <c r="U61" s="0" t="n">
        <f aca="false">RANK(T61,T$2:T$132)</f>
        <v>7</v>
      </c>
      <c r="V61" s="0" t="n">
        <f aca="false">IFERROR((B61/(B61+C61))*25,0)+IFERROR((D61/(D61+E61))*25,0)+IFERROR((F61/(F61+G61))*10,0)+H61+((J61-RMEAN)/RDEV)*5+((M61-PMEAN)/PDEV)*5+((DMEAN-R61)/DDEV)*7+((S61-TOMEAN)/TODEV)*3</f>
        <v>119.950720376973</v>
      </c>
    </row>
    <row r="62" customFormat="false" ht="15" hidden="false" customHeight="false" outlineLevel="0" collapsed="false">
      <c r="A62" s="0" t="s">
        <v>66</v>
      </c>
      <c r="B62" s="0" t="n">
        <f aca="false">SUMIF(Games!$A$2:$A$897,$A62,Games!$K$2:$K$897)+SUMIF(Games!$B$2:$B$897,$A62,Games!$L$2:$L$897)</f>
        <v>5</v>
      </c>
      <c r="C62" s="0" t="n">
        <f aca="false">SUMIF(Games!$A$2:$A$897,$A62,Games!$L$2:$L$897)+SUMIF(Games!$B$2:$B$897,$A62,Games!$K$2:$K$897)</f>
        <v>7</v>
      </c>
      <c r="D62" s="0" t="n">
        <f aca="false">SUMIF(Games!$A$2:$A$897,$A62,Games!$O$2:$O$897)+SUMIF(Games!$B$2:$B$897,$A62,Games!$M$2:$M$897)</f>
        <v>93</v>
      </c>
      <c r="E62" s="0" t="n">
        <f aca="false">SUMIF(Games!$A$2:$A$897,$A62,Games!$P$2:$P$897)+SUMIF(Games!$B$2:$B$897,$A62,Games!$N$2:$N$897)</f>
        <v>60</v>
      </c>
      <c r="F62" s="0" t="n">
        <f aca="false">SUMIF(Games!$A$2:$A$897,$A62,Games!$S$2:$S$897)+SUMIF(Games!$B$2:$B$897,$A62,Games!$Q$2:$Q$897)</f>
        <v>1056</v>
      </c>
      <c r="G62" s="0" t="n">
        <f aca="false">SUMIF(Games!$A$2:$A$897,$A62,Games!$T$2:$T$897)+SUMIF(Games!$B$2:$B$897,$A62,Games!$R$2:$R$897)</f>
        <v>1753</v>
      </c>
      <c r="H62" s="0" t="n">
        <f aca="false">SUMIF(Games!$A$2:$A$897,$A62,Games!$U$2:$U$897)+SUMIF(Games!$B$2:$B$897,$A62,Games!$V$2:$V$897)</f>
        <v>-8.86908691628956</v>
      </c>
      <c r="I62" s="0" t="n">
        <f aca="false">SUMIF(Games!$A$2:$A$897,$A62,Games!$E$2:$E$897)+SUMIF(Games!$B$2:$B$897,$A62,Games!$F$2:$F$897)</f>
        <v>1356</v>
      </c>
      <c r="J62" s="0" t="n">
        <f aca="false">IFERROR(I62/(B62+C62),0)</f>
        <v>113</v>
      </c>
      <c r="K62" s="0" t="n">
        <f aca="false">SUMIF(Games!$A$2:$A$897,$A62,Games!$F$2:$F$897)+SUMIF(Games!$B$2:$B$897,$A62,Games!$E$2:$E$897)</f>
        <v>2147</v>
      </c>
      <c r="L62" s="0" t="n">
        <f aca="false">SUMIF(Games!$A$2:$A$897,$A62,Games!$G$2:$G$897)+SUMIF(Games!$B$2:$B$897,$A62,Games!$H$2:$H$897)</f>
        <v>2880</v>
      </c>
      <c r="M62" s="0" t="n">
        <f aca="false">IFERROR(L62/(B62+C62),0)</f>
        <v>240</v>
      </c>
      <c r="N62" s="0" t="n">
        <f aca="false">SUMIF(Games!$A$2:$A$897,$A62,Games!$H$2:$H$897)+SUMIF(Games!$B$2:$B$897,$A62,Games!$G$2:$G$897)</f>
        <v>2855</v>
      </c>
      <c r="O62" s="0" t="n">
        <f aca="false">SUMIF(Games!$A$2:$A$897,$A62,Games!$I$2:$I$897)+SUMIF(Games!$B$2:$B$897,$A62,Games!$J$2:$J$897)</f>
        <v>16</v>
      </c>
      <c r="P62" s="0" t="n">
        <f aca="false">SUMIF(Games!$A$2:$A$897,$A62,Games!$J$2:$J$897)+SUMIF(Games!$B$2:$B$897,$A62,Games!$I$2:$I$897)</f>
        <v>12</v>
      </c>
      <c r="R62" s="0" t="n">
        <f aca="false">IFERROR((K62+N62)/(B62+C62),0)</f>
        <v>416.833333333333</v>
      </c>
      <c r="S62" s="0" t="n">
        <f aca="false">P62-O62</f>
        <v>-4</v>
      </c>
      <c r="T62" s="0" t="n">
        <f aca="false">IFERROR((D62/(D62+E62))*(F62/(F62+G62)),0)</f>
        <v>0.228509203610244</v>
      </c>
      <c r="U62" s="0" t="n">
        <f aca="false">RANK(T62,T$2:T$132)</f>
        <v>3</v>
      </c>
      <c r="V62" s="0" t="n">
        <f aca="false">IFERROR((B62/(B62+C62))*25,0)+IFERROR((D62/(D62+E62))*25,0)+IFERROR((F62/(F62+G62))*10,0)+H62+((J62-RMEAN)/RDEV)*5+((M62-PMEAN)/PDEV)*5+((DMEAN-R62)/DDEV)*7+((S62-TOMEAN)/TODEV)*3</f>
        <v>9.05102635692814</v>
      </c>
    </row>
    <row r="63" customFormat="false" ht="15" hidden="false" customHeight="false" outlineLevel="0" collapsed="false">
      <c r="A63" s="0" t="s">
        <v>67</v>
      </c>
      <c r="B63" s="0" t="n">
        <f aca="false">SUMIF(Games!$A$2:$A$897,$A63,Games!$K$2:$K$897)+SUMIF(Games!$B$2:$B$897,$A63,Games!$L$2:$L$897)</f>
        <v>8</v>
      </c>
      <c r="C63" s="0" t="n">
        <f aca="false">SUMIF(Games!$A$2:$A$897,$A63,Games!$L$2:$L$897)+SUMIF(Games!$B$2:$B$897,$A63,Games!$K$2:$K$897)</f>
        <v>5</v>
      </c>
      <c r="D63" s="0" t="n">
        <f aca="false">SUMIF(Games!$A$2:$A$897,$A63,Games!$O$2:$O$897)+SUMIF(Games!$B$2:$B$897,$A63,Games!$M$2:$M$897)</f>
        <v>78</v>
      </c>
      <c r="E63" s="0" t="n">
        <f aca="false">SUMIF(Games!$A$2:$A$897,$A63,Games!$P$2:$P$897)+SUMIF(Games!$B$2:$B$897,$A63,Games!$N$2:$N$897)</f>
        <v>191</v>
      </c>
      <c r="F63" s="0" t="n">
        <f aca="false">SUMIF(Games!$A$2:$A$897,$A63,Games!$S$2:$S$897)+SUMIF(Games!$B$2:$B$897,$A63,Games!$Q$2:$Q$897)</f>
        <v>1799</v>
      </c>
      <c r="G63" s="0" t="n">
        <f aca="false">SUMIF(Games!$A$2:$A$897,$A63,Games!$T$2:$T$897)+SUMIF(Games!$B$2:$B$897,$A63,Games!$R$2:$R$897)</f>
        <v>2826</v>
      </c>
      <c r="H63" s="0" t="n">
        <f aca="false">SUMIF(Games!$A$2:$A$897,$A63,Games!$U$2:$U$897)+SUMIF(Games!$B$2:$B$897,$A63,Games!$V$2:$V$897)</f>
        <v>-18.2807010851655</v>
      </c>
      <c r="I63" s="0" t="n">
        <f aca="false">SUMIF(Games!$A$2:$A$897,$A63,Games!$E$2:$E$897)+SUMIF(Games!$B$2:$B$897,$A63,Games!$F$2:$F$897)</f>
        <v>1423</v>
      </c>
      <c r="J63" s="0" t="n">
        <f aca="false">IFERROR(I63/(B63+C63),0)</f>
        <v>109.461538461538</v>
      </c>
      <c r="K63" s="0" t="n">
        <f aca="false">SUMIF(Games!$A$2:$A$897,$A63,Games!$F$2:$F$897)+SUMIF(Games!$B$2:$B$897,$A63,Games!$E$2:$E$897)</f>
        <v>1518</v>
      </c>
      <c r="L63" s="0" t="n">
        <f aca="false">SUMIF(Games!$A$2:$A$897,$A63,Games!$G$2:$G$897)+SUMIF(Games!$B$2:$B$897,$A63,Games!$H$2:$H$897)</f>
        <v>3442</v>
      </c>
      <c r="M63" s="0" t="n">
        <f aca="false">IFERROR(L63/(B63+C63),0)</f>
        <v>264.769230769231</v>
      </c>
      <c r="N63" s="0" t="n">
        <f aca="false">SUMIF(Games!$A$2:$A$897,$A63,Games!$H$2:$H$897)+SUMIF(Games!$B$2:$B$897,$A63,Games!$G$2:$G$897)</f>
        <v>3793</v>
      </c>
      <c r="O63" s="0" t="n">
        <f aca="false">SUMIF(Games!$A$2:$A$897,$A63,Games!$I$2:$I$897)+SUMIF(Games!$B$2:$B$897,$A63,Games!$J$2:$J$897)</f>
        <v>18</v>
      </c>
      <c r="P63" s="0" t="n">
        <f aca="false">SUMIF(Games!$A$2:$A$897,$A63,Games!$J$2:$J$897)+SUMIF(Games!$B$2:$B$897,$A63,Games!$I$2:$I$897)</f>
        <v>30</v>
      </c>
      <c r="R63" s="0" t="n">
        <f aca="false">IFERROR((K63+N63)/(B63+C63),0)</f>
        <v>408.538461538462</v>
      </c>
      <c r="S63" s="0" t="n">
        <f aca="false">P63-O63</f>
        <v>12</v>
      </c>
      <c r="T63" s="0" t="n">
        <f aca="false">IFERROR((D63/(D63+E63))*(F63/(F63+G63)),0)</f>
        <v>0.112787702200342</v>
      </c>
      <c r="U63" s="0" t="n">
        <f aca="false">RANK(T63,T$2:T$132)</f>
        <v>117</v>
      </c>
      <c r="V63" s="0" t="n">
        <f aca="false">IFERROR((B63/(B63+C63))*25,0)+IFERROR((D63/(D63+E63))*25,0)+IFERROR((F63/(F63+G63))*10,0)+H63+((J63-RMEAN)/RDEV)*5+((M63-PMEAN)/PDEV)*5+((DMEAN-R63)/DDEV)*7+((S63-TOMEAN)/TODEV)*3</f>
        <v>6.86835133555588</v>
      </c>
    </row>
    <row r="64" customFormat="false" ht="15" hidden="false" customHeight="false" outlineLevel="0" collapsed="false">
      <c r="A64" s="0" t="s">
        <v>68</v>
      </c>
      <c r="B64" s="0" t="n">
        <f aca="false">SUMIF(Games!$A$2:$A$897,$A64,Games!$K$2:$K$897)+SUMIF(Games!$B$2:$B$897,$A64,Games!$L$2:$L$897)</f>
        <v>9</v>
      </c>
      <c r="C64" s="0" t="n">
        <f aca="false">SUMIF(Games!$A$2:$A$897,$A64,Games!$L$2:$L$897)+SUMIF(Games!$B$2:$B$897,$A64,Games!$K$2:$K$897)</f>
        <v>4</v>
      </c>
      <c r="D64" s="0" t="n">
        <f aca="false">SUMIF(Games!$A$2:$A$897,$A64,Games!$O$2:$O$897)+SUMIF(Games!$B$2:$B$897,$A64,Games!$M$2:$M$897)</f>
        <v>79</v>
      </c>
      <c r="E64" s="0" t="n">
        <f aca="false">SUMIF(Games!$A$2:$A$897,$A64,Games!$P$2:$P$897)+SUMIF(Games!$B$2:$B$897,$A64,Games!$N$2:$N$897)</f>
        <v>193</v>
      </c>
      <c r="F64" s="0" t="n">
        <f aca="false">SUMIF(Games!$A$2:$A$897,$A64,Games!$S$2:$S$897)+SUMIF(Games!$B$2:$B$897,$A64,Games!$Q$2:$Q$897)</f>
        <v>1896</v>
      </c>
      <c r="G64" s="0" t="n">
        <f aca="false">SUMIF(Games!$A$2:$A$897,$A64,Games!$T$2:$T$897)+SUMIF(Games!$B$2:$B$897,$A64,Games!$R$2:$R$897)</f>
        <v>2652</v>
      </c>
      <c r="H64" s="0" t="n">
        <f aca="false">SUMIF(Games!$A$2:$A$897,$A64,Games!$U$2:$U$897)+SUMIF(Games!$B$2:$B$897,$A64,Games!$V$2:$V$897)</f>
        <v>12.7192774118184</v>
      </c>
      <c r="I64" s="0" t="n">
        <f aca="false">SUMIF(Games!$A$2:$A$897,$A64,Games!$E$2:$E$897)+SUMIF(Games!$B$2:$B$897,$A64,Games!$F$2:$F$897)</f>
        <v>2696</v>
      </c>
      <c r="J64" s="0" t="n">
        <f aca="false">IFERROR(I64/(B64+C64),0)</f>
        <v>207.384615384615</v>
      </c>
      <c r="K64" s="0" t="n">
        <f aca="false">SUMIF(Games!$A$2:$A$897,$A64,Games!$F$2:$F$897)+SUMIF(Games!$B$2:$B$897,$A64,Games!$E$2:$E$897)</f>
        <v>1417</v>
      </c>
      <c r="L64" s="0" t="n">
        <f aca="false">SUMIF(Games!$A$2:$A$897,$A64,Games!$G$2:$G$897)+SUMIF(Games!$B$2:$B$897,$A64,Games!$H$2:$H$897)</f>
        <v>2369</v>
      </c>
      <c r="M64" s="0" t="n">
        <f aca="false">IFERROR(L64/(B64+C64),0)</f>
        <v>182.230769230769</v>
      </c>
      <c r="N64" s="0" t="n">
        <f aca="false">SUMIF(Games!$A$2:$A$897,$A64,Games!$H$2:$H$897)+SUMIF(Games!$B$2:$B$897,$A64,Games!$G$2:$G$897)</f>
        <v>2414</v>
      </c>
      <c r="O64" s="0" t="n">
        <f aca="false">SUMIF(Games!$A$2:$A$897,$A64,Games!$I$2:$I$897)+SUMIF(Games!$B$2:$B$897,$A64,Games!$J$2:$J$897)</f>
        <v>13</v>
      </c>
      <c r="P64" s="0" t="n">
        <f aca="false">SUMIF(Games!$A$2:$A$897,$A64,Games!$J$2:$J$897)+SUMIF(Games!$B$2:$B$897,$A64,Games!$I$2:$I$897)</f>
        <v>18</v>
      </c>
      <c r="R64" s="0" t="n">
        <f aca="false">IFERROR((K64+N64)/(B64+C64),0)</f>
        <v>294.692307692308</v>
      </c>
      <c r="S64" s="0" t="n">
        <f aca="false">P64-O64</f>
        <v>5</v>
      </c>
      <c r="T64" s="0" t="n">
        <f aca="false">IFERROR((D64/(D64+E64))*(F64/(F64+G64)),0)</f>
        <v>0.121081018159243</v>
      </c>
      <c r="U64" s="0" t="n">
        <f aca="false">RANK(T64,T$2:T$132)</f>
        <v>102</v>
      </c>
      <c r="V64" s="0" t="n">
        <f aca="false">IFERROR((B64/(B64+C64))*25,0)+IFERROR((D64/(D64+E64))*25,0)+IFERROR((F64/(F64+G64))*10,0)+H64+((J64-RMEAN)/RDEV)*5+((M64-PMEAN)/PDEV)*5+((DMEAN-R64)/DDEV)*7+((S64-TOMEAN)/TODEV)*3</f>
        <v>55.4391825328225</v>
      </c>
    </row>
    <row r="65" customFormat="false" ht="15" hidden="false" customHeight="false" outlineLevel="0" collapsed="false">
      <c r="A65" s="0" t="s">
        <v>69</v>
      </c>
      <c r="B65" s="0" t="n">
        <f aca="false">SUMIF(Games!$A$2:$A$897,$A65,Games!$K$2:$K$897)+SUMIF(Games!$B$2:$B$897,$A65,Games!$L$2:$L$897)</f>
        <v>9</v>
      </c>
      <c r="C65" s="0" t="n">
        <f aca="false">SUMIF(Games!$A$2:$A$897,$A65,Games!$L$2:$L$897)+SUMIF(Games!$B$2:$B$897,$A65,Games!$K$2:$K$897)</f>
        <v>4</v>
      </c>
      <c r="D65" s="0" t="n">
        <f aca="false">SUMIF(Games!$A$2:$A$897,$A65,Games!$O$2:$O$897)+SUMIF(Games!$B$2:$B$897,$A65,Games!$M$2:$M$897)</f>
        <v>102</v>
      </c>
      <c r="E65" s="0" t="n">
        <f aca="false">SUMIF(Games!$A$2:$A$897,$A65,Games!$P$2:$P$897)+SUMIF(Games!$B$2:$B$897,$A65,Games!$N$2:$N$897)</f>
        <v>174</v>
      </c>
      <c r="F65" s="0" t="n">
        <f aca="false">SUMIF(Games!$A$2:$A$897,$A65,Games!$S$2:$S$897)+SUMIF(Games!$B$2:$B$897,$A65,Games!$Q$2:$Q$897)</f>
        <v>1976</v>
      </c>
      <c r="G65" s="0" t="n">
        <f aca="false">SUMIF(Games!$A$2:$A$897,$A65,Games!$T$2:$T$897)+SUMIF(Games!$B$2:$B$897,$A65,Games!$R$2:$R$897)</f>
        <v>2849</v>
      </c>
      <c r="H65" s="0" t="n">
        <f aca="false">SUMIF(Games!$A$2:$A$897,$A65,Games!$U$2:$U$897)+SUMIF(Games!$B$2:$B$897,$A65,Games!$V$2:$V$897)</f>
        <v>14.2515659939301</v>
      </c>
      <c r="I65" s="0" t="n">
        <f aca="false">SUMIF(Games!$A$2:$A$897,$A65,Games!$E$2:$E$897)+SUMIF(Games!$B$2:$B$897,$A65,Games!$F$2:$F$897)</f>
        <v>1071</v>
      </c>
      <c r="J65" s="0" t="n">
        <f aca="false">IFERROR(I65/(B65+C65),0)</f>
        <v>82.3846153846154</v>
      </c>
      <c r="K65" s="0" t="n">
        <f aca="false">SUMIF(Games!$A$2:$A$897,$A65,Games!$F$2:$F$897)+SUMIF(Games!$B$2:$B$897,$A65,Games!$E$2:$E$897)</f>
        <v>1757</v>
      </c>
      <c r="L65" s="0" t="n">
        <f aca="false">SUMIF(Games!$A$2:$A$897,$A65,Games!$G$2:$G$897)+SUMIF(Games!$B$2:$B$897,$A65,Games!$H$2:$H$897)</f>
        <v>4035</v>
      </c>
      <c r="M65" s="0" t="n">
        <f aca="false">IFERROR(L65/(B65+C65),0)</f>
        <v>310.384615384615</v>
      </c>
      <c r="N65" s="0" t="n">
        <f aca="false">SUMIF(Games!$A$2:$A$897,$A65,Games!$H$2:$H$897)+SUMIF(Games!$B$2:$B$897,$A65,Games!$G$2:$G$897)</f>
        <v>2703</v>
      </c>
      <c r="O65" s="0" t="n">
        <f aca="false">SUMIF(Games!$A$2:$A$897,$A65,Games!$I$2:$I$897)+SUMIF(Games!$B$2:$B$897,$A65,Games!$J$2:$J$897)</f>
        <v>19</v>
      </c>
      <c r="P65" s="0" t="n">
        <f aca="false">SUMIF(Games!$A$2:$A$897,$A65,Games!$J$2:$J$897)+SUMIF(Games!$B$2:$B$897,$A65,Games!$I$2:$I$897)</f>
        <v>21</v>
      </c>
      <c r="R65" s="0" t="n">
        <f aca="false">IFERROR((K65+N65)/(B65+C65),0)</f>
        <v>343.076923076923</v>
      </c>
      <c r="S65" s="0" t="n">
        <f aca="false">P65-O65</f>
        <v>2</v>
      </c>
      <c r="T65" s="0" t="n">
        <f aca="false">IFERROR((D65/(D65+E65))*(F65/(F65+G65)),0)</f>
        <v>0.151349403018698</v>
      </c>
      <c r="U65" s="0" t="n">
        <f aca="false">RANK(T65,T$2:T$132)</f>
        <v>31</v>
      </c>
      <c r="V65" s="0" t="n">
        <f aca="false">IFERROR((B65/(B65+C65))*25,0)+IFERROR((D65/(D65+E65))*25,0)+IFERROR((F65/(F65+G65))*10,0)+H65+((J65-RMEAN)/RDEV)*5+((M65-PMEAN)/PDEV)*5+((DMEAN-R65)/DDEV)*7+((S65-TOMEAN)/TODEV)*3</f>
        <v>49.4012245805599</v>
      </c>
    </row>
    <row r="66" customFormat="false" ht="15" hidden="false" customHeight="false" outlineLevel="0" collapsed="false">
      <c r="A66" s="0" t="s">
        <v>70</v>
      </c>
      <c r="B66" s="0" t="n">
        <f aca="false">SUMIF(Games!$A$2:$A$897,$A66,Games!$K$2:$K$897)+SUMIF(Games!$B$2:$B$897,$A66,Games!$L$2:$L$897)</f>
        <v>6</v>
      </c>
      <c r="C66" s="0" t="n">
        <f aca="false">SUMIF(Games!$A$2:$A$897,$A66,Games!$L$2:$L$897)+SUMIF(Games!$B$2:$B$897,$A66,Games!$K$2:$K$897)</f>
        <v>7</v>
      </c>
      <c r="D66" s="0" t="n">
        <f aca="false">SUMIF(Games!$A$2:$A$897,$A66,Games!$O$2:$O$897)+SUMIF(Games!$B$2:$B$897,$A66,Games!$M$2:$M$897)</f>
        <v>100</v>
      </c>
      <c r="E66" s="0" t="n">
        <f aca="false">SUMIF(Games!$A$2:$A$897,$A66,Games!$P$2:$P$897)+SUMIF(Games!$B$2:$B$897,$A66,Games!$N$2:$N$897)</f>
        <v>176</v>
      </c>
      <c r="F66" s="0" t="n">
        <f aca="false">SUMIF(Games!$A$2:$A$897,$A66,Games!$S$2:$S$897)+SUMIF(Games!$B$2:$B$897,$A66,Games!$Q$2:$Q$897)</f>
        <v>1997</v>
      </c>
      <c r="G66" s="0" t="n">
        <f aca="false">SUMIF(Games!$A$2:$A$897,$A66,Games!$T$2:$T$897)+SUMIF(Games!$B$2:$B$897,$A66,Games!$R$2:$R$897)</f>
        <v>2951</v>
      </c>
      <c r="H66" s="0" t="n">
        <f aca="false">SUMIF(Games!$A$2:$A$897,$A66,Games!$U$2:$U$897)+SUMIF(Games!$B$2:$B$897,$A66,Games!$V$2:$V$897)</f>
        <v>-5.98322985015193</v>
      </c>
      <c r="I66" s="0" t="n">
        <f aca="false">SUMIF(Games!$A$2:$A$897,$A66,Games!$E$2:$E$897)+SUMIF(Games!$B$2:$B$897,$A66,Games!$F$2:$F$897)</f>
        <v>2034</v>
      </c>
      <c r="J66" s="0" t="n">
        <f aca="false">IFERROR(I66/(B66+C66),0)</f>
        <v>156.461538461538</v>
      </c>
      <c r="K66" s="0" t="n">
        <f aca="false">SUMIF(Games!$A$2:$A$897,$A66,Games!$F$2:$F$897)+SUMIF(Games!$B$2:$B$897,$A66,Games!$E$2:$E$897)</f>
        <v>1632</v>
      </c>
      <c r="L66" s="0" t="n">
        <f aca="false">SUMIF(Games!$A$2:$A$897,$A66,Games!$G$2:$G$897)+SUMIF(Games!$B$2:$B$897,$A66,Games!$H$2:$H$897)</f>
        <v>2771</v>
      </c>
      <c r="M66" s="0" t="n">
        <f aca="false">IFERROR(L66/(B66+C66),0)</f>
        <v>213.153846153846</v>
      </c>
      <c r="N66" s="0" t="n">
        <f aca="false">SUMIF(Games!$A$2:$A$897,$A66,Games!$H$2:$H$897)+SUMIF(Games!$B$2:$B$897,$A66,Games!$G$2:$G$897)</f>
        <v>2799</v>
      </c>
      <c r="O66" s="0" t="n">
        <f aca="false">SUMIF(Games!$A$2:$A$897,$A66,Games!$I$2:$I$897)+SUMIF(Games!$B$2:$B$897,$A66,Games!$J$2:$J$897)</f>
        <v>20</v>
      </c>
      <c r="P66" s="0" t="n">
        <f aca="false">SUMIF(Games!$A$2:$A$897,$A66,Games!$J$2:$J$897)+SUMIF(Games!$B$2:$B$897,$A66,Games!$I$2:$I$897)</f>
        <v>18</v>
      </c>
      <c r="R66" s="0" t="n">
        <f aca="false">IFERROR((K66+N66)/(B66+C66),0)</f>
        <v>340.846153846154</v>
      </c>
      <c r="S66" s="0" t="n">
        <f aca="false">P66-O66</f>
        <v>-2</v>
      </c>
      <c r="T66" s="0" t="n">
        <f aca="false">IFERROR((D66/(D66+E66))*(F66/(F66+G66)),0)</f>
        <v>0.146230946773986</v>
      </c>
      <c r="U66" s="0" t="n">
        <f aca="false">RANK(T66,T$2:T$132)</f>
        <v>46</v>
      </c>
      <c r="V66" s="0" t="n">
        <f aca="false">IFERROR((B66/(B66+C66))*25,0)+IFERROR((D66/(D66+E66))*25,0)+IFERROR((F66/(F66+G66))*10,0)+H66+((J66-RMEAN)/RDEV)*5+((M66-PMEAN)/PDEV)*5+((DMEAN-R66)/DDEV)*7+((S66-TOMEAN)/TODEV)*3</f>
        <v>20.6312719454294</v>
      </c>
    </row>
    <row r="67" customFormat="false" ht="15" hidden="false" customHeight="false" outlineLevel="0" collapsed="false">
      <c r="A67" s="0" t="s">
        <v>71</v>
      </c>
      <c r="B67" s="0" t="n">
        <f aca="false">SUMIF(Games!$A$2:$A$897,$A67,Games!$K$2:$K$897)+SUMIF(Games!$B$2:$B$897,$A67,Games!$L$2:$L$897)</f>
        <v>8</v>
      </c>
      <c r="C67" s="0" t="n">
        <f aca="false">SUMIF(Games!$A$2:$A$897,$A67,Games!$L$2:$L$897)+SUMIF(Games!$B$2:$B$897,$A67,Games!$K$2:$K$897)</f>
        <v>5</v>
      </c>
      <c r="D67" s="0" t="n">
        <f aca="false">SUMIF(Games!$A$2:$A$897,$A67,Games!$O$2:$O$897)+SUMIF(Games!$B$2:$B$897,$A67,Games!$M$2:$M$897)</f>
        <v>97</v>
      </c>
      <c r="E67" s="0" t="n">
        <f aca="false">SUMIF(Games!$A$2:$A$897,$A67,Games!$P$2:$P$897)+SUMIF(Games!$B$2:$B$897,$A67,Games!$N$2:$N$897)</f>
        <v>178</v>
      </c>
      <c r="F67" s="0" t="n">
        <f aca="false">SUMIF(Games!$A$2:$A$897,$A67,Games!$S$2:$S$897)+SUMIF(Games!$B$2:$B$897,$A67,Games!$Q$2:$Q$897)</f>
        <v>1913</v>
      </c>
      <c r="G67" s="0" t="n">
        <f aca="false">SUMIF(Games!$A$2:$A$897,$A67,Games!$T$2:$T$897)+SUMIF(Games!$B$2:$B$897,$A67,Games!$R$2:$R$897)</f>
        <v>2669</v>
      </c>
      <c r="H67" s="0" t="n">
        <f aca="false">SUMIF(Games!$A$2:$A$897,$A67,Games!$U$2:$U$897)+SUMIF(Games!$B$2:$B$897,$A67,Games!$V$2:$V$897)</f>
        <v>2.60140950852784</v>
      </c>
      <c r="I67" s="0" t="n">
        <f aca="false">SUMIF(Games!$A$2:$A$897,$A67,Games!$E$2:$E$897)+SUMIF(Games!$B$2:$B$897,$A67,Games!$F$2:$F$897)</f>
        <v>1479</v>
      </c>
      <c r="J67" s="0" t="n">
        <f aca="false">IFERROR(I67/(B67+C67),0)</f>
        <v>113.769230769231</v>
      </c>
      <c r="K67" s="0" t="n">
        <f aca="false">SUMIF(Games!$A$2:$A$897,$A67,Games!$F$2:$F$897)+SUMIF(Games!$B$2:$B$897,$A67,Games!$E$2:$E$897)</f>
        <v>1309</v>
      </c>
      <c r="L67" s="0" t="n">
        <f aca="false">SUMIF(Games!$A$2:$A$897,$A67,Games!$G$2:$G$897)+SUMIF(Games!$B$2:$B$897,$A67,Games!$H$2:$H$897)</f>
        <v>2939</v>
      </c>
      <c r="M67" s="0" t="n">
        <f aca="false">IFERROR(L67/(B67+C67),0)</f>
        <v>226.076923076923</v>
      </c>
      <c r="N67" s="0" t="n">
        <f aca="false">SUMIF(Games!$A$2:$A$897,$A67,Games!$H$2:$H$897)+SUMIF(Games!$B$2:$B$897,$A67,Games!$G$2:$G$897)</f>
        <v>2941</v>
      </c>
      <c r="O67" s="0" t="n">
        <f aca="false">SUMIF(Games!$A$2:$A$897,$A67,Games!$I$2:$I$897)+SUMIF(Games!$B$2:$B$897,$A67,Games!$J$2:$J$897)</f>
        <v>16</v>
      </c>
      <c r="P67" s="0" t="n">
        <f aca="false">SUMIF(Games!$A$2:$A$897,$A67,Games!$J$2:$J$897)+SUMIF(Games!$B$2:$B$897,$A67,Games!$I$2:$I$897)</f>
        <v>22</v>
      </c>
      <c r="R67" s="0" t="n">
        <f aca="false">IFERROR((K67+N67)/(B67+C67),0)</f>
        <v>326.923076923077</v>
      </c>
      <c r="S67" s="0" t="n">
        <f aca="false">P67-O67</f>
        <v>6</v>
      </c>
      <c r="T67" s="0" t="n">
        <f aca="false">IFERROR((D67/(D67+E67))*(F67/(F67+G67)),0)</f>
        <v>0.147264791079719</v>
      </c>
      <c r="U67" s="0" t="n">
        <f aca="false">RANK(T67,T$2:T$132)</f>
        <v>41</v>
      </c>
      <c r="V67" s="0" t="n">
        <f aca="false">IFERROR((B67/(B67+C67))*25,0)+IFERROR((D67/(D67+E67))*25,0)+IFERROR((F67/(F67+G67))*10,0)+H67+((J67-RMEAN)/RDEV)*5+((M67-PMEAN)/PDEV)*5+((DMEAN-R67)/DDEV)*7+((S67-TOMEAN)/TODEV)*3</f>
        <v>34.8588287863928</v>
      </c>
    </row>
    <row r="68" customFormat="false" ht="15" hidden="false" customHeight="false" outlineLevel="0" collapsed="false">
      <c r="A68" s="0" t="s">
        <v>72</v>
      </c>
      <c r="B68" s="0" t="n">
        <f aca="false">SUMIF(Games!$A$2:$A$897,$A68,Games!$K$2:$K$897)+SUMIF(Games!$B$2:$B$897,$A68,Games!$L$2:$L$897)</f>
        <v>4</v>
      </c>
      <c r="C68" s="0" t="n">
        <f aca="false">SUMIF(Games!$A$2:$A$897,$A68,Games!$L$2:$L$897)+SUMIF(Games!$B$2:$B$897,$A68,Games!$K$2:$K$897)</f>
        <v>8</v>
      </c>
      <c r="D68" s="0" t="n">
        <f aca="false">SUMIF(Games!$A$2:$A$897,$A68,Games!$O$2:$O$897)+SUMIF(Games!$B$2:$B$897,$A68,Games!$M$2:$M$897)</f>
        <v>89</v>
      </c>
      <c r="E68" s="0" t="n">
        <f aca="false">SUMIF(Games!$A$2:$A$897,$A68,Games!$P$2:$P$897)+SUMIF(Games!$B$2:$B$897,$A68,Games!$N$2:$N$897)</f>
        <v>172</v>
      </c>
      <c r="F68" s="0" t="n">
        <f aca="false">SUMIF(Games!$A$2:$A$897,$A68,Games!$S$2:$S$897)+SUMIF(Games!$B$2:$B$897,$A68,Games!$Q$2:$Q$897)</f>
        <v>1740</v>
      </c>
      <c r="G68" s="0" t="n">
        <f aca="false">SUMIF(Games!$A$2:$A$897,$A68,Games!$T$2:$T$897)+SUMIF(Games!$B$2:$B$897,$A68,Games!$R$2:$R$897)</f>
        <v>2667</v>
      </c>
      <c r="H68" s="0" t="n">
        <f aca="false">SUMIF(Games!$A$2:$A$897,$A68,Games!$U$2:$U$897)+SUMIF(Games!$B$2:$B$897,$A68,Games!$V$2:$V$897)</f>
        <v>-14.3865497694853</v>
      </c>
      <c r="I68" s="0" t="n">
        <f aca="false">SUMIF(Games!$A$2:$A$897,$A68,Games!$E$2:$E$897)+SUMIF(Games!$B$2:$B$897,$A68,Games!$F$2:$F$897)</f>
        <v>2894</v>
      </c>
      <c r="J68" s="0" t="n">
        <f aca="false">IFERROR(I68/(B68+C68),0)</f>
        <v>241.166666666667</v>
      </c>
      <c r="K68" s="0" t="n">
        <f aca="false">SUMIF(Games!$A$2:$A$897,$A68,Games!$F$2:$F$897)+SUMIF(Games!$B$2:$B$897,$A68,Games!$E$2:$E$897)</f>
        <v>1067</v>
      </c>
      <c r="L68" s="0" t="n">
        <f aca="false">SUMIF(Games!$A$2:$A$897,$A68,Games!$G$2:$G$897)+SUMIF(Games!$B$2:$B$897,$A68,Games!$H$2:$H$897)</f>
        <v>1030</v>
      </c>
      <c r="M68" s="0" t="n">
        <f aca="false">IFERROR(L68/(B68+C68),0)</f>
        <v>85.8333333333333</v>
      </c>
      <c r="N68" s="0" t="n">
        <f aca="false">SUMIF(Games!$A$2:$A$897,$A68,Games!$H$2:$H$897)+SUMIF(Games!$B$2:$B$897,$A68,Games!$G$2:$G$897)</f>
        <v>3002</v>
      </c>
      <c r="O68" s="0" t="n">
        <f aca="false">SUMIF(Games!$A$2:$A$897,$A68,Games!$I$2:$I$897)+SUMIF(Games!$B$2:$B$897,$A68,Games!$J$2:$J$897)</f>
        <v>15</v>
      </c>
      <c r="P68" s="0" t="n">
        <f aca="false">SUMIF(Games!$A$2:$A$897,$A68,Games!$J$2:$J$897)+SUMIF(Games!$B$2:$B$897,$A68,Games!$I$2:$I$897)</f>
        <v>18</v>
      </c>
      <c r="R68" s="0" t="n">
        <f aca="false">IFERROR((K68+N68)/(B68+C68),0)</f>
        <v>339.083333333333</v>
      </c>
      <c r="S68" s="0" t="n">
        <f aca="false">P68-O68</f>
        <v>3</v>
      </c>
      <c r="T68" s="0" t="n">
        <f aca="false">IFERROR((D68/(D68+E68))*(F68/(F68+G68)),0)</f>
        <v>0.134634293926329</v>
      </c>
      <c r="U68" s="0" t="n">
        <f aca="false">RANK(T68,T$2:T$132)</f>
        <v>65</v>
      </c>
      <c r="V68" s="0" t="n">
        <f aca="false">IFERROR((B68/(B68+C68))*25,0)+IFERROR((D68/(D68+E68))*25,0)+IFERROR((F68/(F68+G68))*10,0)+H68+((J68-RMEAN)/RDEV)*5+((M68-PMEAN)/PDEV)*5+((DMEAN-R68)/DDEV)*7+((S68-TOMEAN)/TODEV)*3</f>
        <v>8.04705830708343</v>
      </c>
    </row>
    <row r="69" customFormat="false" ht="15" hidden="false" customHeight="false" outlineLevel="0" collapsed="false">
      <c r="A69" s="0" t="s">
        <v>73</v>
      </c>
      <c r="B69" s="0" t="n">
        <f aca="false">SUMIF(Games!$A$2:$A$897,$A69,Games!$K$2:$K$897)+SUMIF(Games!$B$2:$B$897,$A69,Games!$L$2:$L$897)</f>
        <v>4</v>
      </c>
      <c r="C69" s="0" t="n">
        <f aca="false">SUMIF(Games!$A$2:$A$897,$A69,Games!$L$2:$L$897)+SUMIF(Games!$B$2:$B$897,$A69,Games!$K$2:$K$897)</f>
        <v>8</v>
      </c>
      <c r="D69" s="0" t="n">
        <f aca="false">SUMIF(Games!$A$2:$A$897,$A69,Games!$O$2:$O$897)+SUMIF(Games!$B$2:$B$897,$A69,Games!$M$2:$M$897)</f>
        <v>82</v>
      </c>
      <c r="E69" s="0" t="n">
        <f aca="false">SUMIF(Games!$A$2:$A$897,$A69,Games!$P$2:$P$897)+SUMIF(Games!$B$2:$B$897,$A69,Games!$N$2:$N$897)</f>
        <v>180</v>
      </c>
      <c r="F69" s="0" t="n">
        <f aca="false">SUMIF(Games!$A$2:$A$897,$A69,Games!$S$2:$S$897)+SUMIF(Games!$B$2:$B$897,$A69,Games!$Q$2:$Q$897)</f>
        <v>1805</v>
      </c>
      <c r="G69" s="0" t="n">
        <f aca="false">SUMIF(Games!$A$2:$A$897,$A69,Games!$T$2:$T$897)+SUMIF(Games!$B$2:$B$897,$A69,Games!$R$2:$R$897)</f>
        <v>2503</v>
      </c>
      <c r="H69" s="0" t="n">
        <f aca="false">SUMIF(Games!$A$2:$A$897,$A69,Games!$U$2:$U$897)+SUMIF(Games!$B$2:$B$897,$A69,Games!$V$2:$V$897)</f>
        <v>-16.4488682137832</v>
      </c>
      <c r="I69" s="0" t="n">
        <f aca="false">SUMIF(Games!$A$2:$A$897,$A69,Games!$E$2:$E$897)+SUMIF(Games!$B$2:$B$897,$A69,Games!$F$2:$F$897)</f>
        <v>1480</v>
      </c>
      <c r="J69" s="0" t="n">
        <f aca="false">IFERROR(I69/(B69+C69),0)</f>
        <v>123.333333333333</v>
      </c>
      <c r="K69" s="0" t="n">
        <f aca="false">SUMIF(Games!$A$2:$A$897,$A69,Games!$F$2:$F$897)+SUMIF(Games!$B$2:$B$897,$A69,Games!$E$2:$E$897)</f>
        <v>2269</v>
      </c>
      <c r="L69" s="0" t="n">
        <f aca="false">SUMIF(Games!$A$2:$A$897,$A69,Games!$G$2:$G$897)+SUMIF(Games!$B$2:$B$897,$A69,Games!$H$2:$H$897)</f>
        <v>2650</v>
      </c>
      <c r="M69" s="0" t="n">
        <f aca="false">IFERROR(L69/(B69+C69),0)</f>
        <v>220.833333333333</v>
      </c>
      <c r="N69" s="0" t="n">
        <f aca="false">SUMIF(Games!$A$2:$A$897,$A69,Games!$H$2:$H$897)+SUMIF(Games!$B$2:$B$897,$A69,Games!$G$2:$G$897)</f>
        <v>2704</v>
      </c>
      <c r="O69" s="0" t="n">
        <f aca="false">SUMIF(Games!$A$2:$A$897,$A69,Games!$I$2:$I$897)+SUMIF(Games!$B$2:$B$897,$A69,Games!$J$2:$J$897)</f>
        <v>19</v>
      </c>
      <c r="P69" s="0" t="n">
        <f aca="false">SUMIF(Games!$A$2:$A$897,$A69,Games!$J$2:$J$897)+SUMIF(Games!$B$2:$B$897,$A69,Games!$I$2:$I$897)</f>
        <v>16</v>
      </c>
      <c r="R69" s="0" t="n">
        <f aca="false">IFERROR((K69+N69)/(B69+C69),0)</f>
        <v>414.416666666667</v>
      </c>
      <c r="S69" s="0" t="n">
        <f aca="false">P69-O69</f>
        <v>-3</v>
      </c>
      <c r="T69" s="0" t="n">
        <f aca="false">IFERROR((D69/(D69+E69))*(F69/(F69+G69)),0)</f>
        <v>0.131133626769298</v>
      </c>
      <c r="U69" s="0" t="n">
        <f aca="false">RANK(T69,T$2:T$132)</f>
        <v>75</v>
      </c>
      <c r="V69" s="0" t="n">
        <f aca="false">IFERROR((B69/(B69+C69))*25,0)+IFERROR((D69/(D69+E69))*25,0)+IFERROR((F69/(F69+G69))*10,0)+H69+((J69-RMEAN)/RDEV)*5+((M69-PMEAN)/PDEV)*5+((DMEAN-R69)/DDEV)*7+((S69-TOMEAN)/TODEV)*3</f>
        <v>-7.47367309118995</v>
      </c>
    </row>
    <row r="70" customFormat="false" ht="15" hidden="false" customHeight="false" outlineLevel="0" collapsed="false">
      <c r="A70" s="0" t="s">
        <v>74</v>
      </c>
      <c r="B70" s="0" t="n">
        <f aca="false">SUMIF(Games!$A$2:$A$897,$A70,Games!$K$2:$K$897)+SUMIF(Games!$B$2:$B$897,$A70,Games!$L$2:$L$897)</f>
        <v>2</v>
      </c>
      <c r="C70" s="0" t="n">
        <f aca="false">SUMIF(Games!$A$2:$A$897,$A70,Games!$L$2:$L$897)+SUMIF(Games!$B$2:$B$897,$A70,Games!$K$2:$K$897)</f>
        <v>10</v>
      </c>
      <c r="D70" s="0" t="n">
        <f aca="false">SUMIF(Games!$A$2:$A$897,$A70,Games!$O$2:$O$897)+SUMIF(Games!$B$2:$B$897,$A70,Games!$M$2:$M$897)</f>
        <v>82</v>
      </c>
      <c r="E70" s="0" t="n">
        <f aca="false">SUMIF(Games!$A$2:$A$897,$A70,Games!$P$2:$P$897)+SUMIF(Games!$B$2:$B$897,$A70,Games!$N$2:$N$897)</f>
        <v>179</v>
      </c>
      <c r="F70" s="0" t="n">
        <f aca="false">SUMIF(Games!$A$2:$A$897,$A70,Games!$S$2:$S$897)+SUMIF(Games!$B$2:$B$897,$A70,Games!$Q$2:$Q$897)</f>
        <v>1699</v>
      </c>
      <c r="G70" s="0" t="n">
        <f aca="false">SUMIF(Games!$A$2:$A$897,$A70,Games!$T$2:$T$897)+SUMIF(Games!$B$2:$B$897,$A70,Games!$R$2:$R$897)</f>
        <v>2916</v>
      </c>
      <c r="H70" s="0" t="n">
        <f aca="false">SUMIF(Games!$A$2:$A$897,$A70,Games!$U$2:$U$897)+SUMIF(Games!$B$2:$B$897,$A70,Games!$V$2:$V$897)</f>
        <v>-45.11657713699</v>
      </c>
      <c r="I70" s="0" t="n">
        <f aca="false">SUMIF(Games!$A$2:$A$897,$A70,Games!$E$2:$E$897)+SUMIF(Games!$B$2:$B$897,$A70,Games!$F$2:$F$897)</f>
        <v>1427</v>
      </c>
      <c r="J70" s="0" t="n">
        <f aca="false">IFERROR(I70/(B70+C70),0)</f>
        <v>118.916666666667</v>
      </c>
      <c r="K70" s="0" t="n">
        <f aca="false">SUMIF(Games!$A$2:$A$897,$A70,Games!$F$2:$F$897)+SUMIF(Games!$B$2:$B$897,$A70,Games!$E$2:$E$897)</f>
        <v>1991</v>
      </c>
      <c r="L70" s="0" t="n">
        <f aca="false">SUMIF(Games!$A$2:$A$897,$A70,Games!$G$2:$G$897)+SUMIF(Games!$B$2:$B$897,$A70,Games!$H$2:$H$897)</f>
        <v>2227</v>
      </c>
      <c r="M70" s="0" t="n">
        <f aca="false">IFERROR(L70/(B70+C70),0)</f>
        <v>185.583333333333</v>
      </c>
      <c r="N70" s="0" t="n">
        <f aca="false">SUMIF(Games!$A$2:$A$897,$A70,Games!$H$2:$H$897)+SUMIF(Games!$B$2:$B$897,$A70,Games!$G$2:$G$897)</f>
        <v>2746</v>
      </c>
      <c r="O70" s="0" t="n">
        <f aca="false">SUMIF(Games!$A$2:$A$897,$A70,Games!$I$2:$I$897)+SUMIF(Games!$B$2:$B$897,$A70,Games!$J$2:$J$897)</f>
        <v>17</v>
      </c>
      <c r="P70" s="0" t="n">
        <f aca="false">SUMIF(Games!$A$2:$A$897,$A70,Games!$J$2:$J$897)+SUMIF(Games!$B$2:$B$897,$A70,Games!$I$2:$I$897)</f>
        <v>19</v>
      </c>
      <c r="R70" s="0" t="n">
        <f aca="false">IFERROR((K70+N70)/(B70+C70),0)</f>
        <v>394.75</v>
      </c>
      <c r="S70" s="0" t="n">
        <f aca="false">P70-O70</f>
        <v>2</v>
      </c>
      <c r="T70" s="0" t="n">
        <f aca="false">IFERROR((D70/(D70+E70))*(F70/(F70+G70)),0)</f>
        <v>0.115663150728717</v>
      </c>
      <c r="U70" s="0" t="n">
        <f aca="false">RANK(T70,T$2:T$132)</f>
        <v>111</v>
      </c>
      <c r="V70" s="0" t="n">
        <f aca="false">IFERROR((B70/(B70+C70))*25,0)+IFERROR((D70/(D70+E70))*25,0)+IFERROR((F70/(F70+G70))*10,0)+H70+((J70-RMEAN)/RDEV)*5+((M70-PMEAN)/PDEV)*5+((DMEAN-R70)/DDEV)*7+((S70-TOMEAN)/TODEV)*3</f>
        <v>-39.7807410067922</v>
      </c>
    </row>
    <row r="71" customFormat="false" ht="15" hidden="false" customHeight="false" outlineLevel="0" collapsed="false">
      <c r="A71" s="0" t="s">
        <v>75</v>
      </c>
      <c r="B71" s="0" t="n">
        <f aca="false">SUMIF(Games!$A$2:$A$897,$A71,Games!$K$2:$K$897)+SUMIF(Games!$B$2:$B$897,$A71,Games!$L$2:$L$897)</f>
        <v>2</v>
      </c>
      <c r="C71" s="0" t="n">
        <f aca="false">SUMIF(Games!$A$2:$A$897,$A71,Games!$L$2:$L$897)+SUMIF(Games!$B$2:$B$897,$A71,Games!$K$2:$K$897)</f>
        <v>10</v>
      </c>
      <c r="D71" s="0" t="n">
        <f aca="false">SUMIF(Games!$A$2:$A$897,$A71,Games!$O$2:$O$897)+SUMIF(Games!$B$2:$B$897,$A71,Games!$M$2:$M$897)</f>
        <v>88</v>
      </c>
      <c r="E71" s="0" t="n">
        <f aca="false">SUMIF(Games!$A$2:$A$897,$A71,Games!$P$2:$P$897)+SUMIF(Games!$B$2:$B$897,$A71,Games!$N$2:$N$897)</f>
        <v>175</v>
      </c>
      <c r="F71" s="0" t="n">
        <f aca="false">SUMIF(Games!$A$2:$A$897,$A71,Games!$S$2:$S$897)+SUMIF(Games!$B$2:$B$897,$A71,Games!$Q$2:$Q$897)</f>
        <v>1738</v>
      </c>
      <c r="G71" s="0" t="n">
        <f aca="false">SUMIF(Games!$A$2:$A$897,$A71,Games!$T$2:$T$897)+SUMIF(Games!$B$2:$B$897,$A71,Games!$R$2:$R$897)</f>
        <v>2805</v>
      </c>
      <c r="H71" s="0" t="n">
        <f aca="false">SUMIF(Games!$A$2:$A$897,$A71,Games!$U$2:$U$897)+SUMIF(Games!$B$2:$B$897,$A71,Games!$V$2:$V$897)</f>
        <v>-52.1415125084791</v>
      </c>
      <c r="I71" s="0" t="n">
        <f aca="false">SUMIF(Games!$A$2:$A$897,$A71,Games!$E$2:$E$897)+SUMIF(Games!$B$2:$B$897,$A71,Games!$F$2:$F$897)</f>
        <v>1456</v>
      </c>
      <c r="J71" s="0" t="n">
        <f aca="false">IFERROR(I71/(B71+C71),0)</f>
        <v>121.333333333333</v>
      </c>
      <c r="K71" s="0" t="n">
        <f aca="false">SUMIF(Games!$A$2:$A$897,$A71,Games!$F$2:$F$897)+SUMIF(Games!$B$2:$B$897,$A71,Games!$E$2:$E$897)</f>
        <v>1898</v>
      </c>
      <c r="L71" s="0" t="n">
        <f aca="false">SUMIF(Games!$A$2:$A$897,$A71,Games!$G$2:$G$897)+SUMIF(Games!$B$2:$B$897,$A71,Games!$H$2:$H$897)</f>
        <v>1266</v>
      </c>
      <c r="M71" s="0" t="n">
        <f aca="false">IFERROR(L71/(B71+C71),0)</f>
        <v>105.5</v>
      </c>
      <c r="N71" s="0" t="n">
        <f aca="false">SUMIF(Games!$A$2:$A$897,$A71,Games!$H$2:$H$897)+SUMIF(Games!$B$2:$B$897,$A71,Games!$G$2:$G$897)</f>
        <v>2433</v>
      </c>
      <c r="O71" s="0" t="n">
        <f aca="false">SUMIF(Games!$A$2:$A$897,$A71,Games!$I$2:$I$897)+SUMIF(Games!$B$2:$B$897,$A71,Games!$J$2:$J$897)</f>
        <v>14</v>
      </c>
      <c r="P71" s="0" t="n">
        <f aca="false">SUMIF(Games!$A$2:$A$897,$A71,Games!$J$2:$J$897)+SUMIF(Games!$B$2:$B$897,$A71,Games!$I$2:$I$897)</f>
        <v>17</v>
      </c>
      <c r="R71" s="0" t="n">
        <f aca="false">IFERROR((K71+N71)/(B71+C71),0)</f>
        <v>360.916666666667</v>
      </c>
      <c r="S71" s="0" t="n">
        <f aca="false">P71-O71</f>
        <v>3</v>
      </c>
      <c r="T71" s="0" t="n">
        <f aca="false">IFERROR((D71/(D71+E71))*(F71/(F71+G71)),0)</f>
        <v>0.128007070586177</v>
      </c>
      <c r="U71" s="0" t="n">
        <f aca="false">RANK(T71,T$2:T$132)</f>
        <v>84</v>
      </c>
      <c r="V71" s="0" t="n">
        <f aca="false">IFERROR((B71/(B71+C71))*25,0)+IFERROR((D71/(D71+E71))*25,0)+IFERROR((F71/(F71+G71))*10,0)+H71+((J71-RMEAN)/RDEV)*5+((M71-PMEAN)/PDEV)*5+((DMEAN-R71)/DDEV)*7+((S71-TOMEAN)/TODEV)*3</f>
        <v>-48.4841197896519</v>
      </c>
    </row>
    <row r="72" customFormat="false" ht="15" hidden="false" customHeight="false" outlineLevel="0" collapsed="false">
      <c r="A72" s="0" t="s">
        <v>76</v>
      </c>
      <c r="B72" s="0" t="n">
        <f aca="false">SUMIF(Games!$A$2:$A$897,$A72,Games!$K$2:$K$897)+SUMIF(Games!$B$2:$B$897,$A72,Games!$L$2:$L$897)</f>
        <v>7</v>
      </c>
      <c r="C72" s="0" t="n">
        <f aca="false">SUMIF(Games!$A$2:$A$897,$A72,Games!$L$2:$L$897)+SUMIF(Games!$B$2:$B$897,$A72,Games!$K$2:$K$897)</f>
        <v>6</v>
      </c>
      <c r="D72" s="0" t="n">
        <f aca="false">SUMIF(Games!$A$2:$A$897,$A72,Games!$O$2:$O$897)+SUMIF(Games!$B$2:$B$897,$A72,Games!$M$2:$M$897)</f>
        <v>69</v>
      </c>
      <c r="E72" s="0" t="n">
        <f aca="false">SUMIF(Games!$A$2:$A$897,$A72,Games!$P$2:$P$897)+SUMIF(Games!$B$2:$B$897,$A72,Games!$N$2:$N$897)</f>
        <v>309</v>
      </c>
      <c r="F72" s="0" t="n">
        <f aca="false">SUMIF(Games!$A$2:$A$897,$A72,Games!$S$2:$S$897)+SUMIF(Games!$B$2:$B$897,$A72,Games!$Q$2:$Q$897)</f>
        <v>2535</v>
      </c>
      <c r="G72" s="0" t="n">
        <f aca="false">SUMIF(Games!$A$2:$A$897,$A72,Games!$T$2:$T$897)+SUMIF(Games!$B$2:$B$897,$A72,Games!$R$2:$R$897)</f>
        <v>3367</v>
      </c>
      <c r="H72" s="0" t="n">
        <f aca="false">SUMIF(Games!$A$2:$A$897,$A72,Games!$U$2:$U$897)+SUMIF(Games!$B$2:$B$897,$A72,Games!$V$2:$V$897)</f>
        <v>-32.5878657586721</v>
      </c>
      <c r="I72" s="0" t="n">
        <f aca="false">SUMIF(Games!$A$2:$A$897,$A72,Games!$E$2:$E$897)+SUMIF(Games!$B$2:$B$897,$A72,Games!$F$2:$F$897)</f>
        <v>2101</v>
      </c>
      <c r="J72" s="0" t="n">
        <f aca="false">IFERROR(I72/(B72+C72),0)</f>
        <v>161.615384615385</v>
      </c>
      <c r="K72" s="0" t="n">
        <f aca="false">SUMIF(Games!$A$2:$A$897,$A72,Games!$F$2:$F$897)+SUMIF(Games!$B$2:$B$897,$A72,Games!$E$2:$E$897)</f>
        <v>1933</v>
      </c>
      <c r="L72" s="0" t="n">
        <f aca="false">SUMIF(Games!$A$2:$A$897,$A72,Games!$G$2:$G$897)+SUMIF(Games!$B$2:$B$897,$A72,Games!$H$2:$H$897)</f>
        <v>2199</v>
      </c>
      <c r="M72" s="0" t="n">
        <f aca="false">IFERROR(L72/(B72+C72),0)</f>
        <v>169.153846153846</v>
      </c>
      <c r="N72" s="0" t="n">
        <f aca="false">SUMIF(Games!$A$2:$A$897,$A72,Games!$H$2:$H$897)+SUMIF(Games!$B$2:$B$897,$A72,Games!$G$2:$G$897)</f>
        <v>2438</v>
      </c>
      <c r="O72" s="0" t="n">
        <f aca="false">SUMIF(Games!$A$2:$A$897,$A72,Games!$I$2:$I$897)+SUMIF(Games!$B$2:$B$897,$A72,Games!$J$2:$J$897)</f>
        <v>18</v>
      </c>
      <c r="P72" s="0" t="n">
        <f aca="false">SUMIF(Games!$A$2:$A$897,$A72,Games!$J$2:$J$897)+SUMIF(Games!$B$2:$B$897,$A72,Games!$I$2:$I$897)</f>
        <v>14</v>
      </c>
      <c r="R72" s="0" t="n">
        <f aca="false">IFERROR((K72+N72)/(B72+C72),0)</f>
        <v>336.230769230769</v>
      </c>
      <c r="S72" s="0" t="n">
        <f aca="false">P72-O72</f>
        <v>-4</v>
      </c>
      <c r="T72" s="0" t="n">
        <f aca="false">IFERROR((D72/(D72+E72))*(F72/(F72+G72)),0)</f>
        <v>0.078403608139291</v>
      </c>
      <c r="U72" s="0" t="n">
        <f aca="false">RANK(T72,T$2:T$132)</f>
        <v>131</v>
      </c>
      <c r="V72" s="0" t="n">
        <f aca="false">IFERROR((B72/(B72+C72))*25,0)+IFERROR((D72/(D72+E72))*25,0)+IFERROR((F72/(F72+G72))*10,0)+H72+((J72-RMEAN)/RDEV)*5+((M72-PMEAN)/PDEV)*5+((DMEAN-R72)/DDEV)*7+((S72-TOMEAN)/TODEV)*3</f>
        <v>-12.1549989271399</v>
      </c>
    </row>
    <row r="73" customFormat="false" ht="15" hidden="false" customHeight="false" outlineLevel="0" collapsed="false">
      <c r="A73" s="0" t="s">
        <v>77</v>
      </c>
      <c r="B73" s="0" t="n">
        <f aca="false">SUMIF(Games!$A$2:$A$897,$A73,Games!$K$2:$K$897)+SUMIF(Games!$B$2:$B$897,$A73,Games!$L$2:$L$897)</f>
        <v>9</v>
      </c>
      <c r="C73" s="0" t="n">
        <f aca="false">SUMIF(Games!$A$2:$A$897,$A73,Games!$L$2:$L$897)+SUMIF(Games!$B$2:$B$897,$A73,Games!$K$2:$K$897)</f>
        <v>5</v>
      </c>
      <c r="D73" s="0" t="n">
        <f aca="false">SUMIF(Games!$A$2:$A$897,$A73,Games!$O$2:$O$897)+SUMIF(Games!$B$2:$B$897,$A73,Games!$M$2:$M$897)</f>
        <v>98</v>
      </c>
      <c r="E73" s="0" t="n">
        <f aca="false">SUMIF(Games!$A$2:$A$897,$A73,Games!$P$2:$P$897)+SUMIF(Games!$B$2:$B$897,$A73,Games!$N$2:$N$897)</f>
        <v>183</v>
      </c>
      <c r="F73" s="0" t="n">
        <f aca="false">SUMIF(Games!$A$2:$A$897,$A73,Games!$S$2:$S$897)+SUMIF(Games!$B$2:$B$897,$A73,Games!$Q$2:$Q$897)</f>
        <v>1946</v>
      </c>
      <c r="G73" s="0" t="n">
        <f aca="false">SUMIF(Games!$A$2:$A$897,$A73,Games!$T$2:$T$897)+SUMIF(Games!$B$2:$B$897,$A73,Games!$R$2:$R$897)</f>
        <v>2916</v>
      </c>
      <c r="H73" s="0" t="n">
        <f aca="false">SUMIF(Games!$A$2:$A$897,$A73,Games!$U$2:$U$897)+SUMIF(Games!$B$2:$B$897,$A73,Games!$V$2:$V$897)</f>
        <v>2.66175102339389</v>
      </c>
      <c r="I73" s="0" t="n">
        <f aca="false">SUMIF(Games!$A$2:$A$897,$A73,Games!$E$2:$E$897)+SUMIF(Games!$B$2:$B$897,$A73,Games!$F$2:$F$897)</f>
        <v>2148</v>
      </c>
      <c r="J73" s="0" t="n">
        <f aca="false">IFERROR(I73/(B73+C73),0)</f>
        <v>153.428571428571</v>
      </c>
      <c r="K73" s="0" t="n">
        <f aca="false">SUMIF(Games!$A$2:$A$897,$A73,Games!$F$2:$F$897)+SUMIF(Games!$B$2:$B$897,$A73,Games!$E$2:$E$897)</f>
        <v>2313</v>
      </c>
      <c r="L73" s="0" t="n">
        <f aca="false">SUMIF(Games!$A$2:$A$897,$A73,Games!$G$2:$G$897)+SUMIF(Games!$B$2:$B$897,$A73,Games!$H$2:$H$897)</f>
        <v>4330</v>
      </c>
      <c r="M73" s="0" t="n">
        <f aca="false">IFERROR(L73/(B73+C73),0)</f>
        <v>309.285714285714</v>
      </c>
      <c r="N73" s="0" t="n">
        <f aca="false">SUMIF(Games!$A$2:$A$897,$A73,Games!$H$2:$H$897)+SUMIF(Games!$B$2:$B$897,$A73,Games!$G$2:$G$897)</f>
        <v>3798</v>
      </c>
      <c r="O73" s="0" t="n">
        <f aca="false">SUMIF(Games!$A$2:$A$897,$A73,Games!$I$2:$I$897)+SUMIF(Games!$B$2:$B$897,$A73,Games!$J$2:$J$897)</f>
        <v>14</v>
      </c>
      <c r="P73" s="0" t="n">
        <f aca="false">SUMIF(Games!$A$2:$A$897,$A73,Games!$J$2:$J$897)+SUMIF(Games!$B$2:$B$897,$A73,Games!$I$2:$I$897)</f>
        <v>14</v>
      </c>
      <c r="R73" s="0" t="n">
        <f aca="false">IFERROR((K73+N73)/(B73+C73),0)</f>
        <v>436.5</v>
      </c>
      <c r="S73" s="0" t="n">
        <f aca="false">P73-O73</f>
        <v>0</v>
      </c>
      <c r="T73" s="0" t="n">
        <f aca="false">IFERROR((D73/(D73+E73))*(F73/(F73+G73)),0)</f>
        <v>0.139587856146366</v>
      </c>
      <c r="U73" s="0" t="n">
        <f aca="false">RANK(T73,T$2:T$132)</f>
        <v>59</v>
      </c>
      <c r="V73" s="0" t="n">
        <f aca="false">IFERROR((B73/(B73+C73))*25,0)+IFERROR((D73/(D73+E73))*25,0)+IFERROR((F73/(F73+G73))*10,0)+H73+((J73-RMEAN)/RDEV)*5+((M73-PMEAN)/PDEV)*5+((DMEAN-R73)/DDEV)*7+((S73-TOMEAN)/TODEV)*3</f>
        <v>30.1449625098181</v>
      </c>
    </row>
    <row r="74" customFormat="false" ht="15" hidden="false" customHeight="false" outlineLevel="0" collapsed="false">
      <c r="A74" s="0" t="s">
        <v>78</v>
      </c>
      <c r="B74" s="0" t="n">
        <f aca="false">SUMIF(Games!$A$2:$A$897,$A74,Games!$K$2:$K$897)+SUMIF(Games!$B$2:$B$897,$A74,Games!$L$2:$L$897)</f>
        <v>7</v>
      </c>
      <c r="C74" s="0" t="n">
        <f aca="false">SUMIF(Games!$A$2:$A$897,$A74,Games!$L$2:$L$897)+SUMIF(Games!$B$2:$B$897,$A74,Games!$K$2:$K$897)</f>
        <v>7</v>
      </c>
      <c r="D74" s="0" t="n">
        <f aca="false">SUMIF(Games!$A$2:$A$897,$A74,Games!$O$2:$O$897)+SUMIF(Games!$B$2:$B$897,$A74,Games!$M$2:$M$897)</f>
        <v>97</v>
      </c>
      <c r="E74" s="0" t="n">
        <f aca="false">SUMIF(Games!$A$2:$A$897,$A74,Games!$P$2:$P$897)+SUMIF(Games!$B$2:$B$897,$A74,Games!$N$2:$N$897)</f>
        <v>191</v>
      </c>
      <c r="F74" s="0" t="n">
        <f aca="false">SUMIF(Games!$A$2:$A$897,$A74,Games!$S$2:$S$897)+SUMIF(Games!$B$2:$B$897,$A74,Games!$Q$2:$Q$897)</f>
        <v>1943</v>
      </c>
      <c r="G74" s="0" t="n">
        <f aca="false">SUMIF(Games!$A$2:$A$897,$A74,Games!$T$2:$T$897)+SUMIF(Games!$B$2:$B$897,$A74,Games!$R$2:$R$897)</f>
        <v>3050</v>
      </c>
      <c r="H74" s="0" t="n">
        <f aca="false">SUMIF(Games!$A$2:$A$897,$A74,Games!$U$2:$U$897)+SUMIF(Games!$B$2:$B$897,$A74,Games!$V$2:$V$897)</f>
        <v>-18.9306908070519</v>
      </c>
      <c r="I74" s="0" t="n">
        <f aca="false">SUMIF(Games!$A$2:$A$897,$A74,Games!$E$2:$E$897)+SUMIF(Games!$B$2:$B$897,$A74,Games!$F$2:$F$897)</f>
        <v>2770</v>
      </c>
      <c r="J74" s="0" t="n">
        <f aca="false">IFERROR(I74/(B74+C74),0)</f>
        <v>197.857142857143</v>
      </c>
      <c r="K74" s="0" t="n">
        <f aca="false">SUMIF(Games!$A$2:$A$897,$A74,Games!$F$2:$F$897)+SUMIF(Games!$B$2:$B$897,$A74,Games!$E$2:$E$897)</f>
        <v>2771</v>
      </c>
      <c r="L74" s="0" t="n">
        <f aca="false">SUMIF(Games!$A$2:$A$897,$A74,Games!$G$2:$G$897)+SUMIF(Games!$B$2:$B$897,$A74,Games!$H$2:$H$897)</f>
        <v>3667</v>
      </c>
      <c r="M74" s="0" t="n">
        <f aca="false">IFERROR(L74/(B74+C74),0)</f>
        <v>261.928571428571</v>
      </c>
      <c r="N74" s="0" t="n">
        <f aca="false">SUMIF(Games!$A$2:$A$897,$A74,Games!$H$2:$H$897)+SUMIF(Games!$B$2:$B$897,$A74,Games!$G$2:$G$897)</f>
        <v>3676</v>
      </c>
      <c r="O74" s="0" t="n">
        <f aca="false">SUMIF(Games!$A$2:$A$897,$A74,Games!$I$2:$I$897)+SUMIF(Games!$B$2:$B$897,$A74,Games!$J$2:$J$897)</f>
        <v>22</v>
      </c>
      <c r="P74" s="0" t="n">
        <f aca="false">SUMIF(Games!$A$2:$A$897,$A74,Games!$J$2:$J$897)+SUMIF(Games!$B$2:$B$897,$A74,Games!$I$2:$I$897)</f>
        <v>15</v>
      </c>
      <c r="R74" s="0" t="n">
        <f aca="false">IFERROR((K74+N74)/(B74+C74),0)</f>
        <v>460.5</v>
      </c>
      <c r="S74" s="0" t="n">
        <f aca="false">P74-O74</f>
        <v>-7</v>
      </c>
      <c r="T74" s="0" t="n">
        <f aca="false">IFERROR((D74/(D74+E74))*(F74/(F74+G74)),0)</f>
        <v>0.131066131472951</v>
      </c>
      <c r="U74" s="0" t="n">
        <f aca="false">RANK(T74,T$2:T$132)</f>
        <v>77</v>
      </c>
      <c r="V74" s="0" t="n">
        <f aca="false">IFERROR((B74/(B74+C74))*25,0)+IFERROR((D74/(D74+E74))*25,0)+IFERROR((F74/(F74+G74))*10,0)+H74+((J74-RMEAN)/RDEV)*5+((M74-PMEAN)/PDEV)*5+((DMEAN-R74)/DDEV)*7+((S74-TOMEAN)/TODEV)*3</f>
        <v>-1.34762974012724</v>
      </c>
    </row>
    <row r="75" customFormat="false" ht="15" hidden="false" customHeight="false" outlineLevel="0" collapsed="false">
      <c r="A75" s="0" t="s">
        <v>79</v>
      </c>
      <c r="B75" s="0" t="n">
        <f aca="false">SUMIF(Games!$A$2:$A$897,$A75,Games!$K$2:$K$897)+SUMIF(Games!$B$2:$B$897,$A75,Games!$L$2:$L$897)</f>
        <v>3</v>
      </c>
      <c r="C75" s="0" t="n">
        <f aca="false">SUMIF(Games!$A$2:$A$897,$A75,Games!$L$2:$L$897)+SUMIF(Games!$B$2:$B$897,$A75,Games!$K$2:$K$897)</f>
        <v>9</v>
      </c>
      <c r="D75" s="0" t="n">
        <f aca="false">SUMIF(Games!$A$2:$A$897,$A75,Games!$O$2:$O$897)+SUMIF(Games!$B$2:$B$897,$A75,Games!$M$2:$M$897)</f>
        <v>75</v>
      </c>
      <c r="E75" s="0" t="n">
        <f aca="false">SUMIF(Games!$A$2:$A$897,$A75,Games!$P$2:$P$897)+SUMIF(Games!$B$2:$B$897,$A75,Games!$N$2:$N$897)</f>
        <v>184</v>
      </c>
      <c r="F75" s="0" t="n">
        <f aca="false">SUMIF(Games!$A$2:$A$897,$A75,Games!$S$2:$S$897)+SUMIF(Games!$B$2:$B$897,$A75,Games!$Q$2:$Q$897)</f>
        <v>1716</v>
      </c>
      <c r="G75" s="0" t="n">
        <f aca="false">SUMIF(Games!$A$2:$A$897,$A75,Games!$T$2:$T$897)+SUMIF(Games!$B$2:$B$897,$A75,Games!$R$2:$R$897)</f>
        <v>2761</v>
      </c>
      <c r="H75" s="0" t="n">
        <f aca="false">SUMIF(Games!$A$2:$A$897,$A75,Games!$U$2:$U$897)+SUMIF(Games!$B$2:$B$897,$A75,Games!$V$2:$V$897)</f>
        <v>-37.0694469508391</v>
      </c>
      <c r="I75" s="0" t="n">
        <f aca="false">SUMIF(Games!$A$2:$A$897,$A75,Games!$E$2:$E$897)+SUMIF(Games!$B$2:$B$897,$A75,Games!$F$2:$F$897)</f>
        <v>2285</v>
      </c>
      <c r="J75" s="0" t="n">
        <f aca="false">IFERROR(I75/(B75+C75),0)</f>
        <v>190.416666666667</v>
      </c>
      <c r="K75" s="0" t="n">
        <f aca="false">SUMIF(Games!$A$2:$A$897,$A75,Games!$F$2:$F$897)+SUMIF(Games!$B$2:$B$897,$A75,Games!$E$2:$E$897)</f>
        <v>1714</v>
      </c>
      <c r="L75" s="0" t="n">
        <f aca="false">SUMIF(Games!$A$2:$A$897,$A75,Games!$G$2:$G$897)+SUMIF(Games!$B$2:$B$897,$A75,Games!$H$2:$H$897)</f>
        <v>2192</v>
      </c>
      <c r="M75" s="0" t="n">
        <f aca="false">IFERROR(L75/(B75+C75),0)</f>
        <v>182.666666666667</v>
      </c>
      <c r="N75" s="0" t="n">
        <f aca="false">SUMIF(Games!$A$2:$A$897,$A75,Games!$H$2:$H$897)+SUMIF(Games!$B$2:$B$897,$A75,Games!$G$2:$G$897)</f>
        <v>3034</v>
      </c>
      <c r="O75" s="0" t="n">
        <f aca="false">SUMIF(Games!$A$2:$A$897,$A75,Games!$I$2:$I$897)+SUMIF(Games!$B$2:$B$897,$A75,Games!$J$2:$J$897)</f>
        <v>16</v>
      </c>
      <c r="P75" s="0" t="n">
        <f aca="false">SUMIF(Games!$A$2:$A$897,$A75,Games!$J$2:$J$897)+SUMIF(Games!$B$2:$B$897,$A75,Games!$I$2:$I$897)</f>
        <v>19</v>
      </c>
      <c r="R75" s="0" t="n">
        <f aca="false">IFERROR((K75+N75)/(B75+C75),0)</f>
        <v>395.666666666667</v>
      </c>
      <c r="S75" s="0" t="n">
        <f aca="false">P75-O75</f>
        <v>3</v>
      </c>
      <c r="T75" s="0" t="n">
        <f aca="false">IFERROR((D75/(D75+E75))*(F75/(F75+G75)),0)</f>
        <v>0.110992002883895</v>
      </c>
      <c r="U75" s="0" t="n">
        <f aca="false">RANK(T75,T$2:T$132)</f>
        <v>120</v>
      </c>
      <c r="V75" s="0" t="n">
        <f aca="false">IFERROR((B75/(B75+C75))*25,0)+IFERROR((D75/(D75+E75))*25,0)+IFERROR((F75/(F75+G75))*10,0)+H75+((J75-RMEAN)/RDEV)*5+((M75-PMEAN)/PDEV)*5+((DMEAN-R75)/DDEV)*7+((S75-TOMEAN)/TODEV)*3</f>
        <v>-22.1823940888521</v>
      </c>
    </row>
    <row r="76" customFormat="false" ht="15" hidden="false" customHeight="false" outlineLevel="0" collapsed="false">
      <c r="A76" s="0" t="s">
        <v>80</v>
      </c>
      <c r="B76" s="0" t="n">
        <f aca="false">SUMIF(Games!$A$2:$A$897,$A76,Games!$K$2:$K$897)+SUMIF(Games!$B$2:$B$897,$A76,Games!$L$2:$L$897)</f>
        <v>1</v>
      </c>
      <c r="C76" s="0" t="n">
        <f aca="false">SUMIF(Games!$A$2:$A$897,$A76,Games!$L$2:$L$897)+SUMIF(Games!$B$2:$B$897,$A76,Games!$K$2:$K$897)</f>
        <v>11</v>
      </c>
      <c r="D76" s="0" t="n">
        <f aca="false">SUMIF(Games!$A$2:$A$897,$A76,Games!$O$2:$O$897)+SUMIF(Games!$B$2:$B$897,$A76,Games!$M$2:$M$897)</f>
        <v>97</v>
      </c>
      <c r="E76" s="0" t="n">
        <f aca="false">SUMIF(Games!$A$2:$A$897,$A76,Games!$P$2:$P$897)+SUMIF(Games!$B$2:$B$897,$A76,Games!$N$2:$N$897)</f>
        <v>166</v>
      </c>
      <c r="F76" s="0" t="n">
        <f aca="false">SUMIF(Games!$A$2:$A$897,$A76,Games!$S$2:$S$897)+SUMIF(Games!$B$2:$B$897,$A76,Games!$Q$2:$Q$897)</f>
        <v>1757</v>
      </c>
      <c r="G76" s="0" t="n">
        <f aca="false">SUMIF(Games!$A$2:$A$897,$A76,Games!$T$2:$T$897)+SUMIF(Games!$B$2:$B$897,$A76,Games!$R$2:$R$897)</f>
        <v>2452</v>
      </c>
      <c r="H76" s="0" t="n">
        <f aca="false">SUMIF(Games!$A$2:$A$897,$A76,Games!$U$2:$U$897)+SUMIF(Games!$B$2:$B$897,$A76,Games!$V$2:$V$897)</f>
        <v>-42.1602736567959</v>
      </c>
      <c r="I76" s="0" t="n">
        <f aca="false">SUMIF(Games!$A$2:$A$897,$A76,Games!$E$2:$E$897)+SUMIF(Games!$B$2:$B$897,$A76,Games!$F$2:$F$897)</f>
        <v>1501</v>
      </c>
      <c r="J76" s="0" t="n">
        <f aca="false">IFERROR(I76/(B76+C76),0)</f>
        <v>125.083333333333</v>
      </c>
      <c r="K76" s="0" t="n">
        <f aca="false">SUMIF(Games!$A$2:$A$897,$A76,Games!$F$2:$F$897)+SUMIF(Games!$B$2:$B$897,$A76,Games!$E$2:$E$897)</f>
        <v>2296</v>
      </c>
      <c r="L76" s="0" t="n">
        <f aca="false">SUMIF(Games!$A$2:$A$897,$A76,Games!$G$2:$G$897)+SUMIF(Games!$B$2:$B$897,$A76,Games!$H$2:$H$897)</f>
        <v>2524</v>
      </c>
      <c r="M76" s="0" t="n">
        <f aca="false">IFERROR(L76/(B76+C76),0)</f>
        <v>210.333333333333</v>
      </c>
      <c r="N76" s="0" t="n">
        <f aca="false">SUMIF(Games!$A$2:$A$897,$A76,Games!$H$2:$H$897)+SUMIF(Games!$B$2:$B$897,$A76,Games!$G$2:$G$897)</f>
        <v>2201</v>
      </c>
      <c r="O76" s="0" t="n">
        <f aca="false">SUMIF(Games!$A$2:$A$897,$A76,Games!$I$2:$I$897)+SUMIF(Games!$B$2:$B$897,$A76,Games!$J$2:$J$897)</f>
        <v>30</v>
      </c>
      <c r="P76" s="0" t="n">
        <f aca="false">SUMIF(Games!$A$2:$A$897,$A76,Games!$J$2:$J$897)+SUMIF(Games!$B$2:$B$897,$A76,Games!$I$2:$I$897)</f>
        <v>12</v>
      </c>
      <c r="R76" s="0" t="n">
        <f aca="false">IFERROR((K76+N76)/(B76+C76),0)</f>
        <v>374.75</v>
      </c>
      <c r="S76" s="0" t="n">
        <f aca="false">P76-O76</f>
        <v>-18</v>
      </c>
      <c r="T76" s="0" t="n">
        <f aca="false">IFERROR((D76/(D76+E76))*(F76/(F76+G76)),0)</f>
        <v>0.153960325827238</v>
      </c>
      <c r="U76" s="0" t="n">
        <f aca="false">RANK(T76,T$2:T$132)</f>
        <v>24</v>
      </c>
      <c r="V76" s="0" t="n">
        <f aca="false">IFERROR((B76/(B76+C76))*25,0)+IFERROR((D76/(D76+E76))*25,0)+IFERROR((F76/(F76+G76))*10,0)+H76+((J76-RMEAN)/RDEV)*5+((M76-PMEAN)/PDEV)*5+((DMEAN-R76)/DDEV)*7+((S76-TOMEAN)/TODEV)*3</f>
        <v>-40.0204393561358</v>
      </c>
    </row>
    <row r="77" customFormat="false" ht="15" hidden="false" customHeight="false" outlineLevel="0" collapsed="false">
      <c r="A77" s="0" t="s">
        <v>81</v>
      </c>
      <c r="B77" s="0" t="n">
        <f aca="false">SUMIF(Games!$A$2:$A$897,$A77,Games!$K$2:$K$897)+SUMIF(Games!$B$2:$B$897,$A77,Games!$L$2:$L$897)</f>
        <v>9</v>
      </c>
      <c r="C77" s="0" t="n">
        <f aca="false">SUMIF(Games!$A$2:$A$897,$A77,Games!$L$2:$L$897)+SUMIF(Games!$B$2:$B$897,$A77,Games!$K$2:$K$897)</f>
        <v>4</v>
      </c>
      <c r="D77" s="0" t="n">
        <f aca="false">SUMIF(Games!$A$2:$A$897,$A77,Games!$O$2:$O$897)+SUMIF(Games!$B$2:$B$897,$A77,Games!$M$2:$M$897)</f>
        <v>93</v>
      </c>
      <c r="E77" s="0" t="n">
        <f aca="false">SUMIF(Games!$A$2:$A$897,$A77,Games!$P$2:$P$897)+SUMIF(Games!$B$2:$B$897,$A77,Games!$N$2:$N$897)</f>
        <v>74</v>
      </c>
      <c r="F77" s="0" t="n">
        <f aca="false">SUMIF(Games!$A$2:$A$897,$A77,Games!$S$2:$S$897)+SUMIF(Games!$B$2:$B$897,$A77,Games!$Q$2:$Q$897)</f>
        <v>1217</v>
      </c>
      <c r="G77" s="0" t="n">
        <f aca="false">SUMIF(Games!$A$2:$A$897,$A77,Games!$T$2:$T$897)+SUMIF(Games!$B$2:$B$897,$A77,Games!$R$2:$R$897)</f>
        <v>2208</v>
      </c>
      <c r="H77" s="0" t="n">
        <f aca="false">SUMIF(Games!$A$2:$A$897,$A77,Games!$U$2:$U$897)+SUMIF(Games!$B$2:$B$897,$A77,Games!$V$2:$V$897)</f>
        <v>18.3201396634846</v>
      </c>
      <c r="I77" s="0" t="n">
        <f aca="false">SUMIF(Games!$A$2:$A$897,$A77,Games!$E$2:$E$897)+SUMIF(Games!$B$2:$B$897,$A77,Games!$F$2:$F$897)</f>
        <v>2458</v>
      </c>
      <c r="J77" s="0" t="n">
        <f aca="false">IFERROR(I77/(B77+C77),0)</f>
        <v>189.076923076923</v>
      </c>
      <c r="K77" s="0" t="n">
        <f aca="false">SUMIF(Games!$A$2:$A$897,$A77,Games!$F$2:$F$897)+SUMIF(Games!$B$2:$B$897,$A77,Games!$E$2:$E$897)</f>
        <v>1715</v>
      </c>
      <c r="L77" s="0" t="n">
        <f aca="false">SUMIF(Games!$A$2:$A$897,$A77,Games!$G$2:$G$897)+SUMIF(Games!$B$2:$B$897,$A77,Games!$H$2:$H$897)</f>
        <v>2693</v>
      </c>
      <c r="M77" s="0" t="n">
        <f aca="false">IFERROR(L77/(B77+C77),0)</f>
        <v>207.153846153846</v>
      </c>
      <c r="N77" s="0" t="n">
        <f aca="false">SUMIF(Games!$A$2:$A$897,$A77,Games!$H$2:$H$897)+SUMIF(Games!$B$2:$B$897,$A77,Games!$G$2:$G$897)</f>
        <v>2574</v>
      </c>
      <c r="O77" s="0" t="n">
        <f aca="false">SUMIF(Games!$A$2:$A$897,$A77,Games!$I$2:$I$897)+SUMIF(Games!$B$2:$B$897,$A77,Games!$J$2:$J$897)</f>
        <v>18</v>
      </c>
      <c r="P77" s="0" t="n">
        <f aca="false">SUMIF(Games!$A$2:$A$897,$A77,Games!$J$2:$J$897)+SUMIF(Games!$B$2:$B$897,$A77,Games!$I$2:$I$897)</f>
        <v>15</v>
      </c>
      <c r="R77" s="0" t="n">
        <f aca="false">IFERROR((K77+N77)/(B77+C77),0)</f>
        <v>329.923076923077</v>
      </c>
      <c r="S77" s="0" t="n">
        <f aca="false">P77-O77</f>
        <v>-3</v>
      </c>
      <c r="T77" s="0" t="n">
        <f aca="false">IFERROR((D77/(D77+E77))*(F77/(F77+G77)),0)</f>
        <v>0.197877529612308</v>
      </c>
      <c r="U77" s="0" t="n">
        <f aca="false">RANK(T77,T$2:T$132)</f>
        <v>10</v>
      </c>
      <c r="V77" s="0" t="n">
        <f aca="false">IFERROR((B77/(B77+C77))*25,0)+IFERROR((D77/(D77+E77))*25,0)+IFERROR((F77/(F77+G77))*10,0)+H77+((J77-RMEAN)/RDEV)*5+((M77-PMEAN)/PDEV)*5+((DMEAN-R77)/DDEV)*7+((S77-TOMEAN)/TODEV)*3</f>
        <v>59.1631317082579</v>
      </c>
    </row>
    <row r="78" customFormat="false" ht="15" hidden="false" customHeight="false" outlineLevel="0" collapsed="false">
      <c r="A78" s="0" t="s">
        <v>82</v>
      </c>
      <c r="B78" s="0" t="n">
        <f aca="false">SUMIF(Games!$A$2:$A$897,$A78,Games!$K$2:$K$897)+SUMIF(Games!$B$2:$B$897,$A78,Games!$L$2:$L$897)</f>
        <v>10</v>
      </c>
      <c r="C78" s="0" t="n">
        <f aca="false">SUMIF(Games!$A$2:$A$897,$A78,Games!$L$2:$L$897)+SUMIF(Games!$B$2:$B$897,$A78,Games!$K$2:$K$897)</f>
        <v>4</v>
      </c>
      <c r="D78" s="0" t="n">
        <f aca="false">SUMIF(Games!$A$2:$A$897,$A78,Games!$O$2:$O$897)+SUMIF(Games!$B$2:$B$897,$A78,Games!$M$2:$M$897)</f>
        <v>83</v>
      </c>
      <c r="E78" s="0" t="n">
        <f aca="false">SUMIF(Games!$A$2:$A$897,$A78,Games!$P$2:$P$897)+SUMIF(Games!$B$2:$B$897,$A78,Games!$N$2:$N$897)</f>
        <v>200</v>
      </c>
      <c r="F78" s="0" t="n">
        <f aca="false">SUMIF(Games!$A$2:$A$897,$A78,Games!$S$2:$S$897)+SUMIF(Games!$B$2:$B$897,$A78,Games!$Q$2:$Q$897)</f>
        <v>1916</v>
      </c>
      <c r="G78" s="0" t="n">
        <f aca="false">SUMIF(Games!$A$2:$A$897,$A78,Games!$T$2:$T$897)+SUMIF(Games!$B$2:$B$897,$A78,Games!$R$2:$R$897)</f>
        <v>2995</v>
      </c>
      <c r="H78" s="0" t="n">
        <f aca="false">SUMIF(Games!$A$2:$A$897,$A78,Games!$U$2:$U$897)+SUMIF(Games!$B$2:$B$897,$A78,Games!$V$2:$V$897)</f>
        <v>-5.46541717784991</v>
      </c>
      <c r="I78" s="0" t="n">
        <f aca="false">SUMIF(Games!$A$2:$A$897,$A78,Games!$E$2:$E$897)+SUMIF(Games!$B$2:$B$897,$A78,Games!$F$2:$F$897)</f>
        <v>2008</v>
      </c>
      <c r="J78" s="0" t="n">
        <f aca="false">IFERROR(I78/(B78+C78),0)</f>
        <v>143.428571428571</v>
      </c>
      <c r="K78" s="0" t="n">
        <f aca="false">SUMIF(Games!$A$2:$A$897,$A78,Games!$F$2:$F$897)+SUMIF(Games!$B$2:$B$897,$A78,Games!$E$2:$E$897)</f>
        <v>1960</v>
      </c>
      <c r="L78" s="0" t="n">
        <f aca="false">SUMIF(Games!$A$2:$A$897,$A78,Games!$G$2:$G$897)+SUMIF(Games!$B$2:$B$897,$A78,Games!$H$2:$H$897)</f>
        <v>3893</v>
      </c>
      <c r="M78" s="0" t="n">
        <f aca="false">IFERROR(L78/(B78+C78),0)</f>
        <v>278.071428571429</v>
      </c>
      <c r="N78" s="0" t="n">
        <f aca="false">SUMIF(Games!$A$2:$A$897,$A78,Games!$H$2:$H$897)+SUMIF(Games!$B$2:$B$897,$A78,Games!$G$2:$G$897)</f>
        <v>3999</v>
      </c>
      <c r="O78" s="0" t="n">
        <f aca="false">SUMIF(Games!$A$2:$A$897,$A78,Games!$I$2:$I$897)+SUMIF(Games!$B$2:$B$897,$A78,Games!$J$2:$J$897)</f>
        <v>13</v>
      </c>
      <c r="P78" s="0" t="n">
        <f aca="false">SUMIF(Games!$A$2:$A$897,$A78,Games!$J$2:$J$897)+SUMIF(Games!$B$2:$B$897,$A78,Games!$I$2:$I$897)</f>
        <v>25</v>
      </c>
      <c r="R78" s="0" t="n">
        <f aca="false">IFERROR((K78+N78)/(B78+C78),0)</f>
        <v>425.642857142857</v>
      </c>
      <c r="S78" s="0" t="n">
        <f aca="false">P78-O78</f>
        <v>12</v>
      </c>
      <c r="T78" s="0" t="n">
        <f aca="false">IFERROR((D78/(D78+E78))*(F78/(F78+G78)),0)</f>
        <v>0.114424026829509</v>
      </c>
      <c r="U78" s="0" t="n">
        <f aca="false">RANK(T78,T$2:T$132)</f>
        <v>113</v>
      </c>
      <c r="V78" s="0" t="n">
        <f aca="false">IFERROR((B78/(B78+C78))*25,0)+IFERROR((D78/(D78+E78))*25,0)+IFERROR((F78/(F78+G78))*10,0)+H78+((J78-RMEAN)/RDEV)*5+((M78-PMEAN)/PDEV)*5+((DMEAN-R78)/DDEV)*7+((S78-TOMEAN)/TODEV)*3</f>
        <v>24.9475767573132</v>
      </c>
    </row>
    <row r="79" customFormat="false" ht="15" hidden="false" customHeight="false" outlineLevel="0" collapsed="false">
      <c r="A79" s="0" t="s">
        <v>83</v>
      </c>
      <c r="B79" s="0" t="n">
        <f aca="false">SUMIF(Games!$A$2:$A$897,$A79,Games!$K$2:$K$897)+SUMIF(Games!$B$2:$B$897,$A79,Games!$L$2:$L$897)</f>
        <v>11</v>
      </c>
      <c r="C79" s="0" t="n">
        <f aca="false">SUMIF(Games!$A$2:$A$897,$A79,Games!$L$2:$L$897)+SUMIF(Games!$B$2:$B$897,$A79,Games!$K$2:$K$897)</f>
        <v>2</v>
      </c>
      <c r="D79" s="0" t="n">
        <f aca="false">SUMIF(Games!$A$2:$A$897,$A79,Games!$O$2:$O$897)+SUMIF(Games!$B$2:$B$897,$A79,Games!$M$2:$M$897)</f>
        <v>97</v>
      </c>
      <c r="E79" s="0" t="n">
        <f aca="false">SUMIF(Games!$A$2:$A$897,$A79,Games!$P$2:$P$897)+SUMIF(Games!$B$2:$B$897,$A79,Games!$N$2:$N$897)</f>
        <v>71</v>
      </c>
      <c r="F79" s="0" t="n">
        <f aca="false">SUMIF(Games!$A$2:$A$897,$A79,Games!$S$2:$S$897)+SUMIF(Games!$B$2:$B$897,$A79,Games!$Q$2:$Q$897)</f>
        <v>1211</v>
      </c>
      <c r="G79" s="0" t="n">
        <f aca="false">SUMIF(Games!$A$2:$A$897,$A79,Games!$T$2:$T$897)+SUMIF(Games!$B$2:$B$897,$A79,Games!$R$2:$R$897)</f>
        <v>1797</v>
      </c>
      <c r="H79" s="0" t="n">
        <f aca="false">SUMIF(Games!$A$2:$A$897,$A79,Games!$U$2:$U$897)+SUMIF(Games!$B$2:$B$897,$A79,Games!$V$2:$V$897)</f>
        <v>51.8073760263214</v>
      </c>
      <c r="I79" s="0" t="n">
        <f aca="false">SUMIF(Games!$A$2:$A$897,$A79,Games!$E$2:$E$897)+SUMIF(Games!$B$2:$B$897,$A79,Games!$F$2:$F$897)</f>
        <v>2501</v>
      </c>
      <c r="J79" s="0" t="n">
        <f aca="false">IFERROR(I79/(B79+C79),0)</f>
        <v>192.384615384615</v>
      </c>
      <c r="K79" s="0" t="n">
        <f aca="false">SUMIF(Games!$A$2:$A$897,$A79,Games!$F$2:$F$897)+SUMIF(Games!$B$2:$B$897,$A79,Games!$E$2:$E$897)</f>
        <v>1574</v>
      </c>
      <c r="L79" s="0" t="n">
        <f aca="false">SUMIF(Games!$A$2:$A$897,$A79,Games!$G$2:$G$897)+SUMIF(Games!$B$2:$B$897,$A79,Games!$H$2:$H$897)</f>
        <v>3878</v>
      </c>
      <c r="M79" s="0" t="n">
        <f aca="false">IFERROR(L79/(B79+C79),0)</f>
        <v>298.307692307692</v>
      </c>
      <c r="N79" s="0" t="n">
        <f aca="false">SUMIF(Games!$A$2:$A$897,$A79,Games!$H$2:$H$897)+SUMIF(Games!$B$2:$B$897,$A79,Games!$G$2:$G$897)</f>
        <v>2606</v>
      </c>
      <c r="O79" s="0" t="n">
        <f aca="false">SUMIF(Games!$A$2:$A$897,$A79,Games!$I$2:$I$897)+SUMIF(Games!$B$2:$B$897,$A79,Games!$J$2:$J$897)</f>
        <v>10</v>
      </c>
      <c r="P79" s="0" t="n">
        <f aca="false">SUMIF(Games!$A$2:$A$897,$A79,Games!$J$2:$J$897)+SUMIF(Games!$B$2:$B$897,$A79,Games!$I$2:$I$897)</f>
        <v>18</v>
      </c>
      <c r="R79" s="0" t="n">
        <f aca="false">IFERROR((K79+N79)/(B79+C79),0)</f>
        <v>321.538461538462</v>
      </c>
      <c r="S79" s="0" t="n">
        <f aca="false">P79-O79</f>
        <v>8</v>
      </c>
      <c r="T79" s="0" t="n">
        <f aca="false">IFERROR((D79/(D79+E79))*(F79/(F79+G79)),0)</f>
        <v>0.232449578900709</v>
      </c>
      <c r="U79" s="0" t="n">
        <f aca="false">RANK(T79,T$2:T$132)</f>
        <v>1</v>
      </c>
      <c r="V79" s="0" t="n">
        <f aca="false">IFERROR((B79/(B79+C79))*25,0)+IFERROR((D79/(D79+E79))*25,0)+IFERROR((F79/(F79+G79))*10,0)+H79+((J79-RMEAN)/RDEV)*5+((M79-PMEAN)/PDEV)*5+((DMEAN-R79)/DDEV)*7+((S79-TOMEAN)/TODEV)*3</f>
        <v>112.471448843445</v>
      </c>
    </row>
    <row r="80" customFormat="false" ht="15" hidden="false" customHeight="false" outlineLevel="0" collapsed="false">
      <c r="A80" s="0" t="s">
        <v>84</v>
      </c>
      <c r="B80" s="0" t="n">
        <f aca="false">SUMIF(Games!$A$2:$A$897,$A80,Games!$K$2:$K$897)+SUMIF(Games!$B$2:$B$897,$A80,Games!$L$2:$L$897)</f>
        <v>6</v>
      </c>
      <c r="C80" s="0" t="n">
        <f aca="false">SUMIF(Games!$A$2:$A$897,$A80,Games!$L$2:$L$897)+SUMIF(Games!$B$2:$B$897,$A80,Games!$K$2:$K$897)</f>
        <v>7</v>
      </c>
      <c r="D80" s="0" t="n">
        <f aca="false">SUMIF(Games!$A$2:$A$897,$A80,Games!$O$2:$O$897)+SUMIF(Games!$B$2:$B$897,$A80,Games!$M$2:$M$897)</f>
        <v>91</v>
      </c>
      <c r="E80" s="0" t="n">
        <f aca="false">SUMIF(Games!$A$2:$A$897,$A80,Games!$P$2:$P$897)+SUMIF(Games!$B$2:$B$897,$A80,Games!$N$2:$N$897)</f>
        <v>76</v>
      </c>
      <c r="F80" s="0" t="n">
        <f aca="false">SUMIF(Games!$A$2:$A$897,$A80,Games!$S$2:$S$897)+SUMIF(Games!$B$2:$B$897,$A80,Games!$Q$2:$Q$897)</f>
        <v>1231</v>
      </c>
      <c r="G80" s="0" t="n">
        <f aca="false">SUMIF(Games!$A$2:$A$897,$A80,Games!$T$2:$T$897)+SUMIF(Games!$B$2:$B$897,$A80,Games!$R$2:$R$897)</f>
        <v>2125</v>
      </c>
      <c r="H80" s="0" t="n">
        <f aca="false">SUMIF(Games!$A$2:$A$897,$A80,Games!$U$2:$U$897)+SUMIF(Games!$B$2:$B$897,$A80,Games!$V$2:$V$897)</f>
        <v>7.5142795926349</v>
      </c>
      <c r="I80" s="0" t="n">
        <f aca="false">SUMIF(Games!$A$2:$A$897,$A80,Games!$E$2:$E$897)+SUMIF(Games!$B$2:$B$897,$A80,Games!$F$2:$F$897)</f>
        <v>2859</v>
      </c>
      <c r="J80" s="0" t="n">
        <f aca="false">IFERROR(I80/(B80+C80),0)</f>
        <v>219.923076923077</v>
      </c>
      <c r="K80" s="0" t="n">
        <f aca="false">SUMIF(Games!$A$2:$A$897,$A80,Games!$F$2:$F$897)+SUMIF(Games!$B$2:$B$897,$A80,Games!$E$2:$E$897)</f>
        <v>2437</v>
      </c>
      <c r="L80" s="0" t="n">
        <f aca="false">SUMIF(Games!$A$2:$A$897,$A80,Games!$G$2:$G$897)+SUMIF(Games!$B$2:$B$897,$A80,Games!$H$2:$H$897)</f>
        <v>3310</v>
      </c>
      <c r="M80" s="0" t="n">
        <f aca="false">IFERROR(L80/(B80+C80),0)</f>
        <v>254.615384615385</v>
      </c>
      <c r="N80" s="0" t="n">
        <f aca="false">SUMIF(Games!$A$2:$A$897,$A80,Games!$H$2:$H$897)+SUMIF(Games!$B$2:$B$897,$A80,Games!$G$2:$G$897)</f>
        <v>3556</v>
      </c>
      <c r="O80" s="0" t="n">
        <f aca="false">SUMIF(Games!$A$2:$A$897,$A80,Games!$I$2:$I$897)+SUMIF(Games!$B$2:$B$897,$A80,Games!$J$2:$J$897)</f>
        <v>15</v>
      </c>
      <c r="P80" s="0" t="n">
        <f aca="false">SUMIF(Games!$A$2:$A$897,$A80,Games!$J$2:$J$897)+SUMIF(Games!$B$2:$B$897,$A80,Games!$I$2:$I$897)</f>
        <v>21</v>
      </c>
      <c r="R80" s="0" t="n">
        <f aca="false">IFERROR((K80+N80)/(B80+C80),0)</f>
        <v>461</v>
      </c>
      <c r="S80" s="0" t="n">
        <f aca="false">P80-O80</f>
        <v>6</v>
      </c>
      <c r="T80" s="0" t="n">
        <f aca="false">IFERROR((D80/(D80+E80))*(F80/(F80+G80)),0)</f>
        <v>0.199876171375961</v>
      </c>
      <c r="U80" s="0" t="n">
        <f aca="false">RANK(T80,T$2:T$132)</f>
        <v>8</v>
      </c>
      <c r="V80" s="0" t="n">
        <f aca="false">IFERROR((B80/(B80+C80))*25,0)+IFERROR((D80/(D80+E80))*25,0)+IFERROR((F80/(F80+G80))*10,0)+H80+((J80-RMEAN)/RDEV)*5+((M80-PMEAN)/PDEV)*5+((DMEAN-R80)/DDEV)*7+((S80-TOMEAN)/TODEV)*3</f>
        <v>36.4602423572966</v>
      </c>
    </row>
    <row r="81" customFormat="false" ht="15" hidden="false" customHeight="false" outlineLevel="0" collapsed="false">
      <c r="A81" s="0" t="s">
        <v>85</v>
      </c>
      <c r="B81" s="0" t="n">
        <f aca="false">SUMIF(Games!$A$2:$A$897,$A81,Games!$K$2:$K$897)+SUMIF(Games!$B$2:$B$897,$A81,Games!$L$2:$L$897)</f>
        <v>7</v>
      </c>
      <c r="C81" s="0" t="n">
        <f aca="false">SUMIF(Games!$A$2:$A$897,$A81,Games!$L$2:$L$897)+SUMIF(Games!$B$2:$B$897,$A81,Games!$K$2:$K$897)</f>
        <v>6</v>
      </c>
      <c r="D81" s="0" t="n">
        <f aca="false">SUMIF(Games!$A$2:$A$897,$A81,Games!$O$2:$O$897)+SUMIF(Games!$B$2:$B$897,$A81,Games!$M$2:$M$897)</f>
        <v>88</v>
      </c>
      <c r="E81" s="0" t="n">
        <f aca="false">SUMIF(Games!$A$2:$A$897,$A81,Games!$P$2:$P$897)+SUMIF(Games!$B$2:$B$897,$A81,Games!$N$2:$N$897)</f>
        <v>187</v>
      </c>
      <c r="F81" s="0" t="n">
        <f aca="false">SUMIF(Games!$A$2:$A$897,$A81,Games!$S$2:$S$897)+SUMIF(Games!$B$2:$B$897,$A81,Games!$Q$2:$Q$897)</f>
        <v>1965</v>
      </c>
      <c r="G81" s="0" t="n">
        <f aca="false">SUMIF(Games!$A$2:$A$897,$A81,Games!$T$2:$T$897)+SUMIF(Games!$B$2:$B$897,$A81,Games!$R$2:$R$897)</f>
        <v>2653</v>
      </c>
      <c r="H81" s="0" t="n">
        <f aca="false">SUMIF(Games!$A$2:$A$897,$A81,Games!$U$2:$U$897)+SUMIF(Games!$B$2:$B$897,$A81,Games!$V$2:$V$897)</f>
        <v>-10.0069539359645</v>
      </c>
      <c r="I81" s="0" t="n">
        <f aca="false">SUMIF(Games!$A$2:$A$897,$A81,Games!$E$2:$E$897)+SUMIF(Games!$B$2:$B$897,$A81,Games!$F$2:$F$897)</f>
        <v>1633</v>
      </c>
      <c r="J81" s="0" t="n">
        <f aca="false">IFERROR(I81/(B81+C81),0)</f>
        <v>125.615384615385</v>
      </c>
      <c r="K81" s="0" t="n">
        <f aca="false">SUMIF(Games!$A$2:$A$897,$A81,Games!$F$2:$F$897)+SUMIF(Games!$B$2:$B$897,$A81,Games!$E$2:$E$897)</f>
        <v>2314</v>
      </c>
      <c r="L81" s="0" t="n">
        <f aca="false">SUMIF(Games!$A$2:$A$897,$A81,Games!$G$2:$G$897)+SUMIF(Games!$B$2:$B$897,$A81,Games!$H$2:$H$897)</f>
        <v>3634</v>
      </c>
      <c r="M81" s="0" t="n">
        <f aca="false">IFERROR(L81/(B81+C81),0)</f>
        <v>279.538461538462</v>
      </c>
      <c r="N81" s="0" t="n">
        <f aca="false">SUMIF(Games!$A$2:$A$897,$A81,Games!$H$2:$H$897)+SUMIF(Games!$B$2:$B$897,$A81,Games!$G$2:$G$897)</f>
        <v>3350</v>
      </c>
      <c r="O81" s="0" t="n">
        <f aca="false">SUMIF(Games!$A$2:$A$897,$A81,Games!$I$2:$I$897)+SUMIF(Games!$B$2:$B$897,$A81,Games!$J$2:$J$897)</f>
        <v>23</v>
      </c>
      <c r="P81" s="0" t="n">
        <f aca="false">SUMIF(Games!$A$2:$A$897,$A81,Games!$J$2:$J$897)+SUMIF(Games!$B$2:$B$897,$A81,Games!$I$2:$I$897)</f>
        <v>19</v>
      </c>
      <c r="R81" s="0" t="n">
        <f aca="false">IFERROR((K81+N81)/(B81+C81),0)</f>
        <v>435.692307692308</v>
      </c>
      <c r="S81" s="0" t="n">
        <f aca="false">P81-O81</f>
        <v>-4</v>
      </c>
      <c r="T81" s="0" t="n">
        <f aca="false">IFERROR((D81/(D81+E81))*(F81/(F81+G81)),0)</f>
        <v>0.136162841056735</v>
      </c>
      <c r="U81" s="0" t="n">
        <f aca="false">RANK(T81,T$2:T$132)</f>
        <v>62</v>
      </c>
      <c r="V81" s="0" t="n">
        <f aca="false">IFERROR((B81/(B81+C81))*25,0)+IFERROR((D81/(D81+E81))*25,0)+IFERROR((F81/(F81+G81))*10,0)+H81+((J81-RMEAN)/RDEV)*5+((M81-PMEAN)/PDEV)*5+((DMEAN-R81)/DDEV)*7+((S81-TOMEAN)/TODEV)*3</f>
        <v>6.85768185179758</v>
      </c>
    </row>
    <row r="82" customFormat="false" ht="15" hidden="false" customHeight="false" outlineLevel="0" collapsed="false">
      <c r="A82" s="0" t="s">
        <v>86</v>
      </c>
      <c r="B82" s="0" t="n">
        <f aca="false">SUMIF(Games!$A$2:$A$897,$A82,Games!$K$2:$K$897)+SUMIF(Games!$B$2:$B$897,$A82,Games!$L$2:$L$897)</f>
        <v>3</v>
      </c>
      <c r="C82" s="0" t="n">
        <f aca="false">SUMIF(Games!$A$2:$A$897,$A82,Games!$L$2:$L$897)+SUMIF(Games!$B$2:$B$897,$A82,Games!$K$2:$K$897)</f>
        <v>9</v>
      </c>
      <c r="D82" s="0" t="n">
        <f aca="false">SUMIF(Games!$A$2:$A$897,$A82,Games!$O$2:$O$897)+SUMIF(Games!$B$2:$B$897,$A82,Games!$M$2:$M$897)</f>
        <v>77</v>
      </c>
      <c r="E82" s="0" t="n">
        <f aca="false">SUMIF(Games!$A$2:$A$897,$A82,Games!$P$2:$P$897)+SUMIF(Games!$B$2:$B$897,$A82,Games!$N$2:$N$897)</f>
        <v>69</v>
      </c>
      <c r="F82" s="0" t="n">
        <f aca="false">SUMIF(Games!$A$2:$A$897,$A82,Games!$S$2:$S$897)+SUMIF(Games!$B$2:$B$897,$A82,Games!$Q$2:$Q$897)</f>
        <v>963</v>
      </c>
      <c r="G82" s="0" t="n">
        <f aca="false">SUMIF(Games!$A$2:$A$897,$A82,Games!$T$2:$T$897)+SUMIF(Games!$B$2:$B$897,$A82,Games!$R$2:$R$897)</f>
        <v>2273</v>
      </c>
      <c r="H82" s="0" t="n">
        <f aca="false">SUMIF(Games!$A$2:$A$897,$A82,Games!$U$2:$U$897)+SUMIF(Games!$B$2:$B$897,$A82,Games!$V$2:$V$897)</f>
        <v>-24.697563258875</v>
      </c>
      <c r="I82" s="0" t="n">
        <f aca="false">SUMIF(Games!$A$2:$A$897,$A82,Games!$E$2:$E$897)+SUMIF(Games!$B$2:$B$897,$A82,Games!$F$2:$F$897)</f>
        <v>1097</v>
      </c>
      <c r="J82" s="0" t="n">
        <f aca="false">IFERROR(I82/(B82+C82),0)</f>
        <v>91.4166666666667</v>
      </c>
      <c r="K82" s="0" t="n">
        <f aca="false">SUMIF(Games!$A$2:$A$897,$A82,Games!$F$2:$F$897)+SUMIF(Games!$B$2:$B$897,$A82,Games!$E$2:$E$897)</f>
        <v>2393</v>
      </c>
      <c r="L82" s="0" t="n">
        <f aca="false">SUMIF(Games!$A$2:$A$897,$A82,Games!$G$2:$G$897)+SUMIF(Games!$B$2:$B$897,$A82,Games!$H$2:$H$897)</f>
        <v>2977</v>
      </c>
      <c r="M82" s="0" t="n">
        <f aca="false">IFERROR(L82/(B82+C82),0)</f>
        <v>248.083333333333</v>
      </c>
      <c r="N82" s="0" t="n">
        <f aca="false">SUMIF(Games!$A$2:$A$897,$A82,Games!$H$2:$H$897)+SUMIF(Games!$B$2:$B$897,$A82,Games!$G$2:$G$897)</f>
        <v>2929</v>
      </c>
      <c r="O82" s="0" t="n">
        <f aca="false">SUMIF(Games!$A$2:$A$897,$A82,Games!$I$2:$I$897)+SUMIF(Games!$B$2:$B$897,$A82,Games!$J$2:$J$897)</f>
        <v>18</v>
      </c>
      <c r="P82" s="0" t="n">
        <f aca="false">SUMIF(Games!$A$2:$A$897,$A82,Games!$J$2:$J$897)+SUMIF(Games!$B$2:$B$897,$A82,Games!$I$2:$I$897)</f>
        <v>19</v>
      </c>
      <c r="R82" s="0" t="n">
        <f aca="false">IFERROR((K82+N82)/(B82+C82),0)</f>
        <v>443.5</v>
      </c>
      <c r="S82" s="0" t="n">
        <f aca="false">P82-O82</f>
        <v>1</v>
      </c>
      <c r="T82" s="0" t="n">
        <f aca="false">IFERROR((D82/(D82+E82))*(F82/(F82+G82)),0)</f>
        <v>0.156947948592038</v>
      </c>
      <c r="U82" s="0" t="n">
        <f aca="false">RANK(T82,T$2:T$132)</f>
        <v>22</v>
      </c>
      <c r="V82" s="0" t="n">
        <f aca="false">IFERROR((B82/(B82+C82))*25,0)+IFERROR((D82/(D82+E82))*25,0)+IFERROR((F82/(F82+G82))*10,0)+H82+((J82-RMEAN)/RDEV)*5+((M82-PMEAN)/PDEV)*5+((DMEAN-R82)/DDEV)*7+((S82-TOMEAN)/TODEV)*3</f>
        <v>-16.7919319663541</v>
      </c>
    </row>
    <row r="83" customFormat="false" ht="15" hidden="false" customHeight="false" outlineLevel="0" collapsed="false">
      <c r="A83" s="0" t="s">
        <v>87</v>
      </c>
      <c r="B83" s="0" t="n">
        <f aca="false">SUMIF(Games!$A$2:$A$897,$A83,Games!$K$2:$K$897)+SUMIF(Games!$B$2:$B$897,$A83,Games!$L$2:$L$897)</f>
        <v>8</v>
      </c>
      <c r="C83" s="0" t="n">
        <f aca="false">SUMIF(Games!$A$2:$A$897,$A83,Games!$L$2:$L$897)+SUMIF(Games!$B$2:$B$897,$A83,Games!$K$2:$K$897)</f>
        <v>5</v>
      </c>
      <c r="D83" s="0" t="n">
        <f aca="false">SUMIF(Games!$A$2:$A$897,$A83,Games!$O$2:$O$897)+SUMIF(Games!$B$2:$B$897,$A83,Games!$M$2:$M$897)</f>
        <v>97</v>
      </c>
      <c r="E83" s="0" t="n">
        <f aca="false">SUMIF(Games!$A$2:$A$897,$A83,Games!$P$2:$P$897)+SUMIF(Games!$B$2:$B$897,$A83,Games!$N$2:$N$897)</f>
        <v>176</v>
      </c>
      <c r="F83" s="0" t="n">
        <f aca="false">SUMIF(Games!$A$2:$A$897,$A83,Games!$S$2:$S$897)+SUMIF(Games!$B$2:$B$897,$A83,Games!$Q$2:$Q$897)</f>
        <v>1974</v>
      </c>
      <c r="G83" s="0" t="n">
        <f aca="false">SUMIF(Games!$A$2:$A$897,$A83,Games!$T$2:$T$897)+SUMIF(Games!$B$2:$B$897,$A83,Games!$R$2:$R$897)</f>
        <v>2820</v>
      </c>
      <c r="H83" s="0" t="n">
        <f aca="false">SUMIF(Games!$A$2:$A$897,$A83,Games!$U$2:$U$897)+SUMIF(Games!$B$2:$B$897,$A83,Games!$V$2:$V$897)</f>
        <v>6.01731919940871</v>
      </c>
      <c r="I83" s="0" t="n">
        <f aca="false">SUMIF(Games!$A$2:$A$897,$A83,Games!$E$2:$E$897)+SUMIF(Games!$B$2:$B$897,$A83,Games!$F$2:$F$897)</f>
        <v>3335</v>
      </c>
      <c r="J83" s="0" t="n">
        <f aca="false">IFERROR(I83/(B83+C83),0)</f>
        <v>256.538461538462</v>
      </c>
      <c r="K83" s="0" t="n">
        <f aca="false">SUMIF(Games!$A$2:$A$897,$A83,Games!$F$2:$F$897)+SUMIF(Games!$B$2:$B$897,$A83,Games!$E$2:$E$897)</f>
        <v>2186</v>
      </c>
      <c r="L83" s="0" t="n">
        <f aca="false">SUMIF(Games!$A$2:$A$897,$A83,Games!$G$2:$G$897)+SUMIF(Games!$B$2:$B$897,$A83,Games!$H$2:$H$897)</f>
        <v>3118</v>
      </c>
      <c r="M83" s="0" t="n">
        <f aca="false">IFERROR(L83/(B83+C83),0)</f>
        <v>239.846153846154</v>
      </c>
      <c r="N83" s="0" t="n">
        <f aca="false">SUMIF(Games!$A$2:$A$897,$A83,Games!$H$2:$H$897)+SUMIF(Games!$B$2:$B$897,$A83,Games!$G$2:$G$897)</f>
        <v>2858</v>
      </c>
      <c r="O83" s="0" t="n">
        <f aca="false">SUMIF(Games!$A$2:$A$897,$A83,Games!$I$2:$I$897)+SUMIF(Games!$B$2:$B$897,$A83,Games!$J$2:$J$897)</f>
        <v>20</v>
      </c>
      <c r="P83" s="0" t="n">
        <f aca="false">SUMIF(Games!$A$2:$A$897,$A83,Games!$J$2:$J$897)+SUMIF(Games!$B$2:$B$897,$A83,Games!$I$2:$I$897)</f>
        <v>20</v>
      </c>
      <c r="R83" s="0" t="n">
        <f aca="false">IFERROR((K83+N83)/(B83+C83),0)</f>
        <v>388</v>
      </c>
      <c r="S83" s="0" t="n">
        <f aca="false">P83-O83</f>
        <v>0</v>
      </c>
      <c r="T83" s="0" t="n">
        <f aca="false">IFERROR((D83/(D83+E83))*(F83/(F83+G83)),0)</f>
        <v>0.14630467571644</v>
      </c>
      <c r="U83" s="0" t="n">
        <f aca="false">RANK(T83,T$2:T$132)</f>
        <v>45</v>
      </c>
      <c r="V83" s="0" t="n">
        <f aca="false">IFERROR((B83/(B83+C83))*25,0)+IFERROR((D83/(D83+E83))*25,0)+IFERROR((F83/(F83+G83))*10,0)+H83+((J83-RMEAN)/RDEV)*5+((M83-PMEAN)/PDEV)*5+((DMEAN-R83)/DDEV)*7+((S83-TOMEAN)/TODEV)*3</f>
        <v>44.4511904998283</v>
      </c>
    </row>
    <row r="84" customFormat="false" ht="15" hidden="false" customHeight="false" outlineLevel="0" collapsed="false">
      <c r="A84" s="0" t="s">
        <v>88</v>
      </c>
      <c r="B84" s="0" t="n">
        <f aca="false">SUMIF(Games!$A$2:$A$897,$A84,Games!$K$2:$K$897)+SUMIF(Games!$B$2:$B$897,$A84,Games!$L$2:$L$897)</f>
        <v>10</v>
      </c>
      <c r="C84" s="0" t="n">
        <f aca="false">SUMIF(Games!$A$2:$A$897,$A84,Games!$L$2:$L$897)+SUMIF(Games!$B$2:$B$897,$A84,Games!$K$2:$K$897)</f>
        <v>3</v>
      </c>
      <c r="D84" s="0" t="n">
        <f aca="false">SUMIF(Games!$A$2:$A$897,$A84,Games!$O$2:$O$897)+SUMIF(Games!$B$2:$B$897,$A84,Games!$M$2:$M$897)</f>
        <v>100</v>
      </c>
      <c r="E84" s="0" t="n">
        <f aca="false">SUMIF(Games!$A$2:$A$897,$A84,Games!$P$2:$P$897)+SUMIF(Games!$B$2:$B$897,$A84,Games!$N$2:$N$897)</f>
        <v>176</v>
      </c>
      <c r="F84" s="0" t="n">
        <f aca="false">SUMIF(Games!$A$2:$A$897,$A84,Games!$S$2:$S$897)+SUMIF(Games!$B$2:$B$897,$A84,Games!$Q$2:$Q$897)</f>
        <v>1956</v>
      </c>
      <c r="G84" s="0" t="n">
        <f aca="false">SUMIF(Games!$A$2:$A$897,$A84,Games!$T$2:$T$897)+SUMIF(Games!$B$2:$B$897,$A84,Games!$R$2:$R$897)</f>
        <v>2752</v>
      </c>
      <c r="H84" s="0" t="n">
        <f aca="false">SUMIF(Games!$A$2:$A$897,$A84,Games!$U$2:$U$897)+SUMIF(Games!$B$2:$B$897,$A84,Games!$V$2:$V$897)</f>
        <v>16.9917580959443</v>
      </c>
      <c r="I84" s="0" t="n">
        <f aca="false">SUMIF(Games!$A$2:$A$897,$A84,Games!$E$2:$E$897)+SUMIF(Games!$B$2:$B$897,$A84,Games!$F$2:$F$897)</f>
        <v>2804</v>
      </c>
      <c r="J84" s="0" t="n">
        <f aca="false">IFERROR(I84/(B84+C84),0)</f>
        <v>215.692307692308</v>
      </c>
      <c r="K84" s="0" t="n">
        <f aca="false">SUMIF(Games!$A$2:$A$897,$A84,Games!$F$2:$F$897)+SUMIF(Games!$B$2:$B$897,$A84,Games!$E$2:$E$897)</f>
        <v>1622</v>
      </c>
      <c r="L84" s="0" t="n">
        <f aca="false">SUMIF(Games!$A$2:$A$897,$A84,Games!$G$2:$G$897)+SUMIF(Games!$B$2:$B$897,$A84,Games!$H$2:$H$897)</f>
        <v>3703</v>
      </c>
      <c r="M84" s="0" t="n">
        <f aca="false">IFERROR(L84/(B84+C84),0)</f>
        <v>284.846153846154</v>
      </c>
      <c r="N84" s="0" t="n">
        <f aca="false">SUMIF(Games!$A$2:$A$897,$A84,Games!$H$2:$H$897)+SUMIF(Games!$B$2:$B$897,$A84,Games!$G$2:$G$897)</f>
        <v>3333</v>
      </c>
      <c r="O84" s="0" t="n">
        <f aca="false">SUMIF(Games!$A$2:$A$897,$A84,Games!$I$2:$I$897)+SUMIF(Games!$B$2:$B$897,$A84,Games!$J$2:$J$897)</f>
        <v>12</v>
      </c>
      <c r="P84" s="0" t="n">
        <f aca="false">SUMIF(Games!$A$2:$A$897,$A84,Games!$J$2:$J$897)+SUMIF(Games!$B$2:$B$897,$A84,Games!$I$2:$I$897)</f>
        <v>21</v>
      </c>
      <c r="R84" s="0" t="n">
        <f aca="false">IFERROR((K84+N84)/(B84+C84),0)</f>
        <v>381.153846153846</v>
      </c>
      <c r="S84" s="0" t="n">
        <f aca="false">P84-O84</f>
        <v>9</v>
      </c>
      <c r="T84" s="0" t="n">
        <f aca="false">IFERROR((D84/(D84+E84))*(F84/(F84+G84)),0)</f>
        <v>0.15053008754756</v>
      </c>
      <c r="U84" s="0" t="n">
        <f aca="false">RANK(T84,T$2:T$132)</f>
        <v>35</v>
      </c>
      <c r="V84" s="0" t="n">
        <f aca="false">IFERROR((B84/(B84+C84))*25,0)+IFERROR((D84/(D84+E84))*25,0)+IFERROR((F84/(F84+G84))*10,0)+H84+((J84-RMEAN)/RDEV)*5+((M84-PMEAN)/PDEV)*5+((DMEAN-R84)/DDEV)*7+((S84-TOMEAN)/TODEV)*3</f>
        <v>64.11726870182</v>
      </c>
    </row>
    <row r="85" customFormat="false" ht="15" hidden="false" customHeight="false" outlineLevel="0" collapsed="false">
      <c r="A85" s="0" t="s">
        <v>89</v>
      </c>
      <c r="B85" s="0" t="n">
        <f aca="false">SUMIF(Games!$A$2:$A$897,$A85,Games!$K$2:$K$897)+SUMIF(Games!$B$2:$B$897,$A85,Games!$L$2:$L$897)</f>
        <v>10</v>
      </c>
      <c r="C85" s="0" t="n">
        <f aca="false">SUMIF(Games!$A$2:$A$897,$A85,Games!$L$2:$L$897)+SUMIF(Games!$B$2:$B$897,$A85,Games!$K$2:$K$897)</f>
        <v>3</v>
      </c>
      <c r="D85" s="0" t="n">
        <f aca="false">SUMIF(Games!$A$2:$A$897,$A85,Games!$O$2:$O$897)+SUMIF(Games!$B$2:$B$897,$A85,Games!$M$2:$M$897)</f>
        <v>94</v>
      </c>
      <c r="E85" s="0" t="n">
        <f aca="false">SUMIF(Games!$A$2:$A$897,$A85,Games!$P$2:$P$897)+SUMIF(Games!$B$2:$B$897,$A85,Games!$N$2:$N$897)</f>
        <v>182</v>
      </c>
      <c r="F85" s="0" t="n">
        <f aca="false">SUMIF(Games!$A$2:$A$897,$A85,Games!$S$2:$S$897)+SUMIF(Games!$B$2:$B$897,$A85,Games!$Q$2:$Q$897)</f>
        <v>1959</v>
      </c>
      <c r="G85" s="0" t="n">
        <f aca="false">SUMIF(Games!$A$2:$A$897,$A85,Games!$T$2:$T$897)+SUMIF(Games!$B$2:$B$897,$A85,Games!$R$2:$R$897)</f>
        <v>2653</v>
      </c>
      <c r="H85" s="0" t="n">
        <f aca="false">SUMIF(Games!$A$2:$A$897,$A85,Games!$U$2:$U$897)+SUMIF(Games!$B$2:$B$897,$A85,Games!$V$2:$V$897)</f>
        <v>16.2392911641399</v>
      </c>
      <c r="I85" s="0" t="n">
        <f aca="false">SUMIF(Games!$A$2:$A$897,$A85,Games!$E$2:$E$897)+SUMIF(Games!$B$2:$B$897,$A85,Games!$F$2:$F$897)</f>
        <v>2554</v>
      </c>
      <c r="J85" s="0" t="n">
        <f aca="false">IFERROR(I85/(B85+C85),0)</f>
        <v>196.461538461538</v>
      </c>
      <c r="K85" s="0" t="n">
        <f aca="false">SUMIF(Games!$A$2:$A$897,$A85,Games!$F$2:$F$897)+SUMIF(Games!$B$2:$B$897,$A85,Games!$E$2:$E$897)</f>
        <v>1407</v>
      </c>
      <c r="L85" s="0" t="n">
        <f aca="false">SUMIF(Games!$A$2:$A$897,$A85,Games!$G$2:$G$897)+SUMIF(Games!$B$2:$B$897,$A85,Games!$H$2:$H$897)</f>
        <v>2594</v>
      </c>
      <c r="M85" s="0" t="n">
        <f aca="false">IFERROR(L85/(B85+C85),0)</f>
        <v>199.538461538462</v>
      </c>
      <c r="N85" s="0" t="n">
        <f aca="false">SUMIF(Games!$A$2:$A$897,$A85,Games!$H$2:$H$897)+SUMIF(Games!$B$2:$B$897,$A85,Games!$G$2:$G$897)</f>
        <v>2919</v>
      </c>
      <c r="O85" s="0" t="n">
        <f aca="false">SUMIF(Games!$A$2:$A$897,$A85,Games!$I$2:$I$897)+SUMIF(Games!$B$2:$B$897,$A85,Games!$J$2:$J$897)</f>
        <v>18</v>
      </c>
      <c r="P85" s="0" t="n">
        <f aca="false">SUMIF(Games!$A$2:$A$897,$A85,Games!$J$2:$J$897)+SUMIF(Games!$B$2:$B$897,$A85,Games!$I$2:$I$897)</f>
        <v>17</v>
      </c>
      <c r="R85" s="0" t="n">
        <f aca="false">IFERROR((K85+N85)/(B85+C85),0)</f>
        <v>332.769230769231</v>
      </c>
      <c r="S85" s="0" t="n">
        <f aca="false">P85-O85</f>
        <v>-1</v>
      </c>
      <c r="T85" s="0" t="n">
        <f aca="false">IFERROR((D85/(D85+E85))*(F85/(F85+G85)),0)</f>
        <v>0.144665145744561</v>
      </c>
      <c r="U85" s="0" t="n">
        <f aca="false">RANK(T85,T$2:T$132)</f>
        <v>50</v>
      </c>
      <c r="V85" s="0" t="n">
        <f aca="false">IFERROR((B85/(B85+C85))*25,0)+IFERROR((D85/(D85+E85))*25,0)+IFERROR((F85/(F85+G85))*10,0)+H85+((J85-RMEAN)/RDEV)*5+((M85-PMEAN)/PDEV)*5+((DMEAN-R85)/DDEV)*7+((S85-TOMEAN)/TODEV)*3</f>
        <v>54.8682475876976</v>
      </c>
    </row>
    <row r="86" customFormat="false" ht="15" hidden="false" customHeight="false" outlineLevel="0" collapsed="false">
      <c r="A86" s="0" t="s">
        <v>90</v>
      </c>
      <c r="B86" s="0" t="n">
        <f aca="false">SUMIF(Games!$A$2:$A$897,$A86,Games!$K$2:$K$897)+SUMIF(Games!$B$2:$B$897,$A86,Games!$L$2:$L$897)</f>
        <v>11</v>
      </c>
      <c r="C86" s="0" t="n">
        <f aca="false">SUMIF(Games!$A$2:$A$897,$A86,Games!$L$2:$L$897)+SUMIF(Games!$B$2:$B$897,$A86,Games!$K$2:$K$897)</f>
        <v>2</v>
      </c>
      <c r="D86" s="0" t="n">
        <f aca="false">SUMIF(Games!$A$2:$A$897,$A86,Games!$O$2:$O$897)+SUMIF(Games!$B$2:$B$897,$A86,Games!$M$2:$M$897)</f>
        <v>92</v>
      </c>
      <c r="E86" s="0" t="n">
        <f aca="false">SUMIF(Games!$A$2:$A$897,$A86,Games!$P$2:$P$897)+SUMIF(Games!$B$2:$B$897,$A86,Games!$N$2:$N$897)</f>
        <v>75</v>
      </c>
      <c r="F86" s="0" t="n">
        <f aca="false">SUMIF(Games!$A$2:$A$897,$A86,Games!$S$2:$S$897)+SUMIF(Games!$B$2:$B$897,$A86,Games!$Q$2:$Q$897)</f>
        <v>1212</v>
      </c>
      <c r="G86" s="0" t="n">
        <f aca="false">SUMIF(Games!$A$2:$A$897,$A86,Games!$T$2:$T$897)+SUMIF(Games!$B$2:$B$897,$A86,Games!$R$2:$R$897)</f>
        <v>1894</v>
      </c>
      <c r="H86" s="0" t="n">
        <f aca="false">SUMIF(Games!$A$2:$A$897,$A86,Games!$U$2:$U$897)+SUMIF(Games!$B$2:$B$897,$A86,Games!$V$2:$V$897)</f>
        <v>45.3089515426594</v>
      </c>
      <c r="I86" s="0" t="n">
        <f aca="false">SUMIF(Games!$A$2:$A$897,$A86,Games!$E$2:$E$897)+SUMIF(Games!$B$2:$B$897,$A86,Games!$F$2:$F$897)</f>
        <v>2354</v>
      </c>
      <c r="J86" s="0" t="n">
        <f aca="false">IFERROR(I86/(B86+C86),0)</f>
        <v>181.076923076923</v>
      </c>
      <c r="K86" s="0" t="n">
        <f aca="false">SUMIF(Games!$A$2:$A$897,$A86,Games!$F$2:$F$897)+SUMIF(Games!$B$2:$B$897,$A86,Games!$E$2:$E$897)</f>
        <v>1455</v>
      </c>
      <c r="L86" s="0" t="n">
        <f aca="false">SUMIF(Games!$A$2:$A$897,$A86,Games!$G$2:$G$897)+SUMIF(Games!$B$2:$B$897,$A86,Games!$H$2:$H$897)</f>
        <v>3283</v>
      </c>
      <c r="M86" s="0" t="n">
        <f aca="false">IFERROR(L86/(B86+C86),0)</f>
        <v>252.538461538462</v>
      </c>
      <c r="N86" s="0" t="n">
        <f aca="false">SUMIF(Games!$A$2:$A$897,$A86,Games!$H$2:$H$897)+SUMIF(Games!$B$2:$B$897,$A86,Games!$G$2:$G$897)</f>
        <v>2751</v>
      </c>
      <c r="O86" s="0" t="n">
        <f aca="false">SUMIF(Games!$A$2:$A$897,$A86,Games!$I$2:$I$897)+SUMIF(Games!$B$2:$B$897,$A86,Games!$J$2:$J$897)</f>
        <v>14</v>
      </c>
      <c r="P86" s="0" t="n">
        <f aca="false">SUMIF(Games!$A$2:$A$897,$A86,Games!$J$2:$J$897)+SUMIF(Games!$B$2:$B$897,$A86,Games!$I$2:$I$897)</f>
        <v>26</v>
      </c>
      <c r="R86" s="0" t="n">
        <f aca="false">IFERROR((K86+N86)/(B86+C86),0)</f>
        <v>323.538461538462</v>
      </c>
      <c r="S86" s="0" t="n">
        <f aca="false">P86-O86</f>
        <v>12</v>
      </c>
      <c r="T86" s="0" t="n">
        <f aca="false">IFERROR((D86/(D86+E86))*(F86/(F86+G86)),0)</f>
        <v>0.214967360835316</v>
      </c>
      <c r="U86" s="0" t="n">
        <f aca="false">RANK(T86,T$2:T$132)</f>
        <v>4</v>
      </c>
      <c r="V86" s="0" t="n">
        <f aca="false">IFERROR((B86/(B86+C86))*25,0)+IFERROR((D86/(D86+E86))*25,0)+IFERROR((F86/(F86+G86))*10,0)+H86+((J86-RMEAN)/RDEV)*5+((M86-PMEAN)/PDEV)*5+((DMEAN-R86)/DDEV)*7+((S86-TOMEAN)/TODEV)*3</f>
        <v>101.050702451002</v>
      </c>
    </row>
    <row r="87" customFormat="false" ht="15" hidden="false" customHeight="false" outlineLevel="0" collapsed="false">
      <c r="A87" s="0" t="s">
        <v>91</v>
      </c>
      <c r="B87" s="0" t="n">
        <f aca="false">SUMIF(Games!$A$2:$A$897,$A87,Games!$K$2:$K$897)+SUMIF(Games!$B$2:$B$897,$A87,Games!$L$2:$L$897)</f>
        <v>9</v>
      </c>
      <c r="C87" s="0" t="n">
        <f aca="false">SUMIF(Games!$A$2:$A$897,$A87,Games!$L$2:$L$897)+SUMIF(Games!$B$2:$B$897,$A87,Games!$K$2:$K$897)</f>
        <v>4</v>
      </c>
      <c r="D87" s="0" t="n">
        <f aca="false">SUMIF(Games!$A$2:$A$897,$A87,Games!$O$2:$O$897)+SUMIF(Games!$B$2:$B$897,$A87,Games!$M$2:$M$897)</f>
        <v>87</v>
      </c>
      <c r="E87" s="0" t="n">
        <f aca="false">SUMIF(Games!$A$2:$A$897,$A87,Games!$P$2:$P$897)+SUMIF(Games!$B$2:$B$897,$A87,Games!$N$2:$N$897)</f>
        <v>181</v>
      </c>
      <c r="F87" s="0" t="n">
        <f aca="false">SUMIF(Games!$A$2:$A$897,$A87,Games!$S$2:$S$897)+SUMIF(Games!$B$2:$B$897,$A87,Games!$Q$2:$Q$897)</f>
        <v>1860</v>
      </c>
      <c r="G87" s="0" t="n">
        <f aca="false">SUMIF(Games!$A$2:$A$897,$A87,Games!$T$2:$T$897)+SUMIF(Games!$B$2:$B$897,$A87,Games!$R$2:$R$897)</f>
        <v>2731</v>
      </c>
      <c r="H87" s="0" t="n">
        <f aca="false">SUMIF(Games!$A$2:$A$897,$A87,Games!$U$2:$U$897)+SUMIF(Games!$B$2:$B$897,$A87,Games!$V$2:$V$897)</f>
        <v>5.87783688782631</v>
      </c>
      <c r="I87" s="0" t="n">
        <f aca="false">SUMIF(Games!$A$2:$A$897,$A87,Games!$E$2:$E$897)+SUMIF(Games!$B$2:$B$897,$A87,Games!$F$2:$F$897)</f>
        <v>2380</v>
      </c>
      <c r="J87" s="0" t="n">
        <f aca="false">IFERROR(I87/(B87+C87),0)</f>
        <v>183.076923076923</v>
      </c>
      <c r="K87" s="0" t="n">
        <f aca="false">SUMIF(Games!$A$2:$A$897,$A87,Games!$F$2:$F$897)+SUMIF(Games!$B$2:$B$897,$A87,Games!$E$2:$E$897)</f>
        <v>1288</v>
      </c>
      <c r="L87" s="0" t="n">
        <f aca="false">SUMIF(Games!$A$2:$A$897,$A87,Games!$G$2:$G$897)+SUMIF(Games!$B$2:$B$897,$A87,Games!$H$2:$H$897)</f>
        <v>2889</v>
      </c>
      <c r="M87" s="0" t="n">
        <f aca="false">IFERROR(L87/(B87+C87),0)</f>
        <v>222.230769230769</v>
      </c>
      <c r="N87" s="0" t="n">
        <f aca="false">SUMIF(Games!$A$2:$A$897,$A87,Games!$H$2:$H$897)+SUMIF(Games!$B$2:$B$897,$A87,Games!$G$2:$G$897)</f>
        <v>2999</v>
      </c>
      <c r="O87" s="0" t="n">
        <f aca="false">SUMIF(Games!$A$2:$A$897,$A87,Games!$I$2:$I$897)+SUMIF(Games!$B$2:$B$897,$A87,Games!$J$2:$J$897)</f>
        <v>20</v>
      </c>
      <c r="P87" s="0" t="n">
        <f aca="false">SUMIF(Games!$A$2:$A$897,$A87,Games!$J$2:$J$897)+SUMIF(Games!$B$2:$B$897,$A87,Games!$I$2:$I$897)</f>
        <v>22</v>
      </c>
      <c r="R87" s="0" t="n">
        <f aca="false">IFERROR((K87+N87)/(B87+C87),0)</f>
        <v>329.769230769231</v>
      </c>
      <c r="S87" s="0" t="n">
        <f aca="false">P87-O87</f>
        <v>2</v>
      </c>
      <c r="T87" s="0" t="n">
        <f aca="false">IFERROR((D87/(D87+E87))*(F87/(F87+G87)),0)</f>
        <v>0.131519488161458</v>
      </c>
      <c r="U87" s="0" t="n">
        <f aca="false">RANK(T87,T$2:T$132)</f>
        <v>73</v>
      </c>
      <c r="V87" s="0" t="n">
        <f aca="false">IFERROR((B87/(B87+C87))*25,0)+IFERROR((D87/(D87+E87))*25,0)+IFERROR((F87/(F87+G87))*10,0)+H87+((J87-RMEAN)/RDEV)*5+((M87-PMEAN)/PDEV)*5+((DMEAN-R87)/DDEV)*7+((S87-TOMEAN)/TODEV)*3</f>
        <v>44.3891027106092</v>
      </c>
    </row>
    <row r="88" customFormat="false" ht="15" hidden="false" customHeight="false" outlineLevel="0" collapsed="false">
      <c r="A88" s="0" t="s">
        <v>92</v>
      </c>
      <c r="B88" s="0" t="n">
        <f aca="false">SUMIF(Games!$A$2:$A$897,$A88,Games!$K$2:$K$897)+SUMIF(Games!$B$2:$B$897,$A88,Games!$L$2:$L$897)</f>
        <v>8</v>
      </c>
      <c r="C88" s="0" t="n">
        <f aca="false">SUMIF(Games!$A$2:$A$897,$A88,Games!$L$2:$L$897)+SUMIF(Games!$B$2:$B$897,$A88,Games!$K$2:$K$897)</f>
        <v>6</v>
      </c>
      <c r="D88" s="0" t="n">
        <f aca="false">SUMIF(Games!$A$2:$A$897,$A88,Games!$O$2:$O$897)+SUMIF(Games!$B$2:$B$897,$A88,Games!$M$2:$M$897)</f>
        <v>103</v>
      </c>
      <c r="E88" s="0" t="n">
        <f aca="false">SUMIF(Games!$A$2:$A$897,$A88,Games!$P$2:$P$897)+SUMIF(Games!$B$2:$B$897,$A88,Games!$N$2:$N$897)</f>
        <v>184</v>
      </c>
      <c r="F88" s="0" t="n">
        <f aca="false">SUMIF(Games!$A$2:$A$897,$A88,Games!$S$2:$S$897)+SUMIF(Games!$B$2:$B$897,$A88,Games!$Q$2:$Q$897)</f>
        <v>1996</v>
      </c>
      <c r="G88" s="0" t="n">
        <f aca="false">SUMIF(Games!$A$2:$A$897,$A88,Games!$T$2:$T$897)+SUMIF(Games!$B$2:$B$897,$A88,Games!$R$2:$R$897)</f>
        <v>2753</v>
      </c>
      <c r="H88" s="0" t="n">
        <f aca="false">SUMIF(Games!$A$2:$A$897,$A88,Games!$U$2:$U$897)+SUMIF(Games!$B$2:$B$897,$A88,Games!$V$2:$V$897)</f>
        <v>-8.76650137041881</v>
      </c>
      <c r="I88" s="0" t="n">
        <f aca="false">SUMIF(Games!$A$2:$A$897,$A88,Games!$E$2:$E$897)+SUMIF(Games!$B$2:$B$897,$A88,Games!$F$2:$F$897)</f>
        <v>1695</v>
      </c>
      <c r="J88" s="0" t="n">
        <f aca="false">IFERROR(I88/(B88+C88),0)</f>
        <v>121.071428571429</v>
      </c>
      <c r="K88" s="0" t="n">
        <f aca="false">SUMIF(Games!$A$2:$A$897,$A88,Games!$F$2:$F$897)+SUMIF(Games!$B$2:$B$897,$A88,Games!$E$2:$E$897)</f>
        <v>1995</v>
      </c>
      <c r="L88" s="0" t="n">
        <f aca="false">SUMIF(Games!$A$2:$A$897,$A88,Games!$G$2:$G$897)+SUMIF(Games!$B$2:$B$897,$A88,Games!$H$2:$H$897)</f>
        <v>3895</v>
      </c>
      <c r="M88" s="0" t="n">
        <f aca="false">IFERROR(L88/(B88+C88),0)</f>
        <v>278.214285714286</v>
      </c>
      <c r="N88" s="0" t="n">
        <f aca="false">SUMIF(Games!$A$2:$A$897,$A88,Games!$H$2:$H$897)+SUMIF(Games!$B$2:$B$897,$A88,Games!$G$2:$G$897)</f>
        <v>3149</v>
      </c>
      <c r="O88" s="0" t="n">
        <f aca="false">SUMIF(Games!$A$2:$A$897,$A88,Games!$I$2:$I$897)+SUMIF(Games!$B$2:$B$897,$A88,Games!$J$2:$J$897)</f>
        <v>23</v>
      </c>
      <c r="P88" s="0" t="n">
        <f aca="false">SUMIF(Games!$A$2:$A$897,$A88,Games!$J$2:$J$897)+SUMIF(Games!$B$2:$B$897,$A88,Games!$I$2:$I$897)</f>
        <v>20</v>
      </c>
      <c r="R88" s="0" t="n">
        <f aca="false">IFERROR((K88+N88)/(B88+C88),0)</f>
        <v>367.428571428571</v>
      </c>
      <c r="S88" s="0" t="n">
        <f aca="false">P88-O88</f>
        <v>-3</v>
      </c>
      <c r="T88" s="0" t="n">
        <f aca="false">IFERROR((D88/(D88+E88))*(F88/(F88+G88)),0)</f>
        <v>0.150839017640244</v>
      </c>
      <c r="U88" s="0" t="n">
        <f aca="false">RANK(T88,T$2:T$132)</f>
        <v>33</v>
      </c>
      <c r="V88" s="0" t="n">
        <f aca="false">IFERROR((B88/(B88+C88))*25,0)+IFERROR((D88/(D88+E88))*25,0)+IFERROR((F88/(F88+G88))*10,0)+H88+((J88-RMEAN)/RDEV)*5+((M88-PMEAN)/PDEV)*5+((DMEAN-R88)/DDEV)*7+((S88-TOMEAN)/TODEV)*3</f>
        <v>18.9207513503831</v>
      </c>
    </row>
    <row r="89" customFormat="false" ht="15" hidden="false" customHeight="false" outlineLevel="0" collapsed="false">
      <c r="A89" s="0" t="s">
        <v>93</v>
      </c>
      <c r="B89" s="0" t="n">
        <f aca="false">SUMIF(Games!$A$2:$A$897,$A89,Games!$K$2:$K$897)+SUMIF(Games!$B$2:$B$897,$A89,Games!$L$2:$L$897)</f>
        <v>5</v>
      </c>
      <c r="C89" s="0" t="n">
        <f aca="false">SUMIF(Games!$A$2:$A$897,$A89,Games!$L$2:$L$897)+SUMIF(Games!$B$2:$B$897,$A89,Games!$K$2:$K$897)</f>
        <v>8</v>
      </c>
      <c r="D89" s="0" t="n">
        <f aca="false">SUMIF(Games!$A$2:$A$897,$A89,Games!$O$2:$O$897)+SUMIF(Games!$B$2:$B$897,$A89,Games!$M$2:$M$897)</f>
        <v>90</v>
      </c>
      <c r="E89" s="0" t="n">
        <f aca="false">SUMIF(Games!$A$2:$A$897,$A89,Games!$P$2:$P$897)+SUMIF(Games!$B$2:$B$897,$A89,Games!$N$2:$N$897)</f>
        <v>186</v>
      </c>
      <c r="F89" s="0" t="n">
        <f aca="false">SUMIF(Games!$A$2:$A$897,$A89,Games!$S$2:$S$897)+SUMIF(Games!$B$2:$B$897,$A89,Games!$Q$2:$Q$897)</f>
        <v>1859</v>
      </c>
      <c r="G89" s="0" t="n">
        <f aca="false">SUMIF(Games!$A$2:$A$897,$A89,Games!$T$2:$T$897)+SUMIF(Games!$B$2:$B$897,$A89,Games!$R$2:$R$897)</f>
        <v>2648</v>
      </c>
      <c r="H89" s="0" t="n">
        <f aca="false">SUMIF(Games!$A$2:$A$897,$A89,Games!$U$2:$U$897)+SUMIF(Games!$B$2:$B$897,$A89,Games!$V$2:$V$897)</f>
        <v>-37.3995529196827</v>
      </c>
      <c r="I89" s="0" t="n">
        <f aca="false">SUMIF(Games!$A$2:$A$897,$A89,Games!$E$2:$E$897)+SUMIF(Games!$B$2:$B$897,$A89,Games!$F$2:$F$897)</f>
        <v>1838</v>
      </c>
      <c r="J89" s="0" t="n">
        <f aca="false">IFERROR(I89/(B89+C89),0)</f>
        <v>141.384615384615</v>
      </c>
      <c r="K89" s="0" t="n">
        <f aca="false">SUMIF(Games!$A$2:$A$897,$A89,Games!$F$2:$F$897)+SUMIF(Games!$B$2:$B$897,$A89,Games!$E$2:$E$897)</f>
        <v>2363</v>
      </c>
      <c r="L89" s="0" t="n">
        <f aca="false">SUMIF(Games!$A$2:$A$897,$A89,Games!$G$2:$G$897)+SUMIF(Games!$B$2:$B$897,$A89,Games!$H$2:$H$897)</f>
        <v>3027</v>
      </c>
      <c r="M89" s="0" t="n">
        <f aca="false">IFERROR(L89/(B89+C89),0)</f>
        <v>232.846153846154</v>
      </c>
      <c r="N89" s="0" t="n">
        <f aca="false">SUMIF(Games!$A$2:$A$897,$A89,Games!$H$2:$H$897)+SUMIF(Games!$B$2:$B$897,$A89,Games!$G$2:$G$897)</f>
        <v>2712</v>
      </c>
      <c r="O89" s="0" t="n">
        <f aca="false">SUMIF(Games!$A$2:$A$897,$A89,Games!$I$2:$I$897)+SUMIF(Games!$B$2:$B$897,$A89,Games!$J$2:$J$897)</f>
        <v>32</v>
      </c>
      <c r="P89" s="0" t="n">
        <f aca="false">SUMIF(Games!$A$2:$A$897,$A89,Games!$J$2:$J$897)+SUMIF(Games!$B$2:$B$897,$A89,Games!$I$2:$I$897)</f>
        <v>18</v>
      </c>
      <c r="R89" s="0" t="n">
        <f aca="false">IFERROR((K89+N89)/(B89+C89),0)</f>
        <v>390.384615384615</v>
      </c>
      <c r="S89" s="0" t="n">
        <f aca="false">P89-O89</f>
        <v>-14</v>
      </c>
      <c r="T89" s="0" t="n">
        <f aca="false">IFERROR((D89/(D89+E89))*(F89/(F89+G89)),0)</f>
        <v>0.134500921272224</v>
      </c>
      <c r="U89" s="0" t="n">
        <f aca="false">RANK(T89,T$2:T$132)</f>
        <v>66</v>
      </c>
      <c r="V89" s="0" t="n">
        <f aca="false">IFERROR((B89/(B89+C89))*25,0)+IFERROR((D89/(D89+E89))*25,0)+IFERROR((F89/(F89+G89))*10,0)+H89+((J89-RMEAN)/RDEV)*5+((M89-PMEAN)/PDEV)*5+((DMEAN-R89)/DDEV)*7+((S89-TOMEAN)/TODEV)*3</f>
        <v>-25.2776577126691</v>
      </c>
    </row>
    <row r="90" customFormat="false" ht="15" hidden="false" customHeight="false" outlineLevel="0" collapsed="false">
      <c r="A90" s="0" t="s">
        <v>94</v>
      </c>
      <c r="B90" s="0" t="n">
        <f aca="false">SUMIF(Games!$A$2:$A$897,$A90,Games!$K$2:$K$897)+SUMIF(Games!$B$2:$B$897,$A90,Games!$L$2:$L$897)</f>
        <v>4</v>
      </c>
      <c r="C90" s="0" t="n">
        <f aca="false">SUMIF(Games!$A$2:$A$897,$A90,Games!$L$2:$L$897)+SUMIF(Games!$B$2:$B$897,$A90,Games!$K$2:$K$897)</f>
        <v>8</v>
      </c>
      <c r="D90" s="0" t="n">
        <f aca="false">SUMIF(Games!$A$2:$A$897,$A90,Games!$O$2:$O$897)+SUMIF(Games!$B$2:$B$897,$A90,Games!$M$2:$M$897)</f>
        <v>87</v>
      </c>
      <c r="E90" s="0" t="n">
        <f aca="false">SUMIF(Games!$A$2:$A$897,$A90,Games!$P$2:$P$897)+SUMIF(Games!$B$2:$B$897,$A90,Games!$N$2:$N$897)</f>
        <v>172</v>
      </c>
      <c r="F90" s="0" t="n">
        <f aca="false">SUMIF(Games!$A$2:$A$897,$A90,Games!$S$2:$S$897)+SUMIF(Games!$B$2:$B$897,$A90,Games!$Q$2:$Q$897)</f>
        <v>1781</v>
      </c>
      <c r="G90" s="0" t="n">
        <f aca="false">SUMIF(Games!$A$2:$A$897,$A90,Games!$T$2:$T$897)+SUMIF(Games!$B$2:$B$897,$A90,Games!$R$2:$R$897)</f>
        <v>2173</v>
      </c>
      <c r="H90" s="0" t="n">
        <f aca="false">SUMIF(Games!$A$2:$A$897,$A90,Games!$U$2:$U$897)+SUMIF(Games!$B$2:$B$897,$A90,Games!$V$2:$V$897)</f>
        <v>-22.85693072669</v>
      </c>
      <c r="I90" s="0" t="n">
        <f aca="false">SUMIF(Games!$A$2:$A$897,$A90,Games!$E$2:$E$897)+SUMIF(Games!$B$2:$B$897,$A90,Games!$F$2:$F$897)</f>
        <v>1523</v>
      </c>
      <c r="J90" s="0" t="n">
        <f aca="false">IFERROR(I90/(B90+C90),0)</f>
        <v>126.916666666667</v>
      </c>
      <c r="K90" s="0" t="n">
        <f aca="false">SUMIF(Games!$A$2:$A$897,$A90,Games!$F$2:$F$897)+SUMIF(Games!$B$2:$B$897,$A90,Games!$E$2:$E$897)</f>
        <v>1715</v>
      </c>
      <c r="L90" s="0" t="n">
        <f aca="false">SUMIF(Games!$A$2:$A$897,$A90,Games!$G$2:$G$897)+SUMIF(Games!$B$2:$B$897,$A90,Games!$H$2:$H$897)</f>
        <v>1852</v>
      </c>
      <c r="M90" s="0" t="n">
        <f aca="false">IFERROR(L90/(B90+C90),0)</f>
        <v>154.333333333333</v>
      </c>
      <c r="N90" s="0" t="n">
        <f aca="false">SUMIF(Games!$A$2:$A$897,$A90,Games!$H$2:$H$897)+SUMIF(Games!$B$2:$B$897,$A90,Games!$G$2:$G$897)</f>
        <v>2482</v>
      </c>
      <c r="O90" s="0" t="n">
        <f aca="false">SUMIF(Games!$A$2:$A$897,$A90,Games!$I$2:$I$897)+SUMIF(Games!$B$2:$B$897,$A90,Games!$J$2:$J$897)</f>
        <v>20</v>
      </c>
      <c r="P90" s="0" t="n">
        <f aca="false">SUMIF(Games!$A$2:$A$897,$A90,Games!$J$2:$J$897)+SUMIF(Games!$B$2:$B$897,$A90,Games!$I$2:$I$897)</f>
        <v>14</v>
      </c>
      <c r="R90" s="0" t="n">
        <f aca="false">IFERROR((K90+N90)/(B90+C90),0)</f>
        <v>349.75</v>
      </c>
      <c r="S90" s="0" t="n">
        <f aca="false">P90-O90</f>
        <v>-6</v>
      </c>
      <c r="T90" s="0" t="n">
        <f aca="false">IFERROR((D90/(D90+E90))*(F90/(F90+G90)),0)</f>
        <v>0.151302722622905</v>
      </c>
      <c r="U90" s="0" t="n">
        <f aca="false">RANK(T90,T$2:T$132)</f>
        <v>32</v>
      </c>
      <c r="V90" s="0" t="n">
        <f aca="false">IFERROR((B90/(B90+C90))*25,0)+IFERROR((D90/(D90+E90))*25,0)+IFERROR((F90/(F90+G90))*10,0)+H90+((J90-RMEAN)/RDEV)*5+((M90-PMEAN)/PDEV)*5+((DMEAN-R90)/DDEV)*7+((S90-TOMEAN)/TODEV)*3</f>
        <v>-11.4624168459508</v>
      </c>
    </row>
    <row r="91" customFormat="false" ht="15" hidden="false" customHeight="false" outlineLevel="0" collapsed="false">
      <c r="A91" s="0" t="s">
        <v>95</v>
      </c>
      <c r="B91" s="0" t="n">
        <f aca="false">SUMIF(Games!$A$2:$A$897,$A91,Games!$K$2:$K$897)+SUMIF(Games!$B$2:$B$897,$A91,Games!$L$2:$L$897)</f>
        <v>7</v>
      </c>
      <c r="C91" s="0" t="n">
        <f aca="false">SUMIF(Games!$A$2:$A$897,$A91,Games!$L$2:$L$897)+SUMIF(Games!$B$2:$B$897,$A91,Games!$K$2:$K$897)</f>
        <v>6</v>
      </c>
      <c r="D91" s="0" t="n">
        <f aca="false">SUMIF(Games!$A$2:$A$897,$A91,Games!$O$2:$O$897)+SUMIF(Games!$B$2:$B$897,$A91,Games!$M$2:$M$897)</f>
        <v>99</v>
      </c>
      <c r="E91" s="0" t="n">
        <f aca="false">SUMIF(Games!$A$2:$A$897,$A91,Games!$P$2:$P$897)+SUMIF(Games!$B$2:$B$897,$A91,Games!$N$2:$N$897)</f>
        <v>179</v>
      </c>
      <c r="F91" s="0" t="n">
        <f aca="false">SUMIF(Games!$A$2:$A$897,$A91,Games!$S$2:$S$897)+SUMIF(Games!$B$2:$B$897,$A91,Games!$Q$2:$Q$897)</f>
        <v>1904</v>
      </c>
      <c r="G91" s="0" t="n">
        <f aca="false">SUMIF(Games!$A$2:$A$897,$A91,Games!$T$2:$T$897)+SUMIF(Games!$B$2:$B$897,$A91,Games!$R$2:$R$897)</f>
        <v>2734</v>
      </c>
      <c r="H91" s="0" t="n">
        <f aca="false">SUMIF(Games!$A$2:$A$897,$A91,Games!$U$2:$U$897)+SUMIF(Games!$B$2:$B$897,$A91,Games!$V$2:$V$897)</f>
        <v>3.22888854155804</v>
      </c>
      <c r="I91" s="0" t="n">
        <f aca="false">SUMIF(Games!$A$2:$A$897,$A91,Games!$E$2:$E$897)+SUMIF(Games!$B$2:$B$897,$A91,Games!$F$2:$F$897)</f>
        <v>2030</v>
      </c>
      <c r="J91" s="0" t="n">
        <f aca="false">IFERROR(I91/(B91+C91),0)</f>
        <v>156.153846153846</v>
      </c>
      <c r="K91" s="0" t="n">
        <f aca="false">SUMIF(Games!$A$2:$A$897,$A91,Games!$F$2:$F$897)+SUMIF(Games!$B$2:$B$897,$A91,Games!$E$2:$E$897)</f>
        <v>2647</v>
      </c>
      <c r="L91" s="0" t="n">
        <f aca="false">SUMIF(Games!$A$2:$A$897,$A91,Games!$G$2:$G$897)+SUMIF(Games!$B$2:$B$897,$A91,Games!$H$2:$H$897)</f>
        <v>4117</v>
      </c>
      <c r="M91" s="0" t="n">
        <f aca="false">IFERROR(L91/(B91+C91),0)</f>
        <v>316.692307692308</v>
      </c>
      <c r="N91" s="0" t="n">
        <f aca="false">SUMIF(Games!$A$2:$A$897,$A91,Games!$H$2:$H$897)+SUMIF(Games!$B$2:$B$897,$A91,Games!$G$2:$G$897)</f>
        <v>2961</v>
      </c>
      <c r="O91" s="0" t="n">
        <f aca="false">SUMIF(Games!$A$2:$A$897,$A91,Games!$I$2:$I$897)+SUMIF(Games!$B$2:$B$897,$A91,Games!$J$2:$J$897)</f>
        <v>20</v>
      </c>
      <c r="P91" s="0" t="n">
        <f aca="false">SUMIF(Games!$A$2:$A$897,$A91,Games!$J$2:$J$897)+SUMIF(Games!$B$2:$B$897,$A91,Games!$I$2:$I$897)</f>
        <v>18</v>
      </c>
      <c r="R91" s="0" t="n">
        <f aca="false">IFERROR((K91+N91)/(B91+C91),0)</f>
        <v>431.384615384615</v>
      </c>
      <c r="S91" s="0" t="n">
        <f aca="false">P91-O91</f>
        <v>-2</v>
      </c>
      <c r="T91" s="0" t="n">
        <f aca="false">IFERROR((D91/(D91+E91))*(F91/(F91+G91)),0)</f>
        <v>0.14619300678474</v>
      </c>
      <c r="U91" s="0" t="n">
        <f aca="false">RANK(T91,T$2:T$132)</f>
        <v>47</v>
      </c>
      <c r="V91" s="0" t="n">
        <f aca="false">IFERROR((B91/(B91+C91))*25,0)+IFERROR((D91/(D91+E91))*25,0)+IFERROR((F91/(F91+G91))*10,0)+H91+((J91-RMEAN)/RDEV)*5+((M91-PMEAN)/PDEV)*5+((DMEAN-R91)/DDEV)*7+((S91-TOMEAN)/TODEV)*3</f>
        <v>29.2177031204376</v>
      </c>
    </row>
    <row r="92" customFormat="false" ht="15" hidden="false" customHeight="false" outlineLevel="0" collapsed="false">
      <c r="A92" s="0" t="s">
        <v>96</v>
      </c>
      <c r="B92" s="0" t="n">
        <f aca="false">SUMIF(Games!$A$2:$A$897,$A92,Games!$K$2:$K$897)+SUMIF(Games!$B$2:$B$897,$A92,Games!$L$2:$L$897)</f>
        <v>7</v>
      </c>
      <c r="C92" s="0" t="n">
        <f aca="false">SUMIF(Games!$A$2:$A$897,$A92,Games!$L$2:$L$897)+SUMIF(Games!$B$2:$B$897,$A92,Games!$K$2:$K$897)</f>
        <v>6</v>
      </c>
      <c r="D92" s="0" t="n">
        <f aca="false">SUMIF(Games!$A$2:$A$897,$A92,Games!$O$2:$O$897)+SUMIF(Games!$B$2:$B$897,$A92,Games!$M$2:$M$897)</f>
        <v>89</v>
      </c>
      <c r="E92" s="0" t="n">
        <f aca="false">SUMIF(Games!$A$2:$A$897,$A92,Games!$P$2:$P$897)+SUMIF(Games!$B$2:$B$897,$A92,Games!$N$2:$N$897)</f>
        <v>186</v>
      </c>
      <c r="F92" s="0" t="n">
        <f aca="false">SUMIF(Games!$A$2:$A$897,$A92,Games!$S$2:$S$897)+SUMIF(Games!$B$2:$B$897,$A92,Games!$Q$2:$Q$897)</f>
        <v>1825</v>
      </c>
      <c r="G92" s="0" t="n">
        <f aca="false">SUMIF(Games!$A$2:$A$897,$A92,Games!$T$2:$T$897)+SUMIF(Games!$B$2:$B$897,$A92,Games!$R$2:$R$897)</f>
        <v>2971</v>
      </c>
      <c r="H92" s="0" t="n">
        <f aca="false">SUMIF(Games!$A$2:$A$897,$A92,Games!$U$2:$U$897)+SUMIF(Games!$B$2:$B$897,$A92,Games!$V$2:$V$897)</f>
        <v>-12.2900120187944</v>
      </c>
      <c r="I92" s="0" t="n">
        <f aca="false">SUMIF(Games!$A$2:$A$897,$A92,Games!$E$2:$E$897)+SUMIF(Games!$B$2:$B$897,$A92,Games!$F$2:$F$897)</f>
        <v>1862</v>
      </c>
      <c r="J92" s="0" t="n">
        <f aca="false">IFERROR(I92/(B92+C92),0)</f>
        <v>143.230769230769</v>
      </c>
      <c r="K92" s="0" t="n">
        <f aca="false">SUMIF(Games!$A$2:$A$897,$A92,Games!$F$2:$F$897)+SUMIF(Games!$B$2:$B$897,$A92,Games!$E$2:$E$897)</f>
        <v>1489</v>
      </c>
      <c r="L92" s="0" t="n">
        <f aca="false">SUMIF(Games!$A$2:$A$897,$A92,Games!$G$2:$G$897)+SUMIF(Games!$B$2:$B$897,$A92,Games!$H$2:$H$897)</f>
        <v>2348</v>
      </c>
      <c r="M92" s="0" t="n">
        <f aca="false">IFERROR(L92/(B92+C92),0)</f>
        <v>180.615384615385</v>
      </c>
      <c r="N92" s="0" t="n">
        <f aca="false">SUMIF(Games!$A$2:$A$897,$A92,Games!$H$2:$H$897)+SUMIF(Games!$B$2:$B$897,$A92,Games!$G$2:$G$897)</f>
        <v>2715</v>
      </c>
      <c r="O92" s="0" t="n">
        <f aca="false">SUMIF(Games!$A$2:$A$897,$A92,Games!$I$2:$I$897)+SUMIF(Games!$B$2:$B$897,$A92,Games!$J$2:$J$897)</f>
        <v>24</v>
      </c>
      <c r="P92" s="0" t="n">
        <f aca="false">SUMIF(Games!$A$2:$A$897,$A92,Games!$J$2:$J$897)+SUMIF(Games!$B$2:$B$897,$A92,Games!$I$2:$I$897)</f>
        <v>20</v>
      </c>
      <c r="R92" s="0" t="n">
        <f aca="false">IFERROR((K92+N92)/(B92+C92),0)</f>
        <v>323.384615384615</v>
      </c>
      <c r="S92" s="0" t="n">
        <f aca="false">P92-O92</f>
        <v>-4</v>
      </c>
      <c r="T92" s="0" t="n">
        <f aca="false">IFERROR((D92/(D92+E92))*(F92/(F92+G92)),0)</f>
        <v>0.123151868981727</v>
      </c>
      <c r="U92" s="0" t="n">
        <f aca="false">RANK(T92,T$2:T$132)</f>
        <v>95</v>
      </c>
      <c r="V92" s="0" t="n">
        <f aca="false">IFERROR((B92/(B92+C92))*25,0)+IFERROR((D92/(D92+E92))*25,0)+IFERROR((F92/(F92+G92))*10,0)+H92+((J92-RMEAN)/RDEV)*5+((M92-PMEAN)/PDEV)*5+((DMEAN-R92)/DDEV)*7+((S92-TOMEAN)/TODEV)*3</f>
        <v>11.9863584337547</v>
      </c>
    </row>
    <row r="93" customFormat="false" ht="15" hidden="false" customHeight="false" outlineLevel="0" collapsed="false">
      <c r="A93" s="0" t="s">
        <v>97</v>
      </c>
      <c r="B93" s="0" t="n">
        <f aca="false">SUMIF(Games!$A$2:$A$897,$A93,Games!$K$2:$K$897)+SUMIF(Games!$B$2:$B$897,$A93,Games!$L$2:$L$897)</f>
        <v>7</v>
      </c>
      <c r="C93" s="0" t="n">
        <f aca="false">SUMIF(Games!$A$2:$A$897,$A93,Games!$L$2:$L$897)+SUMIF(Games!$B$2:$B$897,$A93,Games!$K$2:$K$897)</f>
        <v>5</v>
      </c>
      <c r="D93" s="0" t="n">
        <f aca="false">SUMIF(Games!$A$2:$A$897,$A93,Games!$O$2:$O$897)+SUMIF(Games!$B$2:$B$897,$A93,Games!$M$2:$M$897)</f>
        <v>70</v>
      </c>
      <c r="E93" s="0" t="n">
        <f aca="false">SUMIF(Games!$A$2:$A$897,$A93,Games!$P$2:$P$897)+SUMIF(Games!$B$2:$B$897,$A93,Games!$N$2:$N$897)</f>
        <v>189</v>
      </c>
      <c r="F93" s="0" t="n">
        <f aca="false">SUMIF(Games!$A$2:$A$897,$A93,Games!$S$2:$S$897)+SUMIF(Games!$B$2:$B$897,$A93,Games!$Q$2:$Q$897)</f>
        <v>1747</v>
      </c>
      <c r="G93" s="0" t="n">
        <f aca="false">SUMIF(Games!$A$2:$A$897,$A93,Games!$T$2:$T$897)+SUMIF(Games!$B$2:$B$897,$A93,Games!$R$2:$R$897)</f>
        <v>2745</v>
      </c>
      <c r="H93" s="0" t="n">
        <f aca="false">SUMIF(Games!$A$2:$A$897,$A93,Games!$U$2:$U$897)+SUMIF(Games!$B$2:$B$897,$A93,Games!$V$2:$V$897)</f>
        <v>-0.85208769857432</v>
      </c>
      <c r="I93" s="0" t="n">
        <f aca="false">SUMIF(Games!$A$2:$A$897,$A93,Games!$E$2:$E$897)+SUMIF(Games!$B$2:$B$897,$A93,Games!$F$2:$F$897)</f>
        <v>1154</v>
      </c>
      <c r="J93" s="0" t="n">
        <f aca="false">IFERROR(I93/(B93+C93),0)</f>
        <v>96.1666666666667</v>
      </c>
      <c r="K93" s="0" t="n">
        <f aca="false">SUMIF(Games!$A$2:$A$897,$A93,Games!$F$2:$F$897)+SUMIF(Games!$B$2:$B$897,$A93,Games!$E$2:$E$897)</f>
        <v>1467</v>
      </c>
      <c r="L93" s="0" t="n">
        <f aca="false">SUMIF(Games!$A$2:$A$897,$A93,Games!$G$2:$G$897)+SUMIF(Games!$B$2:$B$897,$A93,Games!$H$2:$H$897)</f>
        <v>3261</v>
      </c>
      <c r="M93" s="0" t="n">
        <f aca="false">IFERROR(L93/(B93+C93),0)</f>
        <v>271.75</v>
      </c>
      <c r="N93" s="0" t="n">
        <f aca="false">SUMIF(Games!$A$2:$A$897,$A93,Games!$H$2:$H$897)+SUMIF(Games!$B$2:$B$897,$A93,Games!$G$2:$G$897)</f>
        <v>2606</v>
      </c>
      <c r="O93" s="0" t="n">
        <f aca="false">SUMIF(Games!$A$2:$A$897,$A93,Games!$I$2:$I$897)+SUMIF(Games!$B$2:$B$897,$A93,Games!$J$2:$J$897)</f>
        <v>9</v>
      </c>
      <c r="P93" s="0" t="n">
        <f aca="false">SUMIF(Games!$A$2:$A$897,$A93,Games!$J$2:$J$897)+SUMIF(Games!$B$2:$B$897,$A93,Games!$I$2:$I$897)</f>
        <v>20</v>
      </c>
      <c r="R93" s="0" t="n">
        <f aca="false">IFERROR((K93+N93)/(B93+C93),0)</f>
        <v>339.416666666667</v>
      </c>
      <c r="S93" s="0" t="n">
        <f aca="false">P93-O93</f>
        <v>11</v>
      </c>
      <c r="T93" s="0" t="n">
        <f aca="false">IFERROR((D93/(D93+E93))*(F93/(F93+G93)),0)</f>
        <v>0.105111790329956</v>
      </c>
      <c r="U93" s="0" t="n">
        <f aca="false">RANK(T93,T$2:T$132)</f>
        <v>126</v>
      </c>
      <c r="V93" s="0" t="n">
        <f aca="false">IFERROR((B93/(B93+C93))*25,0)+IFERROR((D93/(D93+E93))*25,0)+IFERROR((F93/(F93+G93))*10,0)+H93+((J93-RMEAN)/RDEV)*5+((M93-PMEAN)/PDEV)*5+((DMEAN-R93)/DDEV)*7+((S93-TOMEAN)/TODEV)*3</f>
        <v>31.1497819910119</v>
      </c>
    </row>
    <row r="94" customFormat="false" ht="15" hidden="false" customHeight="false" outlineLevel="0" collapsed="false">
      <c r="A94" s="0" t="s">
        <v>98</v>
      </c>
      <c r="B94" s="0" t="n">
        <f aca="false">SUMIF(Games!$A$2:$A$897,$A94,Games!$K$2:$K$897)+SUMIF(Games!$B$2:$B$897,$A94,Games!$L$2:$L$897)</f>
        <v>10</v>
      </c>
      <c r="C94" s="0" t="n">
        <f aca="false">SUMIF(Games!$A$2:$A$897,$A94,Games!$L$2:$L$897)+SUMIF(Games!$B$2:$B$897,$A94,Games!$K$2:$K$897)</f>
        <v>3</v>
      </c>
      <c r="D94" s="0" t="n">
        <f aca="false">SUMIF(Games!$A$2:$A$897,$A94,Games!$O$2:$O$897)+SUMIF(Games!$B$2:$B$897,$A94,Games!$M$2:$M$897)</f>
        <v>78</v>
      </c>
      <c r="E94" s="0" t="n">
        <f aca="false">SUMIF(Games!$A$2:$A$897,$A94,Games!$P$2:$P$897)+SUMIF(Games!$B$2:$B$897,$A94,Games!$N$2:$N$897)</f>
        <v>194</v>
      </c>
      <c r="F94" s="0" t="n">
        <f aca="false">SUMIF(Games!$A$2:$A$897,$A94,Games!$S$2:$S$897)+SUMIF(Games!$B$2:$B$897,$A94,Games!$Q$2:$Q$897)</f>
        <v>1848</v>
      </c>
      <c r="G94" s="0" t="n">
        <f aca="false">SUMIF(Games!$A$2:$A$897,$A94,Games!$T$2:$T$897)+SUMIF(Games!$B$2:$B$897,$A94,Games!$R$2:$R$897)</f>
        <v>2788</v>
      </c>
      <c r="H94" s="0" t="n">
        <f aca="false">SUMIF(Games!$A$2:$A$897,$A94,Games!$U$2:$U$897)+SUMIF(Games!$B$2:$B$897,$A94,Games!$V$2:$V$897)</f>
        <v>7.3077170801015</v>
      </c>
      <c r="I94" s="0" t="n">
        <f aca="false">SUMIF(Games!$A$2:$A$897,$A94,Games!$E$2:$E$897)+SUMIF(Games!$B$2:$B$897,$A94,Games!$F$2:$F$897)</f>
        <v>2019</v>
      </c>
      <c r="J94" s="0" t="n">
        <f aca="false">IFERROR(I94/(B94+C94),0)</f>
        <v>155.307692307692</v>
      </c>
      <c r="K94" s="0" t="n">
        <f aca="false">SUMIF(Games!$A$2:$A$897,$A94,Games!$F$2:$F$897)+SUMIF(Games!$B$2:$B$897,$A94,Games!$E$2:$E$897)</f>
        <v>1206</v>
      </c>
      <c r="L94" s="0" t="n">
        <f aca="false">SUMIF(Games!$A$2:$A$897,$A94,Games!$G$2:$G$897)+SUMIF(Games!$B$2:$B$897,$A94,Games!$H$2:$H$897)</f>
        <v>3496</v>
      </c>
      <c r="M94" s="0" t="n">
        <f aca="false">IFERROR(L94/(B94+C94),0)</f>
        <v>268.923076923077</v>
      </c>
      <c r="N94" s="0" t="n">
        <f aca="false">SUMIF(Games!$A$2:$A$897,$A94,Games!$H$2:$H$897)+SUMIF(Games!$B$2:$B$897,$A94,Games!$G$2:$G$897)</f>
        <v>3112</v>
      </c>
      <c r="O94" s="0" t="n">
        <f aca="false">SUMIF(Games!$A$2:$A$897,$A94,Games!$I$2:$I$897)+SUMIF(Games!$B$2:$B$897,$A94,Games!$J$2:$J$897)</f>
        <v>16</v>
      </c>
      <c r="P94" s="0" t="n">
        <f aca="false">SUMIF(Games!$A$2:$A$897,$A94,Games!$J$2:$J$897)+SUMIF(Games!$B$2:$B$897,$A94,Games!$I$2:$I$897)</f>
        <v>20</v>
      </c>
      <c r="R94" s="0" t="n">
        <f aca="false">IFERROR((K94+N94)/(B94+C94),0)</f>
        <v>332.153846153846</v>
      </c>
      <c r="S94" s="0" t="n">
        <f aca="false">P94-O94</f>
        <v>4</v>
      </c>
      <c r="T94" s="0" t="n">
        <f aca="false">IFERROR((D94/(D94+E94))*(F94/(F94+G94)),0)</f>
        <v>0.114310003552758</v>
      </c>
      <c r="U94" s="0" t="n">
        <f aca="false">RANK(T94,T$2:T$132)</f>
        <v>114</v>
      </c>
      <c r="V94" s="0" t="n">
        <f aca="false">IFERROR((B94/(B94+C94))*25,0)+IFERROR((D94/(D94+E94))*25,0)+IFERROR((F94/(F94+G94))*10,0)+H94+((J94-RMEAN)/RDEV)*5+((M94-PMEAN)/PDEV)*5+((DMEAN-R94)/DDEV)*7+((S94-TOMEAN)/TODEV)*3</f>
        <v>48.6612188400868</v>
      </c>
    </row>
    <row r="95" customFormat="false" ht="15" hidden="false" customHeight="false" outlineLevel="0" collapsed="false">
      <c r="A95" s="0" t="s">
        <v>99</v>
      </c>
      <c r="B95" s="0" t="n">
        <f aca="false">SUMIF(Games!$A$2:$A$897,$A95,Games!$K$2:$K$897)+SUMIF(Games!$B$2:$B$897,$A95,Games!$L$2:$L$897)</f>
        <v>8</v>
      </c>
      <c r="C95" s="0" t="n">
        <f aca="false">SUMIF(Games!$A$2:$A$897,$A95,Games!$L$2:$L$897)+SUMIF(Games!$B$2:$B$897,$A95,Games!$K$2:$K$897)</f>
        <v>5</v>
      </c>
      <c r="D95" s="0" t="n">
        <f aca="false">SUMIF(Games!$A$2:$A$897,$A95,Games!$O$2:$O$897)+SUMIF(Games!$B$2:$B$897,$A95,Games!$M$2:$M$897)</f>
        <v>97</v>
      </c>
      <c r="E95" s="0" t="n">
        <f aca="false">SUMIF(Games!$A$2:$A$897,$A95,Games!$P$2:$P$897)+SUMIF(Games!$B$2:$B$897,$A95,Games!$N$2:$N$897)</f>
        <v>178</v>
      </c>
      <c r="F95" s="0" t="n">
        <f aca="false">SUMIF(Games!$A$2:$A$897,$A95,Games!$S$2:$S$897)+SUMIF(Games!$B$2:$B$897,$A95,Games!$Q$2:$Q$897)</f>
        <v>1960</v>
      </c>
      <c r="G95" s="0" t="n">
        <f aca="false">SUMIF(Games!$A$2:$A$897,$A95,Games!$T$2:$T$897)+SUMIF(Games!$B$2:$B$897,$A95,Games!$R$2:$R$897)</f>
        <v>2638</v>
      </c>
      <c r="H95" s="0" t="n">
        <f aca="false">SUMIF(Games!$A$2:$A$897,$A95,Games!$U$2:$U$897)+SUMIF(Games!$B$2:$B$897,$A95,Games!$V$2:$V$897)</f>
        <v>-2.33602990549631</v>
      </c>
      <c r="I95" s="0" t="n">
        <f aca="false">SUMIF(Games!$A$2:$A$897,$A95,Games!$E$2:$E$897)+SUMIF(Games!$B$2:$B$897,$A95,Games!$F$2:$F$897)</f>
        <v>1555</v>
      </c>
      <c r="J95" s="0" t="n">
        <f aca="false">IFERROR(I95/(B95+C95),0)</f>
        <v>119.615384615385</v>
      </c>
      <c r="K95" s="0" t="n">
        <f aca="false">SUMIF(Games!$A$2:$A$897,$A95,Games!$F$2:$F$897)+SUMIF(Games!$B$2:$B$897,$A95,Games!$E$2:$E$897)</f>
        <v>2574</v>
      </c>
      <c r="L95" s="0" t="n">
        <f aca="false">SUMIF(Games!$A$2:$A$897,$A95,Games!$G$2:$G$897)+SUMIF(Games!$B$2:$B$897,$A95,Games!$H$2:$H$897)</f>
        <v>3379</v>
      </c>
      <c r="M95" s="0" t="n">
        <f aca="false">IFERROR(L95/(B95+C95),0)</f>
        <v>259.923076923077</v>
      </c>
      <c r="N95" s="0" t="n">
        <f aca="false">SUMIF(Games!$A$2:$A$897,$A95,Games!$H$2:$H$897)+SUMIF(Games!$B$2:$B$897,$A95,Games!$G$2:$G$897)</f>
        <v>2688</v>
      </c>
      <c r="O95" s="0" t="n">
        <f aca="false">SUMIF(Games!$A$2:$A$897,$A95,Games!$I$2:$I$897)+SUMIF(Games!$B$2:$B$897,$A95,Games!$J$2:$J$897)</f>
        <v>27</v>
      </c>
      <c r="P95" s="0" t="n">
        <f aca="false">SUMIF(Games!$A$2:$A$897,$A95,Games!$J$2:$J$897)+SUMIF(Games!$B$2:$B$897,$A95,Games!$I$2:$I$897)</f>
        <v>23</v>
      </c>
      <c r="R95" s="0" t="n">
        <f aca="false">IFERROR((K95+N95)/(B95+C95),0)</f>
        <v>404.769230769231</v>
      </c>
      <c r="S95" s="0" t="n">
        <f aca="false">P95-O95</f>
        <v>-4</v>
      </c>
      <c r="T95" s="0" t="n">
        <f aca="false">IFERROR((D95/(D95+E95))*(F95/(F95+G95)),0)</f>
        <v>0.150357863102535</v>
      </c>
      <c r="U95" s="0" t="n">
        <f aca="false">RANK(T95,T$2:T$132)</f>
        <v>36</v>
      </c>
      <c r="V95" s="0" t="n">
        <f aca="false">IFERROR((B95/(B95+C95))*25,0)+IFERROR((D95/(D95+E95))*25,0)+IFERROR((F95/(F95+G95))*10,0)+H95+((J95-RMEAN)/RDEV)*5+((M95-PMEAN)/PDEV)*5+((DMEAN-R95)/DDEV)*7+((S95-TOMEAN)/TODEV)*3</f>
        <v>18.944955657599</v>
      </c>
    </row>
    <row r="96" customFormat="false" ht="15" hidden="false" customHeight="false" outlineLevel="0" collapsed="false">
      <c r="A96" s="0" t="s">
        <v>100</v>
      </c>
      <c r="B96" s="0" t="n">
        <f aca="false">SUMIF(Games!$A$2:$A$897,$A96,Games!$K$2:$K$897)+SUMIF(Games!$B$2:$B$897,$A96,Games!$L$2:$L$897)</f>
        <v>7</v>
      </c>
      <c r="C96" s="0" t="n">
        <f aca="false">SUMIF(Games!$A$2:$A$897,$A96,Games!$L$2:$L$897)+SUMIF(Games!$B$2:$B$897,$A96,Games!$K$2:$K$897)</f>
        <v>6</v>
      </c>
      <c r="D96" s="0" t="n">
        <f aca="false">SUMIF(Games!$A$2:$A$897,$A96,Games!$O$2:$O$897)+SUMIF(Games!$B$2:$B$897,$A96,Games!$M$2:$M$897)</f>
        <v>90</v>
      </c>
      <c r="E96" s="0" t="n">
        <f aca="false">SUMIF(Games!$A$2:$A$897,$A96,Games!$P$2:$P$897)+SUMIF(Games!$B$2:$B$897,$A96,Games!$N$2:$N$897)</f>
        <v>183</v>
      </c>
      <c r="F96" s="0" t="n">
        <f aca="false">SUMIF(Games!$A$2:$A$897,$A96,Games!$S$2:$S$897)+SUMIF(Games!$B$2:$B$897,$A96,Games!$Q$2:$Q$897)</f>
        <v>1842</v>
      </c>
      <c r="G96" s="0" t="n">
        <f aca="false">SUMIF(Games!$A$2:$A$897,$A96,Games!$T$2:$T$897)+SUMIF(Games!$B$2:$B$897,$A96,Games!$R$2:$R$897)</f>
        <v>2811</v>
      </c>
      <c r="H96" s="0" t="n">
        <f aca="false">SUMIF(Games!$A$2:$A$897,$A96,Games!$U$2:$U$897)+SUMIF(Games!$B$2:$B$897,$A96,Games!$V$2:$V$897)</f>
        <v>-13.6918413519923</v>
      </c>
      <c r="I96" s="0" t="n">
        <f aca="false">SUMIF(Games!$A$2:$A$897,$A96,Games!$E$2:$E$897)+SUMIF(Games!$B$2:$B$897,$A96,Games!$F$2:$F$897)</f>
        <v>1842</v>
      </c>
      <c r="J96" s="0" t="n">
        <f aca="false">IFERROR(I96/(B96+C96),0)</f>
        <v>141.692307692308</v>
      </c>
      <c r="K96" s="0" t="n">
        <f aca="false">SUMIF(Games!$A$2:$A$897,$A96,Games!$F$2:$F$897)+SUMIF(Games!$B$2:$B$897,$A96,Games!$E$2:$E$897)</f>
        <v>1830</v>
      </c>
      <c r="L96" s="0" t="n">
        <f aca="false">SUMIF(Games!$A$2:$A$897,$A96,Games!$G$2:$G$897)+SUMIF(Games!$B$2:$B$897,$A96,Games!$H$2:$H$897)</f>
        <v>2698</v>
      </c>
      <c r="M96" s="0" t="n">
        <f aca="false">IFERROR(L96/(B96+C96),0)</f>
        <v>207.538461538462</v>
      </c>
      <c r="N96" s="0" t="n">
        <f aca="false">SUMIF(Games!$A$2:$A$897,$A96,Games!$H$2:$H$897)+SUMIF(Games!$B$2:$B$897,$A96,Games!$G$2:$G$897)</f>
        <v>3009</v>
      </c>
      <c r="O96" s="0" t="n">
        <f aca="false">SUMIF(Games!$A$2:$A$897,$A96,Games!$I$2:$I$897)+SUMIF(Games!$B$2:$B$897,$A96,Games!$J$2:$J$897)</f>
        <v>26</v>
      </c>
      <c r="P96" s="0" t="n">
        <f aca="false">SUMIF(Games!$A$2:$A$897,$A96,Games!$J$2:$J$897)+SUMIF(Games!$B$2:$B$897,$A96,Games!$I$2:$I$897)</f>
        <v>22</v>
      </c>
      <c r="R96" s="0" t="n">
        <f aca="false">IFERROR((K96+N96)/(B96+C96),0)</f>
        <v>372.230769230769</v>
      </c>
      <c r="S96" s="0" t="n">
        <f aca="false">P96-O96</f>
        <v>-4</v>
      </c>
      <c r="T96" s="0" t="n">
        <f aca="false">IFERROR((D96/(D96+E96))*(F96/(F96+G96)),0)</f>
        <v>0.130507790082258</v>
      </c>
      <c r="U96" s="0" t="n">
        <f aca="false">RANK(T96,T$2:T$132)</f>
        <v>78</v>
      </c>
      <c r="V96" s="0" t="n">
        <f aca="false">IFERROR((B96/(B96+C96))*25,0)+IFERROR((D96/(D96+E96))*25,0)+IFERROR((F96/(F96+G96))*10,0)+H96+((J96-RMEAN)/RDEV)*5+((M96-PMEAN)/PDEV)*5+((DMEAN-R96)/DDEV)*7+((S96-TOMEAN)/TODEV)*3</f>
        <v>6.65115652406046</v>
      </c>
    </row>
    <row r="97" customFormat="false" ht="15" hidden="false" customHeight="false" outlineLevel="0" collapsed="false">
      <c r="A97" s="0" t="s">
        <v>101</v>
      </c>
      <c r="B97" s="0" t="n">
        <f aca="false">SUMIF(Games!$A$2:$A$897,$A97,Games!$K$2:$K$897)+SUMIF(Games!$B$2:$B$897,$A97,Games!$L$2:$L$897)</f>
        <v>3</v>
      </c>
      <c r="C97" s="0" t="n">
        <f aca="false">SUMIF(Games!$A$2:$A$897,$A97,Games!$L$2:$L$897)+SUMIF(Games!$B$2:$B$897,$A97,Games!$K$2:$K$897)</f>
        <v>9</v>
      </c>
      <c r="D97" s="0" t="n">
        <f aca="false">SUMIF(Games!$A$2:$A$897,$A97,Games!$O$2:$O$897)+SUMIF(Games!$B$2:$B$897,$A97,Games!$M$2:$M$897)</f>
        <v>100</v>
      </c>
      <c r="E97" s="0" t="n">
        <f aca="false">SUMIF(Games!$A$2:$A$897,$A97,Games!$P$2:$P$897)+SUMIF(Games!$B$2:$B$897,$A97,Games!$N$2:$N$897)</f>
        <v>163</v>
      </c>
      <c r="F97" s="0" t="n">
        <f aca="false">SUMIF(Games!$A$2:$A$897,$A97,Games!$S$2:$S$897)+SUMIF(Games!$B$2:$B$897,$A97,Games!$Q$2:$Q$897)</f>
        <v>1826</v>
      </c>
      <c r="G97" s="0" t="n">
        <f aca="false">SUMIF(Games!$A$2:$A$897,$A97,Games!$T$2:$T$897)+SUMIF(Games!$B$2:$B$897,$A97,Games!$R$2:$R$897)</f>
        <v>2504</v>
      </c>
      <c r="H97" s="0" t="n">
        <f aca="false">SUMIF(Games!$A$2:$A$897,$A97,Games!$U$2:$U$897)+SUMIF(Games!$B$2:$B$897,$A97,Games!$V$2:$V$897)</f>
        <v>-31.624578331357</v>
      </c>
      <c r="I97" s="0" t="n">
        <f aca="false">SUMIF(Games!$A$2:$A$897,$A97,Games!$E$2:$E$897)+SUMIF(Games!$B$2:$B$897,$A97,Games!$F$2:$F$897)</f>
        <v>1288</v>
      </c>
      <c r="J97" s="0" t="n">
        <f aca="false">IFERROR(I97/(B97+C97),0)</f>
        <v>107.333333333333</v>
      </c>
      <c r="K97" s="0" t="n">
        <f aca="false">SUMIF(Games!$A$2:$A$897,$A97,Games!$F$2:$F$897)+SUMIF(Games!$B$2:$B$897,$A97,Games!$E$2:$E$897)</f>
        <v>2693</v>
      </c>
      <c r="L97" s="0" t="n">
        <f aca="false">SUMIF(Games!$A$2:$A$897,$A97,Games!$G$2:$G$897)+SUMIF(Games!$B$2:$B$897,$A97,Games!$H$2:$H$897)</f>
        <v>3051</v>
      </c>
      <c r="M97" s="0" t="n">
        <f aca="false">IFERROR(L97/(B97+C97),0)</f>
        <v>254.25</v>
      </c>
      <c r="N97" s="0" t="n">
        <f aca="false">SUMIF(Games!$A$2:$A$897,$A97,Games!$H$2:$H$897)+SUMIF(Games!$B$2:$B$897,$A97,Games!$G$2:$G$897)</f>
        <v>2516</v>
      </c>
      <c r="O97" s="0" t="n">
        <f aca="false">SUMIF(Games!$A$2:$A$897,$A97,Games!$I$2:$I$897)+SUMIF(Games!$B$2:$B$897,$A97,Games!$J$2:$J$897)</f>
        <v>21</v>
      </c>
      <c r="P97" s="0" t="n">
        <f aca="false">SUMIF(Games!$A$2:$A$897,$A97,Games!$J$2:$J$897)+SUMIF(Games!$B$2:$B$897,$A97,Games!$I$2:$I$897)</f>
        <v>9</v>
      </c>
      <c r="R97" s="0" t="n">
        <f aca="false">IFERROR((K97+N97)/(B97+C97),0)</f>
        <v>434.083333333333</v>
      </c>
      <c r="S97" s="0" t="n">
        <f aca="false">P97-O97</f>
        <v>-12</v>
      </c>
      <c r="T97" s="0" t="n">
        <f aca="false">IFERROR((D97/(D97+E97))*(F97/(F97+G97)),0)</f>
        <v>0.160345630010801</v>
      </c>
      <c r="U97" s="0" t="n">
        <f aca="false">RANK(T97,T$2:T$132)</f>
        <v>18</v>
      </c>
      <c r="V97" s="0" t="n">
        <f aca="false">IFERROR((B97/(B97+C97))*25,0)+IFERROR((D97/(D97+E97))*25,0)+IFERROR((F97/(F97+G97))*10,0)+H97+((J97-RMEAN)/RDEV)*5+((M97-PMEAN)/PDEV)*5+((DMEAN-R97)/DDEV)*7+((S97-TOMEAN)/TODEV)*3</f>
        <v>-28.2052216521981</v>
      </c>
    </row>
    <row r="98" customFormat="false" ht="15" hidden="false" customHeight="false" outlineLevel="0" collapsed="false">
      <c r="A98" s="0" t="s">
        <v>102</v>
      </c>
      <c r="B98" s="0" t="n">
        <f aca="false">SUMIF(Games!$A$2:$A$897,$A98,Games!$K$2:$K$897)+SUMIF(Games!$B$2:$B$897,$A98,Games!$L$2:$L$897)</f>
        <v>7</v>
      </c>
      <c r="C98" s="0" t="n">
        <f aca="false">SUMIF(Games!$A$2:$A$897,$A98,Games!$L$2:$L$897)+SUMIF(Games!$B$2:$B$897,$A98,Games!$K$2:$K$897)</f>
        <v>6</v>
      </c>
      <c r="D98" s="0" t="n">
        <f aca="false">SUMIF(Games!$A$2:$A$897,$A98,Games!$O$2:$O$897)+SUMIF(Games!$B$2:$B$897,$A98,Games!$M$2:$M$897)</f>
        <v>100</v>
      </c>
      <c r="E98" s="0" t="n">
        <f aca="false">SUMIF(Games!$A$2:$A$897,$A98,Games!$P$2:$P$897)+SUMIF(Games!$B$2:$B$897,$A98,Games!$N$2:$N$897)</f>
        <v>174</v>
      </c>
      <c r="F98" s="0" t="n">
        <f aca="false">SUMIF(Games!$A$2:$A$897,$A98,Games!$S$2:$S$897)+SUMIF(Games!$B$2:$B$897,$A98,Games!$Q$2:$Q$897)</f>
        <v>1898</v>
      </c>
      <c r="G98" s="0" t="n">
        <f aca="false">SUMIF(Games!$A$2:$A$897,$A98,Games!$T$2:$T$897)+SUMIF(Games!$B$2:$B$897,$A98,Games!$R$2:$R$897)</f>
        <v>2670</v>
      </c>
      <c r="H98" s="0" t="n">
        <f aca="false">SUMIF(Games!$A$2:$A$897,$A98,Games!$U$2:$U$897)+SUMIF(Games!$B$2:$B$897,$A98,Games!$V$2:$V$897)</f>
        <v>4.64876801376218</v>
      </c>
      <c r="I98" s="0" t="n">
        <f aca="false">SUMIF(Games!$A$2:$A$897,$A98,Games!$E$2:$E$897)+SUMIF(Games!$B$2:$B$897,$A98,Games!$F$2:$F$897)</f>
        <v>1860</v>
      </c>
      <c r="J98" s="0" t="n">
        <f aca="false">IFERROR(I98/(B98+C98),0)</f>
        <v>143.076923076923</v>
      </c>
      <c r="K98" s="0" t="n">
        <f aca="false">SUMIF(Games!$A$2:$A$897,$A98,Games!$F$2:$F$897)+SUMIF(Games!$B$2:$B$897,$A98,Games!$E$2:$E$897)</f>
        <v>1876</v>
      </c>
      <c r="L98" s="0" t="n">
        <f aca="false">SUMIF(Games!$A$2:$A$897,$A98,Games!$G$2:$G$897)+SUMIF(Games!$B$2:$B$897,$A98,Games!$H$2:$H$897)</f>
        <v>3011</v>
      </c>
      <c r="M98" s="0" t="n">
        <f aca="false">IFERROR(L98/(B98+C98),0)</f>
        <v>231.615384615385</v>
      </c>
      <c r="N98" s="0" t="n">
        <f aca="false">SUMIF(Games!$A$2:$A$897,$A98,Games!$H$2:$H$897)+SUMIF(Games!$B$2:$B$897,$A98,Games!$G$2:$G$897)</f>
        <v>2403</v>
      </c>
      <c r="O98" s="0" t="n">
        <f aca="false">SUMIF(Games!$A$2:$A$897,$A98,Games!$I$2:$I$897)+SUMIF(Games!$B$2:$B$897,$A98,Games!$J$2:$J$897)</f>
        <v>13</v>
      </c>
      <c r="P98" s="0" t="n">
        <f aca="false">SUMIF(Games!$A$2:$A$897,$A98,Games!$J$2:$J$897)+SUMIF(Games!$B$2:$B$897,$A98,Games!$I$2:$I$897)</f>
        <v>19</v>
      </c>
      <c r="R98" s="0" t="n">
        <f aca="false">IFERROR((K98+N98)/(B98+C98),0)</f>
        <v>329.153846153846</v>
      </c>
      <c r="S98" s="0" t="n">
        <f aca="false">P98-O98</f>
        <v>6</v>
      </c>
      <c r="T98" s="0" t="n">
        <f aca="false">IFERROR((D98/(D98+E98))*(F98/(F98+G98)),0)</f>
        <v>0.151642016183671</v>
      </c>
      <c r="U98" s="0" t="n">
        <f aca="false">RANK(T98,T$2:T$132)</f>
        <v>29</v>
      </c>
      <c r="V98" s="0" t="n">
        <f aca="false">IFERROR((B98/(B98+C98))*25,0)+IFERROR((D98/(D98+E98))*25,0)+IFERROR((F98/(F98+G98))*10,0)+H98+((J98-RMEAN)/RDEV)*5+((M98-PMEAN)/PDEV)*5+((DMEAN-R98)/DDEV)*7+((S98-TOMEAN)/TODEV)*3</f>
        <v>38.7309634279303</v>
      </c>
    </row>
    <row r="99" customFormat="false" ht="15" hidden="false" customHeight="false" outlineLevel="0" collapsed="false">
      <c r="A99" s="0" t="s">
        <v>103</v>
      </c>
      <c r="B99" s="0" t="n">
        <f aca="false">SUMIF(Games!$A$2:$A$897,$A99,Games!$K$2:$K$897)+SUMIF(Games!$B$2:$B$897,$A99,Games!$L$2:$L$897)</f>
        <v>13</v>
      </c>
      <c r="C99" s="0" t="n">
        <f aca="false">SUMIF(Games!$A$2:$A$897,$A99,Games!$L$2:$L$897)+SUMIF(Games!$B$2:$B$897,$A99,Games!$K$2:$K$897)</f>
        <v>2</v>
      </c>
      <c r="D99" s="0" t="n">
        <f aca="false">SUMIF(Games!$A$2:$A$897,$A99,Games!$O$2:$O$897)+SUMIF(Games!$B$2:$B$897,$A99,Games!$M$2:$M$897)</f>
        <v>114</v>
      </c>
      <c r="E99" s="0" t="n">
        <f aca="false">SUMIF(Games!$A$2:$A$897,$A99,Games!$P$2:$P$897)+SUMIF(Games!$B$2:$B$897,$A99,Games!$N$2:$N$897)</f>
        <v>190</v>
      </c>
      <c r="F99" s="0" t="n">
        <f aca="false">SUMIF(Games!$A$2:$A$897,$A99,Games!$S$2:$S$897)+SUMIF(Games!$B$2:$B$897,$A99,Games!$Q$2:$Q$897)</f>
        <v>2207</v>
      </c>
      <c r="G99" s="0" t="n">
        <f aca="false">SUMIF(Games!$A$2:$A$897,$A99,Games!$T$2:$T$897)+SUMIF(Games!$B$2:$B$897,$A99,Games!$R$2:$R$897)</f>
        <v>2794</v>
      </c>
      <c r="H99" s="0" t="n">
        <f aca="false">SUMIF(Games!$A$2:$A$897,$A99,Games!$U$2:$U$897)+SUMIF(Games!$B$2:$B$897,$A99,Games!$V$2:$V$897)</f>
        <v>27.1795380328078</v>
      </c>
      <c r="I99" s="0" t="n">
        <f aca="false">SUMIF(Games!$A$2:$A$897,$A99,Games!$E$2:$E$897)+SUMIF(Games!$B$2:$B$897,$A99,Games!$F$2:$F$897)</f>
        <v>2899</v>
      </c>
      <c r="J99" s="0" t="n">
        <f aca="false">IFERROR(I99/(B99+C99),0)</f>
        <v>193.266666666667</v>
      </c>
      <c r="K99" s="0" t="n">
        <f aca="false">SUMIF(Games!$A$2:$A$897,$A99,Games!$F$2:$F$897)+SUMIF(Games!$B$2:$B$897,$A99,Games!$E$2:$E$897)</f>
        <v>2382</v>
      </c>
      <c r="L99" s="0" t="n">
        <f aca="false">SUMIF(Games!$A$2:$A$897,$A99,Games!$G$2:$G$897)+SUMIF(Games!$B$2:$B$897,$A99,Games!$H$2:$H$897)</f>
        <v>3926</v>
      </c>
      <c r="M99" s="0" t="n">
        <f aca="false">IFERROR(L99/(B99+C99),0)</f>
        <v>261.733333333333</v>
      </c>
      <c r="N99" s="0" t="n">
        <f aca="false">SUMIF(Games!$A$2:$A$897,$A99,Games!$H$2:$H$897)+SUMIF(Games!$B$2:$B$897,$A99,Games!$G$2:$G$897)</f>
        <v>3740</v>
      </c>
      <c r="O99" s="0" t="n">
        <f aca="false">SUMIF(Games!$A$2:$A$897,$A99,Games!$I$2:$I$897)+SUMIF(Games!$B$2:$B$897,$A99,Games!$J$2:$J$897)</f>
        <v>16</v>
      </c>
      <c r="P99" s="0" t="n">
        <f aca="false">SUMIF(Games!$A$2:$A$897,$A99,Games!$J$2:$J$897)+SUMIF(Games!$B$2:$B$897,$A99,Games!$I$2:$I$897)</f>
        <v>22</v>
      </c>
      <c r="R99" s="0" t="n">
        <f aca="false">IFERROR((K99+N99)/(B99+C99),0)</f>
        <v>408.133333333333</v>
      </c>
      <c r="S99" s="0" t="n">
        <f aca="false">P99-O99</f>
        <v>6</v>
      </c>
      <c r="T99" s="0" t="n">
        <f aca="false">IFERROR((D99/(D99+E99))*(F99/(F99+G99)),0)</f>
        <v>0.165491901619676</v>
      </c>
      <c r="U99" s="0" t="n">
        <f aca="false">RANK(T99,T$2:T$132)</f>
        <v>16</v>
      </c>
      <c r="V99" s="0" t="n">
        <f aca="false">IFERROR((B99/(B99+C99))*25,0)+IFERROR((D99/(D99+E99))*25,0)+IFERROR((F99/(F99+G99))*10,0)+H99+((J99-RMEAN)/RDEV)*5+((M99-PMEAN)/PDEV)*5+((DMEAN-R99)/DDEV)*7+((S99-TOMEAN)/TODEV)*3</f>
        <v>67.664181005381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SUMIF(Games!$A$2:$A$897,$A100,Games!$K$2:$K$897)+SUMIF(Games!$B$2:$B$897,$A100,Games!$L$2:$L$897)</f>
        <v>3</v>
      </c>
      <c r="C100" s="0" t="n">
        <f aca="false">SUMIF(Games!$A$2:$A$897,$A100,Games!$L$2:$L$897)+SUMIF(Games!$B$2:$B$897,$A100,Games!$K$2:$K$897)</f>
        <v>9</v>
      </c>
      <c r="D100" s="0" t="n">
        <f aca="false">SUMIF(Games!$A$2:$A$897,$A100,Games!$O$2:$O$897)+SUMIF(Games!$B$2:$B$897,$A100,Games!$M$2:$M$897)</f>
        <v>73</v>
      </c>
      <c r="E100" s="0" t="n">
        <f aca="false">SUMIF(Games!$A$2:$A$897,$A100,Games!$P$2:$P$897)+SUMIF(Games!$B$2:$B$897,$A100,Games!$N$2:$N$897)</f>
        <v>186</v>
      </c>
      <c r="F100" s="0" t="n">
        <f aca="false">SUMIF(Games!$A$2:$A$897,$A100,Games!$S$2:$S$897)+SUMIF(Games!$B$2:$B$897,$A100,Games!$Q$2:$Q$897)</f>
        <v>1745</v>
      </c>
      <c r="G100" s="0" t="n">
        <f aca="false">SUMIF(Games!$A$2:$A$897,$A100,Games!$T$2:$T$897)+SUMIF(Games!$B$2:$B$897,$A100,Games!$R$2:$R$897)</f>
        <v>2632</v>
      </c>
      <c r="H100" s="0" t="n">
        <f aca="false">SUMIF(Games!$A$2:$A$897,$A100,Games!$U$2:$U$897)+SUMIF(Games!$B$2:$B$897,$A100,Games!$V$2:$V$897)</f>
        <v>-34.3861114663046</v>
      </c>
      <c r="I100" s="0" t="n">
        <f aca="false">SUMIF(Games!$A$2:$A$897,$A100,Games!$E$2:$E$897)+SUMIF(Games!$B$2:$B$897,$A100,Games!$F$2:$F$897)</f>
        <v>989</v>
      </c>
      <c r="J100" s="0" t="n">
        <f aca="false">IFERROR(I100/(B100+C100),0)</f>
        <v>82.4166666666667</v>
      </c>
      <c r="K100" s="0" t="n">
        <f aca="false">SUMIF(Games!$A$2:$A$897,$A100,Games!$F$2:$F$897)+SUMIF(Games!$B$2:$B$897,$A100,Games!$E$2:$E$897)</f>
        <v>2311</v>
      </c>
      <c r="L100" s="0" t="n">
        <f aca="false">SUMIF(Games!$A$2:$A$897,$A100,Games!$G$2:$G$897)+SUMIF(Games!$B$2:$B$897,$A100,Games!$H$2:$H$897)</f>
        <v>3217</v>
      </c>
      <c r="M100" s="0" t="n">
        <f aca="false">IFERROR(L100/(B100+C100),0)</f>
        <v>268.083333333333</v>
      </c>
      <c r="N100" s="0" t="n">
        <f aca="false">SUMIF(Games!$A$2:$A$897,$A100,Games!$H$2:$H$897)+SUMIF(Games!$B$2:$B$897,$A100,Games!$G$2:$G$897)</f>
        <v>2383</v>
      </c>
      <c r="O100" s="0" t="n">
        <f aca="false">SUMIF(Games!$A$2:$A$897,$A100,Games!$I$2:$I$897)+SUMIF(Games!$B$2:$B$897,$A100,Games!$J$2:$J$897)</f>
        <v>23</v>
      </c>
      <c r="P100" s="0" t="n">
        <f aca="false">SUMIF(Games!$A$2:$A$897,$A100,Games!$J$2:$J$897)+SUMIF(Games!$B$2:$B$897,$A100,Games!$I$2:$I$897)</f>
        <v>12</v>
      </c>
      <c r="R100" s="0" t="n">
        <f aca="false">IFERROR((K100+N100)/(B100+C100),0)</f>
        <v>391.166666666667</v>
      </c>
      <c r="S100" s="0" t="n">
        <f aca="false">P100-O100</f>
        <v>-11</v>
      </c>
      <c r="T100" s="0" t="n">
        <f aca="false">IFERROR((D100/(D100+E100))*(F100/(F100+G100)),0)</f>
        <v>0.112367826555626</v>
      </c>
      <c r="U100" s="0" t="n">
        <f aca="false">RANK(T100,T$2:T$132)</f>
        <v>118</v>
      </c>
      <c r="V100" s="0" t="n">
        <f aca="false">IFERROR((B100/(B100+C100))*25,0)+IFERROR((D100/(D100+E100))*25,0)+IFERROR((F100/(F100+G100))*10,0)+H100+((J100-RMEAN)/RDEV)*5+((M100-PMEAN)/PDEV)*5+((DMEAN-R100)/DDEV)*7+((S100-TOMEAN)/TODEV)*3</f>
        <v>-28.8260690133695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SUMIF(Games!$A$2:$A$897,$A101,Games!$K$2:$K$897)+SUMIF(Games!$B$2:$B$897,$A101,Games!$L$2:$L$897)</f>
        <v>11</v>
      </c>
      <c r="C101" s="0" t="n">
        <f aca="false">SUMIF(Games!$A$2:$A$897,$A101,Games!$L$2:$L$897)+SUMIF(Games!$B$2:$B$897,$A101,Games!$K$2:$K$897)</f>
        <v>2</v>
      </c>
      <c r="D101" s="0" t="n">
        <f aca="false">SUMIF(Games!$A$2:$A$897,$A101,Games!$O$2:$O$897)+SUMIF(Games!$B$2:$B$897,$A101,Games!$M$2:$M$897)</f>
        <v>103</v>
      </c>
      <c r="E101" s="0" t="n">
        <f aca="false">SUMIF(Games!$A$2:$A$897,$A101,Games!$P$2:$P$897)+SUMIF(Games!$B$2:$B$897,$A101,Games!$N$2:$N$897)</f>
        <v>174</v>
      </c>
      <c r="F101" s="0" t="n">
        <f aca="false">SUMIF(Games!$A$2:$A$897,$A101,Games!$S$2:$S$897)+SUMIF(Games!$B$2:$B$897,$A101,Games!$Q$2:$Q$897)</f>
        <v>1983</v>
      </c>
      <c r="G101" s="0" t="n">
        <f aca="false">SUMIF(Games!$A$2:$A$897,$A101,Games!$T$2:$T$897)+SUMIF(Games!$B$2:$B$897,$A101,Games!$R$2:$R$897)</f>
        <v>2854</v>
      </c>
      <c r="H101" s="0" t="n">
        <f aca="false">SUMIF(Games!$A$2:$A$897,$A101,Games!$U$2:$U$897)+SUMIF(Games!$B$2:$B$897,$A101,Games!$V$2:$V$897)</f>
        <v>34.1043070398123</v>
      </c>
      <c r="I101" s="0" t="n">
        <f aca="false">SUMIF(Games!$A$2:$A$897,$A101,Games!$E$2:$E$897)+SUMIF(Games!$B$2:$B$897,$A101,Games!$F$2:$F$897)</f>
        <v>2593</v>
      </c>
      <c r="J101" s="0" t="n">
        <f aca="false">IFERROR(I101/(B101+C101),0)</f>
        <v>199.461538461538</v>
      </c>
      <c r="K101" s="0" t="n">
        <f aca="false">SUMIF(Games!$A$2:$A$897,$A101,Games!$F$2:$F$897)+SUMIF(Games!$B$2:$B$897,$A101,Games!$E$2:$E$897)</f>
        <v>1509</v>
      </c>
      <c r="L101" s="0" t="n">
        <f aca="false">SUMIF(Games!$A$2:$A$897,$A101,Games!$G$2:$G$897)+SUMIF(Games!$B$2:$B$897,$A101,Games!$H$2:$H$897)</f>
        <v>4239</v>
      </c>
      <c r="M101" s="0" t="n">
        <f aca="false">IFERROR(L101/(B101+C101),0)</f>
        <v>326.076923076923</v>
      </c>
      <c r="N101" s="0" t="n">
        <f aca="false">SUMIF(Games!$A$2:$A$897,$A101,Games!$H$2:$H$897)+SUMIF(Games!$B$2:$B$897,$A101,Games!$G$2:$G$897)</f>
        <v>3760</v>
      </c>
      <c r="O101" s="0" t="n">
        <f aca="false">SUMIF(Games!$A$2:$A$897,$A101,Games!$I$2:$I$897)+SUMIF(Games!$B$2:$B$897,$A101,Games!$J$2:$J$897)</f>
        <v>11</v>
      </c>
      <c r="P101" s="0" t="n">
        <f aca="false">SUMIF(Games!$A$2:$A$897,$A101,Games!$J$2:$J$897)+SUMIF(Games!$B$2:$B$897,$A101,Games!$I$2:$I$897)</f>
        <v>22</v>
      </c>
      <c r="R101" s="0" t="n">
        <f aca="false">IFERROR((K101+N101)/(B101+C101),0)</f>
        <v>405.307692307692</v>
      </c>
      <c r="S101" s="0" t="n">
        <f aca="false">P101-O101</f>
        <v>11</v>
      </c>
      <c r="T101" s="0" t="n">
        <f aca="false">IFERROR((D101/(D101+E101))*(F101/(F101+G101)),0)</f>
        <v>0.15244180500937</v>
      </c>
      <c r="U101" s="0" t="n">
        <f aca="false">RANK(T101,T$2:T$132)</f>
        <v>26</v>
      </c>
      <c r="V101" s="0" t="n">
        <f aca="false">IFERROR((B101/(B101+C101))*25,0)+IFERROR((D101/(D101+E101))*25,0)+IFERROR((F101/(F101+G101))*10,0)+H101+((J101-RMEAN)/RDEV)*5+((M101-PMEAN)/PDEV)*5+((DMEAN-R101)/DDEV)*7+((S101-TOMEAN)/TODEV)*3</f>
        <v>83.0647092934211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SUMIF(Games!$A$2:$A$897,$A102,Games!$K$2:$K$897)+SUMIF(Games!$B$2:$B$897,$A102,Games!$L$2:$L$897)</f>
        <v>8</v>
      </c>
      <c r="C102" s="0" t="n">
        <f aca="false">SUMIF(Games!$A$2:$A$897,$A102,Games!$L$2:$L$897)+SUMIF(Games!$B$2:$B$897,$A102,Games!$K$2:$K$897)</f>
        <v>5</v>
      </c>
      <c r="D102" s="0" t="n">
        <f aca="false">SUMIF(Games!$A$2:$A$897,$A102,Games!$O$2:$O$897)+SUMIF(Games!$B$2:$B$897,$A102,Games!$M$2:$M$897)</f>
        <v>102</v>
      </c>
      <c r="E102" s="0" t="n">
        <f aca="false">SUMIF(Games!$A$2:$A$897,$A102,Games!$P$2:$P$897)+SUMIF(Games!$B$2:$B$897,$A102,Games!$N$2:$N$897)</f>
        <v>68</v>
      </c>
      <c r="F102" s="0" t="n">
        <f aca="false">SUMIF(Games!$A$2:$A$897,$A102,Games!$S$2:$S$897)+SUMIF(Games!$B$2:$B$897,$A102,Games!$Q$2:$Q$897)</f>
        <v>1241</v>
      </c>
      <c r="G102" s="0" t="n">
        <f aca="false">SUMIF(Games!$A$2:$A$897,$A102,Games!$T$2:$T$897)+SUMIF(Games!$B$2:$B$897,$A102,Games!$R$2:$R$897)</f>
        <v>2248</v>
      </c>
      <c r="H102" s="0" t="n">
        <f aca="false">SUMIF(Games!$A$2:$A$897,$A102,Games!$U$2:$U$897)+SUMIF(Games!$B$2:$B$897,$A102,Games!$V$2:$V$897)</f>
        <v>26.2537853192398</v>
      </c>
      <c r="I102" s="0" t="n">
        <f aca="false">SUMIF(Games!$A$2:$A$897,$A102,Games!$E$2:$E$897)+SUMIF(Games!$B$2:$B$897,$A102,Games!$F$2:$F$897)</f>
        <v>2444</v>
      </c>
      <c r="J102" s="0" t="n">
        <f aca="false">IFERROR(I102/(B102+C102),0)</f>
        <v>188</v>
      </c>
      <c r="K102" s="0" t="n">
        <f aca="false">SUMIF(Games!$A$2:$A$897,$A102,Games!$F$2:$F$897)+SUMIF(Games!$B$2:$B$897,$A102,Games!$E$2:$E$897)</f>
        <v>1629</v>
      </c>
      <c r="L102" s="0" t="n">
        <f aca="false">SUMIF(Games!$A$2:$A$897,$A102,Games!$G$2:$G$897)+SUMIF(Games!$B$2:$B$897,$A102,Games!$H$2:$H$897)</f>
        <v>3138</v>
      </c>
      <c r="M102" s="0" t="n">
        <f aca="false">IFERROR(L102/(B102+C102),0)</f>
        <v>241.384615384615</v>
      </c>
      <c r="N102" s="0" t="n">
        <f aca="false">SUMIF(Games!$A$2:$A$897,$A102,Games!$H$2:$H$897)+SUMIF(Games!$B$2:$B$897,$A102,Games!$G$2:$G$897)</f>
        <v>3155</v>
      </c>
      <c r="O102" s="0" t="n">
        <f aca="false">SUMIF(Games!$A$2:$A$897,$A102,Games!$I$2:$I$897)+SUMIF(Games!$B$2:$B$897,$A102,Games!$J$2:$J$897)</f>
        <v>14</v>
      </c>
      <c r="P102" s="0" t="n">
        <f aca="false">SUMIF(Games!$A$2:$A$897,$A102,Games!$J$2:$J$897)+SUMIF(Games!$B$2:$B$897,$A102,Games!$I$2:$I$897)</f>
        <v>14</v>
      </c>
      <c r="R102" s="0" t="n">
        <f aca="false">IFERROR((K102+N102)/(B102+C102),0)</f>
        <v>368</v>
      </c>
      <c r="S102" s="0" t="n">
        <f aca="false">P102-O102</f>
        <v>0</v>
      </c>
      <c r="T102" s="0" t="n">
        <f aca="false">IFERROR((D102/(D102+E102))*(F102/(F102+G102)),0)</f>
        <v>0.2134135855546</v>
      </c>
      <c r="U102" s="0" t="n">
        <f aca="false">RANK(T102,T$2:T$132)</f>
        <v>5</v>
      </c>
      <c r="V102" s="0" t="n">
        <f aca="false">IFERROR((B102/(B102+C102))*25,0)+IFERROR((D102/(D102+E102))*25,0)+IFERROR((F102/(F102+G102))*10,0)+H102+((J102-RMEAN)/RDEV)*5+((M102-PMEAN)/PDEV)*5+((DMEAN-R102)/DDEV)*7+((S102-TOMEAN)/TODEV)*3</f>
        <v>65.5363046065106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SUMIF(Games!$A$2:$A$897,$A103,Games!$K$2:$K$897)+SUMIF(Games!$B$2:$B$897,$A103,Games!$L$2:$L$897)</f>
        <v>5</v>
      </c>
      <c r="C103" s="0" t="n">
        <f aca="false">SUMIF(Games!$A$2:$A$897,$A103,Games!$L$2:$L$897)+SUMIF(Games!$B$2:$B$897,$A103,Games!$K$2:$K$897)</f>
        <v>7</v>
      </c>
      <c r="D103" s="0" t="n">
        <f aca="false">SUMIF(Games!$A$2:$A$897,$A103,Games!$O$2:$O$897)+SUMIF(Games!$B$2:$B$897,$A103,Games!$M$2:$M$897)</f>
        <v>84</v>
      </c>
      <c r="E103" s="0" t="n">
        <f aca="false">SUMIF(Games!$A$2:$A$897,$A103,Games!$P$2:$P$897)+SUMIF(Games!$B$2:$B$897,$A103,Games!$N$2:$N$897)</f>
        <v>176</v>
      </c>
      <c r="F103" s="0" t="n">
        <f aca="false">SUMIF(Games!$A$2:$A$897,$A103,Games!$S$2:$S$897)+SUMIF(Games!$B$2:$B$897,$A103,Games!$Q$2:$Q$897)</f>
        <v>1877</v>
      </c>
      <c r="G103" s="0" t="n">
        <f aca="false">SUMIF(Games!$A$2:$A$897,$A103,Games!$T$2:$T$897)+SUMIF(Games!$B$2:$B$897,$A103,Games!$R$2:$R$897)</f>
        <v>2742</v>
      </c>
      <c r="H103" s="0" t="n">
        <f aca="false">SUMIF(Games!$A$2:$A$897,$A103,Games!$U$2:$U$897)+SUMIF(Games!$B$2:$B$897,$A103,Games!$V$2:$V$897)</f>
        <v>-6.77188234294142</v>
      </c>
      <c r="I103" s="0" t="n">
        <f aca="false">SUMIF(Games!$A$2:$A$897,$A103,Games!$E$2:$E$897)+SUMIF(Games!$B$2:$B$897,$A103,Games!$F$2:$F$897)</f>
        <v>1707</v>
      </c>
      <c r="J103" s="0" t="n">
        <f aca="false">IFERROR(I103/(B103+C103),0)</f>
        <v>142.25</v>
      </c>
      <c r="K103" s="0" t="n">
        <f aca="false">SUMIF(Games!$A$2:$A$897,$A103,Games!$F$2:$F$897)+SUMIF(Games!$B$2:$B$897,$A103,Games!$E$2:$E$897)</f>
        <v>2508</v>
      </c>
      <c r="L103" s="0" t="n">
        <f aca="false">SUMIF(Games!$A$2:$A$897,$A103,Games!$G$2:$G$897)+SUMIF(Games!$B$2:$B$897,$A103,Games!$H$2:$H$897)</f>
        <v>2633</v>
      </c>
      <c r="M103" s="0" t="n">
        <f aca="false">IFERROR(L103/(B103+C103),0)</f>
        <v>219.416666666667</v>
      </c>
      <c r="N103" s="0" t="n">
        <f aca="false">SUMIF(Games!$A$2:$A$897,$A103,Games!$H$2:$H$897)+SUMIF(Games!$B$2:$B$897,$A103,Games!$G$2:$G$897)</f>
        <v>1874</v>
      </c>
      <c r="O103" s="0" t="n">
        <f aca="false">SUMIF(Games!$A$2:$A$897,$A103,Games!$I$2:$I$897)+SUMIF(Games!$B$2:$B$897,$A103,Games!$J$2:$J$897)</f>
        <v>18</v>
      </c>
      <c r="P103" s="0" t="n">
        <f aca="false">SUMIF(Games!$A$2:$A$897,$A103,Games!$J$2:$J$897)+SUMIF(Games!$B$2:$B$897,$A103,Games!$I$2:$I$897)</f>
        <v>16</v>
      </c>
      <c r="R103" s="0" t="n">
        <f aca="false">IFERROR((K103+N103)/(B103+C103),0)</f>
        <v>365.166666666667</v>
      </c>
      <c r="S103" s="0" t="n">
        <f aca="false">P103-O103</f>
        <v>-2</v>
      </c>
      <c r="T103" s="0" t="n">
        <f aca="false">IFERROR((D103/(D103+E103))*(F103/(F103+G103)),0)</f>
        <v>0.131287158392592</v>
      </c>
      <c r="U103" s="0" t="n">
        <f aca="false">RANK(T103,T$2:T$132)</f>
        <v>74</v>
      </c>
      <c r="V103" s="0" t="n">
        <f aca="false">IFERROR((B103/(B103+C103))*25,0)+IFERROR((D103/(D103+E103))*25,0)+IFERROR((F103/(F103+G103))*10,0)+H103+((J103-RMEAN)/RDEV)*5+((M103-PMEAN)/PDEV)*5+((DMEAN-R103)/DDEV)*7+((S103-TOMEAN)/TODEV)*3</f>
        <v>13.4918048262547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SUMIF(Games!$A$2:$A$897,$A104,Games!$K$2:$K$897)+SUMIF(Games!$B$2:$B$897,$A104,Games!$L$2:$L$897)</f>
        <v>4</v>
      </c>
      <c r="C104" s="0" t="n">
        <f aca="false">SUMIF(Games!$A$2:$A$897,$A104,Games!$L$2:$L$897)+SUMIF(Games!$B$2:$B$897,$A104,Games!$K$2:$K$897)</f>
        <v>8</v>
      </c>
      <c r="D104" s="0" t="n">
        <f aca="false">SUMIF(Games!$A$2:$A$897,$A104,Games!$O$2:$O$897)+SUMIF(Games!$B$2:$B$897,$A104,Games!$M$2:$M$897)</f>
        <v>76</v>
      </c>
      <c r="E104" s="0" t="n">
        <f aca="false">SUMIF(Games!$A$2:$A$897,$A104,Games!$P$2:$P$897)+SUMIF(Games!$B$2:$B$897,$A104,Games!$N$2:$N$897)</f>
        <v>181</v>
      </c>
      <c r="F104" s="0" t="n">
        <f aca="false">SUMIF(Games!$A$2:$A$897,$A104,Games!$S$2:$S$897)+SUMIF(Games!$B$2:$B$897,$A104,Games!$Q$2:$Q$897)</f>
        <v>1745</v>
      </c>
      <c r="G104" s="0" t="n">
        <f aca="false">SUMIF(Games!$A$2:$A$897,$A104,Games!$T$2:$T$897)+SUMIF(Games!$B$2:$B$897,$A104,Games!$R$2:$R$897)</f>
        <v>2817</v>
      </c>
      <c r="H104" s="0" t="n">
        <f aca="false">SUMIF(Games!$A$2:$A$897,$A104,Games!$U$2:$U$897)+SUMIF(Games!$B$2:$B$897,$A104,Games!$V$2:$V$897)</f>
        <v>-40.8463423911617</v>
      </c>
      <c r="I104" s="0" t="n">
        <f aca="false">SUMIF(Games!$A$2:$A$897,$A104,Games!$E$2:$E$897)+SUMIF(Games!$B$2:$B$897,$A104,Games!$F$2:$F$897)</f>
        <v>1236</v>
      </c>
      <c r="J104" s="0" t="n">
        <f aca="false">IFERROR(I104/(B104+C104),0)</f>
        <v>103</v>
      </c>
      <c r="K104" s="0" t="n">
        <f aca="false">SUMIF(Games!$A$2:$A$897,$A104,Games!$F$2:$F$897)+SUMIF(Games!$B$2:$B$897,$A104,Games!$E$2:$E$897)</f>
        <v>1402</v>
      </c>
      <c r="L104" s="0" t="n">
        <f aca="false">SUMIF(Games!$A$2:$A$897,$A104,Games!$G$2:$G$897)+SUMIF(Games!$B$2:$B$897,$A104,Games!$H$2:$H$897)</f>
        <v>2649</v>
      </c>
      <c r="M104" s="0" t="n">
        <f aca="false">IFERROR(L104/(B104+C104),0)</f>
        <v>220.75</v>
      </c>
      <c r="N104" s="0" t="n">
        <f aca="false">SUMIF(Games!$A$2:$A$897,$A104,Games!$H$2:$H$897)+SUMIF(Games!$B$2:$B$897,$A104,Games!$G$2:$G$897)</f>
        <v>2939</v>
      </c>
      <c r="O104" s="0" t="n">
        <f aca="false">SUMIF(Games!$A$2:$A$897,$A104,Games!$I$2:$I$897)+SUMIF(Games!$B$2:$B$897,$A104,Games!$J$2:$J$897)</f>
        <v>17</v>
      </c>
      <c r="P104" s="0" t="n">
        <f aca="false">SUMIF(Games!$A$2:$A$897,$A104,Games!$J$2:$J$897)+SUMIF(Games!$B$2:$B$897,$A104,Games!$I$2:$I$897)</f>
        <v>20</v>
      </c>
      <c r="R104" s="0" t="n">
        <f aca="false">IFERROR((K104+N104)/(B104+C104),0)</f>
        <v>361.75</v>
      </c>
      <c r="S104" s="0" t="n">
        <f aca="false">P104-O104</f>
        <v>3</v>
      </c>
      <c r="T104" s="0" t="n">
        <f aca="false">IFERROR((D104/(D104+E104))*(F104/(F104+G104)),0)</f>
        <v>0.113115109251352</v>
      </c>
      <c r="U104" s="0" t="n">
        <f aca="false">RANK(T104,T$2:T$132)</f>
        <v>116</v>
      </c>
      <c r="V104" s="0" t="n">
        <f aca="false">IFERROR((B104/(B104+C104))*25,0)+IFERROR((D104/(D104+E104))*25,0)+IFERROR((F104/(F104+G104))*10,0)+H104+((J104-RMEAN)/RDEV)*5+((M104-PMEAN)/PDEV)*5+((DMEAN-R104)/DDEV)*7+((S104-TOMEAN)/TODEV)*3</f>
        <v>-25.1509940747982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SUMIF(Games!$A$2:$A$897,$A105,Games!$K$2:$K$897)+SUMIF(Games!$B$2:$B$897,$A105,Games!$L$2:$L$897)</f>
        <v>8</v>
      </c>
      <c r="C105" s="0" t="n">
        <f aca="false">SUMIF(Games!$A$2:$A$897,$A105,Games!$L$2:$L$897)+SUMIF(Games!$B$2:$B$897,$A105,Games!$K$2:$K$897)</f>
        <v>5</v>
      </c>
      <c r="D105" s="0" t="n">
        <f aca="false">SUMIF(Games!$A$2:$A$897,$A105,Games!$O$2:$O$897)+SUMIF(Games!$B$2:$B$897,$A105,Games!$M$2:$M$897)</f>
        <v>97</v>
      </c>
      <c r="E105" s="0" t="n">
        <f aca="false">SUMIF(Games!$A$2:$A$897,$A105,Games!$P$2:$P$897)+SUMIF(Games!$B$2:$B$897,$A105,Games!$N$2:$N$897)</f>
        <v>180</v>
      </c>
      <c r="F105" s="0" t="n">
        <f aca="false">SUMIF(Games!$A$2:$A$897,$A105,Games!$S$2:$S$897)+SUMIF(Games!$B$2:$B$897,$A105,Games!$Q$2:$Q$897)</f>
        <v>1969</v>
      </c>
      <c r="G105" s="0" t="n">
        <f aca="false">SUMIF(Games!$A$2:$A$897,$A105,Games!$T$2:$T$897)+SUMIF(Games!$B$2:$B$897,$A105,Games!$R$2:$R$897)</f>
        <v>2566</v>
      </c>
      <c r="H105" s="0" t="n">
        <f aca="false">SUMIF(Games!$A$2:$A$897,$A105,Games!$U$2:$U$897)+SUMIF(Games!$B$2:$B$897,$A105,Games!$V$2:$V$897)</f>
        <v>-3.00802614717256</v>
      </c>
      <c r="I105" s="0" t="n">
        <f aca="false">SUMIF(Games!$A$2:$A$897,$A105,Games!$E$2:$E$897)+SUMIF(Games!$B$2:$B$897,$A105,Games!$F$2:$F$897)</f>
        <v>2073</v>
      </c>
      <c r="J105" s="0" t="n">
        <f aca="false">IFERROR(I105/(B105+C105),0)</f>
        <v>159.461538461538</v>
      </c>
      <c r="K105" s="0" t="n">
        <f aca="false">SUMIF(Games!$A$2:$A$897,$A105,Games!$F$2:$F$897)+SUMIF(Games!$B$2:$B$897,$A105,Games!$E$2:$E$897)</f>
        <v>2193</v>
      </c>
      <c r="L105" s="0" t="n">
        <f aca="false">SUMIF(Games!$A$2:$A$897,$A105,Games!$G$2:$G$897)+SUMIF(Games!$B$2:$B$897,$A105,Games!$H$2:$H$897)</f>
        <v>3927</v>
      </c>
      <c r="M105" s="0" t="n">
        <f aca="false">IFERROR(L105/(B105+C105),0)</f>
        <v>302.076923076923</v>
      </c>
      <c r="N105" s="0" t="n">
        <f aca="false">SUMIF(Games!$A$2:$A$897,$A105,Games!$H$2:$H$897)+SUMIF(Games!$B$2:$B$897,$A105,Games!$G$2:$G$897)</f>
        <v>3338</v>
      </c>
      <c r="O105" s="0" t="n">
        <f aca="false">SUMIF(Games!$A$2:$A$897,$A105,Games!$I$2:$I$897)+SUMIF(Games!$B$2:$B$897,$A105,Games!$J$2:$J$897)</f>
        <v>25</v>
      </c>
      <c r="P105" s="0" t="n">
        <f aca="false">SUMIF(Games!$A$2:$A$897,$A105,Games!$J$2:$J$897)+SUMIF(Games!$B$2:$B$897,$A105,Games!$I$2:$I$897)</f>
        <v>18</v>
      </c>
      <c r="R105" s="0" t="n">
        <f aca="false">IFERROR((K105+N105)/(B105+C105),0)</f>
        <v>425.461538461538</v>
      </c>
      <c r="S105" s="0" t="n">
        <f aca="false">P105-O105</f>
        <v>-7</v>
      </c>
      <c r="T105" s="0" t="n">
        <f aca="false">IFERROR((D105/(D105+E105))*(F105/(F105+G105)),0)</f>
        <v>0.152040885372096</v>
      </c>
      <c r="U105" s="0" t="n">
        <f aca="false">RANK(T105,T$2:T$132)</f>
        <v>27</v>
      </c>
      <c r="V105" s="0" t="n">
        <f aca="false">IFERROR((B105/(B105+C105))*25,0)+IFERROR((D105/(D105+E105))*25,0)+IFERROR((F105/(F105+G105))*10,0)+H105+((J105-RMEAN)/RDEV)*5+((M105-PMEAN)/PDEV)*5+((DMEAN-R105)/DDEV)*7+((S105-TOMEAN)/TODEV)*3</f>
        <v>22.5872717100724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SUMIF(Games!$A$2:$A$897,$A106,Games!$K$2:$K$897)+SUMIF(Games!$B$2:$B$897,$A106,Games!$L$2:$L$897)</f>
        <v>9</v>
      </c>
      <c r="C106" s="0" t="n">
        <f aca="false">SUMIF(Games!$A$2:$A$897,$A106,Games!$L$2:$L$897)+SUMIF(Games!$B$2:$B$897,$A106,Games!$K$2:$K$897)</f>
        <v>5</v>
      </c>
      <c r="D106" s="0" t="n">
        <f aca="false">SUMIF(Games!$A$2:$A$897,$A106,Games!$O$2:$O$897)+SUMIF(Games!$B$2:$B$897,$A106,Games!$M$2:$M$897)</f>
        <v>89</v>
      </c>
      <c r="E106" s="0" t="n">
        <f aca="false">SUMIF(Games!$A$2:$A$897,$A106,Games!$P$2:$P$897)+SUMIF(Games!$B$2:$B$897,$A106,Games!$N$2:$N$897)</f>
        <v>195</v>
      </c>
      <c r="F106" s="0" t="n">
        <f aca="false">SUMIF(Games!$A$2:$A$897,$A106,Games!$S$2:$S$897)+SUMIF(Games!$B$2:$B$897,$A106,Games!$Q$2:$Q$897)</f>
        <v>1885</v>
      </c>
      <c r="G106" s="0" t="n">
        <f aca="false">SUMIF(Games!$A$2:$A$897,$A106,Games!$T$2:$T$897)+SUMIF(Games!$B$2:$B$897,$A106,Games!$R$2:$R$897)</f>
        <v>3025</v>
      </c>
      <c r="H106" s="0" t="n">
        <f aca="false">SUMIF(Games!$A$2:$A$897,$A106,Games!$U$2:$U$897)+SUMIF(Games!$B$2:$B$897,$A106,Games!$V$2:$V$897)</f>
        <v>2.36837749463248</v>
      </c>
      <c r="I106" s="0" t="n">
        <f aca="false">SUMIF(Games!$A$2:$A$897,$A106,Games!$E$2:$E$897)+SUMIF(Games!$B$2:$B$897,$A106,Games!$F$2:$F$897)</f>
        <v>2489</v>
      </c>
      <c r="J106" s="0" t="n">
        <f aca="false">IFERROR(I106/(B106+C106),0)</f>
        <v>177.785714285714</v>
      </c>
      <c r="K106" s="0" t="n">
        <f aca="false">SUMIF(Games!$A$2:$A$897,$A106,Games!$F$2:$F$897)+SUMIF(Games!$B$2:$B$897,$A106,Games!$E$2:$E$897)</f>
        <v>2006</v>
      </c>
      <c r="L106" s="0" t="n">
        <f aca="false">SUMIF(Games!$A$2:$A$897,$A106,Games!$G$2:$G$897)+SUMIF(Games!$B$2:$B$897,$A106,Games!$H$2:$H$897)</f>
        <v>3149</v>
      </c>
      <c r="M106" s="0" t="n">
        <f aca="false">IFERROR(L106/(B106+C106),0)</f>
        <v>224.928571428571</v>
      </c>
      <c r="N106" s="0" t="n">
        <f aca="false">SUMIF(Games!$A$2:$A$897,$A106,Games!$H$2:$H$897)+SUMIF(Games!$B$2:$B$897,$A106,Games!$G$2:$G$897)</f>
        <v>2562</v>
      </c>
      <c r="O106" s="0" t="n">
        <f aca="false">SUMIF(Games!$A$2:$A$897,$A106,Games!$I$2:$I$897)+SUMIF(Games!$B$2:$B$897,$A106,Games!$J$2:$J$897)</f>
        <v>26</v>
      </c>
      <c r="P106" s="0" t="n">
        <f aca="false">SUMIF(Games!$A$2:$A$897,$A106,Games!$J$2:$J$897)+SUMIF(Games!$B$2:$B$897,$A106,Games!$I$2:$I$897)</f>
        <v>18</v>
      </c>
      <c r="R106" s="0" t="n">
        <f aca="false">IFERROR((K106+N106)/(B106+C106),0)</f>
        <v>326.285714285714</v>
      </c>
      <c r="S106" s="0" t="n">
        <f aca="false">P106-O106</f>
        <v>-8</v>
      </c>
      <c r="T106" s="0" t="n">
        <f aca="false">IFERROR((D106/(D106+E106))*(F106/(F106+G106)),0)</f>
        <v>0.120309945210981</v>
      </c>
      <c r="U106" s="0" t="n">
        <f aca="false">RANK(T106,T$2:T$132)</f>
        <v>105</v>
      </c>
      <c r="V106" s="0" t="n">
        <f aca="false">IFERROR((B106/(B106+C106))*25,0)+IFERROR((D106/(D106+E106))*25,0)+IFERROR((F106/(F106+G106))*10,0)+H106+((J106-RMEAN)/RDEV)*5+((M106-PMEAN)/PDEV)*5+((DMEAN-R106)/DDEV)*7+((S106-TOMEAN)/TODEV)*3</f>
        <v>34.9319904429554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SUMIF(Games!$A$2:$A$897,$A107,Games!$K$2:$K$897)+SUMIF(Games!$B$2:$B$897,$A107,Games!$L$2:$L$897)</f>
        <v>12</v>
      </c>
      <c r="C107" s="0" t="n">
        <f aca="false">SUMIF(Games!$A$2:$A$897,$A107,Games!$L$2:$L$897)+SUMIF(Games!$B$2:$B$897,$A107,Games!$K$2:$K$897)</f>
        <v>2</v>
      </c>
      <c r="D107" s="0" t="n">
        <f aca="false">SUMIF(Games!$A$2:$A$897,$A107,Games!$O$2:$O$897)+SUMIF(Games!$B$2:$B$897,$A107,Games!$M$2:$M$897)</f>
        <v>100</v>
      </c>
      <c r="E107" s="0" t="n">
        <f aca="false">SUMIF(Games!$A$2:$A$897,$A107,Games!$P$2:$P$897)+SUMIF(Games!$B$2:$B$897,$A107,Games!$N$2:$N$897)</f>
        <v>186</v>
      </c>
      <c r="F107" s="0" t="n">
        <f aca="false">SUMIF(Games!$A$2:$A$897,$A107,Games!$S$2:$S$897)+SUMIF(Games!$B$2:$B$897,$A107,Games!$Q$2:$Q$897)</f>
        <v>1948</v>
      </c>
      <c r="G107" s="0" t="n">
        <f aca="false">SUMIF(Games!$A$2:$A$897,$A107,Games!$T$2:$T$897)+SUMIF(Games!$B$2:$B$897,$A107,Games!$R$2:$R$897)</f>
        <v>3408</v>
      </c>
      <c r="H107" s="0" t="n">
        <f aca="false">SUMIF(Games!$A$2:$A$897,$A107,Games!$U$2:$U$897)+SUMIF(Games!$B$2:$B$897,$A107,Games!$V$2:$V$897)</f>
        <v>13.1242671993529</v>
      </c>
      <c r="I107" s="0" t="n">
        <f aca="false">SUMIF(Games!$A$2:$A$897,$A107,Games!$E$2:$E$897)+SUMIF(Games!$B$2:$B$897,$A107,Games!$F$2:$F$897)</f>
        <v>1626</v>
      </c>
      <c r="J107" s="0" t="n">
        <f aca="false">IFERROR(I107/(B107+C107),0)</f>
        <v>116.142857142857</v>
      </c>
      <c r="K107" s="0" t="n">
        <f aca="false">SUMIF(Games!$A$2:$A$897,$A107,Games!$F$2:$F$897)+SUMIF(Games!$B$2:$B$897,$A107,Games!$E$2:$E$897)</f>
        <v>1679</v>
      </c>
      <c r="L107" s="0" t="n">
        <f aca="false">SUMIF(Games!$A$2:$A$897,$A107,Games!$G$2:$G$897)+SUMIF(Games!$B$2:$B$897,$A107,Games!$H$2:$H$897)</f>
        <v>3396</v>
      </c>
      <c r="M107" s="0" t="n">
        <f aca="false">IFERROR(L107/(B107+C107),0)</f>
        <v>242.571428571429</v>
      </c>
      <c r="N107" s="0" t="n">
        <f aca="false">SUMIF(Games!$A$2:$A$897,$A107,Games!$H$2:$H$897)+SUMIF(Games!$B$2:$B$897,$A107,Games!$G$2:$G$897)</f>
        <v>2899</v>
      </c>
      <c r="O107" s="0" t="n">
        <f aca="false">SUMIF(Games!$A$2:$A$897,$A107,Games!$I$2:$I$897)+SUMIF(Games!$B$2:$B$897,$A107,Games!$J$2:$J$897)</f>
        <v>21</v>
      </c>
      <c r="P107" s="0" t="n">
        <f aca="false">SUMIF(Games!$A$2:$A$897,$A107,Games!$J$2:$J$897)+SUMIF(Games!$B$2:$B$897,$A107,Games!$I$2:$I$897)</f>
        <v>25</v>
      </c>
      <c r="R107" s="0" t="n">
        <f aca="false">IFERROR((K107+N107)/(B107+C107),0)</f>
        <v>327</v>
      </c>
      <c r="S107" s="0" t="n">
        <f aca="false">P107-O107</f>
        <v>4</v>
      </c>
      <c r="T107" s="0" t="n">
        <f aca="false">IFERROR((D107/(D107+E107))*(F107/(F107+G107)),0)</f>
        <v>0.127169320597252</v>
      </c>
      <c r="U107" s="0" t="n">
        <f aca="false">RANK(T107,T$2:T$132)</f>
        <v>87</v>
      </c>
      <c r="V107" s="0" t="n">
        <f aca="false">IFERROR((B107/(B107+C107))*25,0)+IFERROR((D107/(D107+E107))*25,0)+IFERROR((F107/(F107+G107))*10,0)+H107+((J107-RMEAN)/RDEV)*5+((M107-PMEAN)/PDEV)*5+((DMEAN-R107)/DDEV)*7+((S107-TOMEAN)/TODEV)*3</f>
        <v>51.7614848999806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SUMIF(Games!$A$2:$A$897,$A108,Games!$K$2:$K$897)+SUMIF(Games!$B$2:$B$897,$A108,Games!$L$2:$L$897)</f>
        <v>12</v>
      </c>
      <c r="C108" s="0" t="n">
        <f aca="false">SUMIF(Games!$A$2:$A$897,$A108,Games!$L$2:$L$897)+SUMIF(Games!$B$2:$B$897,$A108,Games!$K$2:$K$897)</f>
        <v>2</v>
      </c>
      <c r="D108" s="0" t="n">
        <f aca="false">SUMIF(Games!$A$2:$A$897,$A108,Games!$O$2:$O$897)+SUMIF(Games!$B$2:$B$897,$A108,Games!$M$2:$M$897)</f>
        <v>100</v>
      </c>
      <c r="E108" s="0" t="n">
        <f aca="false">SUMIF(Games!$A$2:$A$897,$A108,Games!$P$2:$P$897)+SUMIF(Games!$B$2:$B$897,$A108,Games!$N$2:$N$897)</f>
        <v>190</v>
      </c>
      <c r="F108" s="0" t="n">
        <f aca="false">SUMIF(Games!$A$2:$A$897,$A108,Games!$S$2:$S$897)+SUMIF(Games!$B$2:$B$897,$A108,Games!$Q$2:$Q$897)</f>
        <v>1995</v>
      </c>
      <c r="G108" s="0" t="n">
        <f aca="false">SUMIF(Games!$A$2:$A$897,$A108,Games!$T$2:$T$897)+SUMIF(Games!$B$2:$B$897,$A108,Games!$R$2:$R$897)</f>
        <v>2904</v>
      </c>
      <c r="H108" s="0" t="n">
        <f aca="false">SUMIF(Games!$A$2:$A$897,$A108,Games!$U$2:$U$897)+SUMIF(Games!$B$2:$B$897,$A108,Games!$V$2:$V$897)</f>
        <v>20.7342848428608</v>
      </c>
      <c r="I108" s="0" t="n">
        <f aca="false">SUMIF(Games!$A$2:$A$897,$A108,Games!$E$2:$E$897)+SUMIF(Games!$B$2:$B$897,$A108,Games!$F$2:$F$897)</f>
        <v>2868</v>
      </c>
      <c r="J108" s="0" t="n">
        <f aca="false">IFERROR(I108/(B108+C108),0)</f>
        <v>204.857142857143</v>
      </c>
      <c r="K108" s="0" t="n">
        <f aca="false">SUMIF(Games!$A$2:$A$897,$A108,Games!$F$2:$F$897)+SUMIF(Games!$B$2:$B$897,$A108,Games!$E$2:$E$897)</f>
        <v>2132</v>
      </c>
      <c r="L108" s="0" t="n">
        <f aca="false">SUMIF(Games!$A$2:$A$897,$A108,Games!$G$2:$G$897)+SUMIF(Games!$B$2:$B$897,$A108,Games!$H$2:$H$897)</f>
        <v>3313</v>
      </c>
      <c r="M108" s="0" t="n">
        <f aca="false">IFERROR(L108/(B108+C108),0)</f>
        <v>236.642857142857</v>
      </c>
      <c r="N108" s="0" t="n">
        <f aca="false">SUMIF(Games!$A$2:$A$897,$A108,Games!$H$2:$H$897)+SUMIF(Games!$B$2:$B$897,$A108,Games!$G$2:$G$897)</f>
        <v>2911</v>
      </c>
      <c r="O108" s="0" t="n">
        <f aca="false">SUMIF(Games!$A$2:$A$897,$A108,Games!$I$2:$I$897)+SUMIF(Games!$B$2:$B$897,$A108,Games!$J$2:$J$897)</f>
        <v>16</v>
      </c>
      <c r="P108" s="0" t="n">
        <f aca="false">SUMIF(Games!$A$2:$A$897,$A108,Games!$J$2:$J$897)+SUMIF(Games!$B$2:$B$897,$A108,Games!$I$2:$I$897)</f>
        <v>20</v>
      </c>
      <c r="R108" s="0" t="n">
        <f aca="false">IFERROR((K108+N108)/(B108+C108),0)</f>
        <v>360.214285714286</v>
      </c>
      <c r="S108" s="0" t="n">
        <f aca="false">P108-O108</f>
        <v>4</v>
      </c>
      <c r="T108" s="0" t="n">
        <f aca="false">IFERROR((D108/(D108+E108))*(F108/(F108+G108)),0)</f>
        <v>0.140422746373292</v>
      </c>
      <c r="U108" s="0" t="n">
        <f aca="false">RANK(T108,T$2:T$132)</f>
        <v>57</v>
      </c>
      <c r="V108" s="0" t="n">
        <f aca="false">IFERROR((B108/(B108+C108))*25,0)+IFERROR((D108/(D108+E108))*25,0)+IFERROR((F108/(F108+G108))*10,0)+H108+((J108-RMEAN)/RDEV)*5+((M108-PMEAN)/PDEV)*5+((DMEAN-R108)/DDEV)*7+((S108-TOMEAN)/TODEV)*3</f>
        <v>64.4096636933038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SUMIF(Games!$A$2:$A$897,$A109,Games!$K$2:$K$897)+SUMIF(Games!$B$2:$B$897,$A109,Games!$L$2:$L$897)</f>
        <v>5</v>
      </c>
      <c r="C109" s="0" t="n">
        <f aca="false">SUMIF(Games!$A$2:$A$897,$A109,Games!$L$2:$L$897)+SUMIF(Games!$B$2:$B$897,$A109,Games!$K$2:$K$897)</f>
        <v>7</v>
      </c>
      <c r="D109" s="0" t="n">
        <f aca="false">SUMIF(Games!$A$2:$A$897,$A109,Games!$O$2:$O$897)+SUMIF(Games!$B$2:$B$897,$A109,Games!$M$2:$M$897)</f>
        <v>77</v>
      </c>
      <c r="E109" s="0" t="n">
        <f aca="false">SUMIF(Games!$A$2:$A$897,$A109,Games!$P$2:$P$897)+SUMIF(Games!$B$2:$B$897,$A109,Games!$N$2:$N$897)</f>
        <v>183</v>
      </c>
      <c r="F109" s="0" t="n">
        <f aca="false">SUMIF(Games!$A$2:$A$897,$A109,Games!$S$2:$S$897)+SUMIF(Games!$B$2:$B$897,$A109,Games!$Q$2:$Q$897)</f>
        <v>1773</v>
      </c>
      <c r="G109" s="0" t="n">
        <f aca="false">SUMIF(Games!$A$2:$A$897,$A109,Games!$T$2:$T$897)+SUMIF(Games!$B$2:$B$897,$A109,Games!$R$2:$R$897)</f>
        <v>2630</v>
      </c>
      <c r="H109" s="0" t="n">
        <f aca="false">SUMIF(Games!$A$2:$A$897,$A109,Games!$U$2:$U$897)+SUMIF(Games!$B$2:$B$897,$A109,Games!$V$2:$V$897)</f>
        <v>-24.166678077537</v>
      </c>
      <c r="I109" s="0" t="n">
        <f aca="false">SUMIF(Games!$A$2:$A$897,$A109,Games!$E$2:$E$897)+SUMIF(Games!$B$2:$B$897,$A109,Games!$F$2:$F$897)</f>
        <v>1664</v>
      </c>
      <c r="J109" s="0" t="n">
        <f aca="false">IFERROR(I109/(B109+C109),0)</f>
        <v>138.666666666667</v>
      </c>
      <c r="K109" s="0" t="n">
        <f aca="false">SUMIF(Games!$A$2:$A$897,$A109,Games!$F$2:$F$897)+SUMIF(Games!$B$2:$B$897,$A109,Games!$E$2:$E$897)</f>
        <v>2495</v>
      </c>
      <c r="L109" s="0" t="n">
        <f aca="false">SUMIF(Games!$A$2:$A$897,$A109,Games!$G$2:$G$897)+SUMIF(Games!$B$2:$B$897,$A109,Games!$H$2:$H$897)</f>
        <v>3278</v>
      </c>
      <c r="M109" s="0" t="n">
        <f aca="false">IFERROR(L109/(B109+C109),0)</f>
        <v>273.166666666667</v>
      </c>
      <c r="N109" s="0" t="n">
        <f aca="false">SUMIF(Games!$A$2:$A$897,$A109,Games!$H$2:$H$897)+SUMIF(Games!$B$2:$B$897,$A109,Games!$G$2:$G$897)</f>
        <v>2476</v>
      </c>
      <c r="O109" s="0" t="n">
        <f aca="false">SUMIF(Games!$A$2:$A$897,$A109,Games!$I$2:$I$897)+SUMIF(Games!$B$2:$B$897,$A109,Games!$J$2:$J$897)</f>
        <v>18</v>
      </c>
      <c r="P109" s="0" t="n">
        <f aca="false">SUMIF(Games!$A$2:$A$897,$A109,Games!$J$2:$J$897)+SUMIF(Games!$B$2:$B$897,$A109,Games!$I$2:$I$897)</f>
        <v>16</v>
      </c>
      <c r="R109" s="0" t="n">
        <f aca="false">IFERROR((K109+N109)/(B109+C109),0)</f>
        <v>414.25</v>
      </c>
      <c r="S109" s="0" t="n">
        <f aca="false">P109-O109</f>
        <v>-2</v>
      </c>
      <c r="T109" s="0" t="n">
        <f aca="false">IFERROR((D109/(D109+E109))*(F109/(F109+G109)),0)</f>
        <v>0.119255228078758</v>
      </c>
      <c r="U109" s="0" t="n">
        <f aca="false">RANK(T109,T$2:T$132)</f>
        <v>108</v>
      </c>
      <c r="V109" s="0" t="n">
        <f aca="false">IFERROR((B109/(B109+C109))*25,0)+IFERROR((D109/(D109+E109))*25,0)+IFERROR((F109/(F109+G109))*10,0)+H109+((J109-RMEAN)/RDEV)*5+((M109-PMEAN)/PDEV)*5+((DMEAN-R109)/DDEV)*7+((S109-TOMEAN)/TODEV)*3</f>
        <v>-6.55238279288105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SUMIF(Games!$A$2:$A$897,$A110,Games!$K$2:$K$897)+SUMIF(Games!$B$2:$B$897,$A110,Games!$L$2:$L$897)</f>
        <v>7</v>
      </c>
      <c r="C110" s="0" t="n">
        <f aca="false">SUMIF(Games!$A$2:$A$897,$A110,Games!$L$2:$L$897)+SUMIF(Games!$B$2:$B$897,$A110,Games!$K$2:$K$897)</f>
        <v>6</v>
      </c>
      <c r="D110" s="0" t="n">
        <f aca="false">SUMIF(Games!$A$2:$A$897,$A110,Games!$O$2:$O$897)+SUMIF(Games!$B$2:$B$897,$A110,Games!$M$2:$M$897)</f>
        <v>89</v>
      </c>
      <c r="E110" s="0" t="n">
        <f aca="false">SUMIF(Games!$A$2:$A$897,$A110,Games!$P$2:$P$897)+SUMIF(Games!$B$2:$B$897,$A110,Games!$N$2:$N$897)</f>
        <v>188</v>
      </c>
      <c r="F110" s="0" t="n">
        <f aca="false">SUMIF(Games!$A$2:$A$897,$A110,Games!$S$2:$S$897)+SUMIF(Games!$B$2:$B$897,$A110,Games!$Q$2:$Q$897)</f>
        <v>1850</v>
      </c>
      <c r="G110" s="0" t="n">
        <f aca="false">SUMIF(Games!$A$2:$A$897,$A110,Games!$T$2:$T$897)+SUMIF(Games!$B$2:$B$897,$A110,Games!$R$2:$R$897)</f>
        <v>2977</v>
      </c>
      <c r="H110" s="0" t="n">
        <f aca="false">SUMIF(Games!$A$2:$A$897,$A110,Games!$U$2:$U$897)+SUMIF(Games!$B$2:$B$897,$A110,Games!$V$2:$V$897)</f>
        <v>0.388173276876669</v>
      </c>
      <c r="I110" s="0" t="n">
        <f aca="false">SUMIF(Games!$A$2:$A$897,$A110,Games!$E$2:$E$897)+SUMIF(Games!$B$2:$B$897,$A110,Games!$F$2:$F$897)</f>
        <v>3056</v>
      </c>
      <c r="J110" s="0" t="n">
        <f aca="false">IFERROR(I110/(B110+C110),0)</f>
        <v>235.076923076923</v>
      </c>
      <c r="K110" s="0" t="n">
        <f aca="false">SUMIF(Games!$A$2:$A$897,$A110,Games!$F$2:$F$897)+SUMIF(Games!$B$2:$B$897,$A110,Games!$E$2:$E$897)</f>
        <v>2164</v>
      </c>
      <c r="L110" s="0" t="n">
        <f aca="false">SUMIF(Games!$A$2:$A$897,$A110,Games!$G$2:$G$897)+SUMIF(Games!$B$2:$B$897,$A110,Games!$H$2:$H$897)</f>
        <v>2641</v>
      </c>
      <c r="M110" s="0" t="n">
        <f aca="false">IFERROR(L110/(B110+C110),0)</f>
        <v>203.153846153846</v>
      </c>
      <c r="N110" s="0" t="n">
        <f aca="false">SUMIF(Games!$A$2:$A$897,$A110,Games!$H$2:$H$897)+SUMIF(Games!$B$2:$B$897,$A110,Games!$G$2:$G$897)</f>
        <v>2524</v>
      </c>
      <c r="O110" s="0" t="n">
        <f aca="false">SUMIF(Games!$A$2:$A$897,$A110,Games!$I$2:$I$897)+SUMIF(Games!$B$2:$B$897,$A110,Games!$J$2:$J$897)</f>
        <v>18</v>
      </c>
      <c r="P110" s="0" t="n">
        <f aca="false">SUMIF(Games!$A$2:$A$897,$A110,Games!$J$2:$J$897)+SUMIF(Games!$B$2:$B$897,$A110,Games!$I$2:$I$897)</f>
        <v>18</v>
      </c>
      <c r="R110" s="0" t="n">
        <f aca="false">IFERROR((K110+N110)/(B110+C110),0)</f>
        <v>360.615384615385</v>
      </c>
      <c r="S110" s="0" t="n">
        <f aca="false">P110-O110</f>
        <v>0</v>
      </c>
      <c r="T110" s="0" t="n">
        <f aca="false">IFERROR((D110/(D110+E110))*(F110/(F110+G110)),0)</f>
        <v>0.123141564559761</v>
      </c>
      <c r="U110" s="0" t="n">
        <f aca="false">RANK(T110,T$2:T$132)</f>
        <v>96</v>
      </c>
      <c r="V110" s="0" t="n">
        <f aca="false">IFERROR((B110/(B110+C110))*25,0)+IFERROR((D110/(D110+E110))*25,0)+IFERROR((F110/(F110+G110))*10,0)+H110+((J110-RMEAN)/RDEV)*5+((M110-PMEAN)/PDEV)*5+((DMEAN-R110)/DDEV)*7+((S110-TOMEAN)/TODEV)*3</f>
        <v>33.6155313898725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SUMIF(Games!$A$2:$A$897,$A111,Games!$K$2:$K$897)+SUMIF(Games!$B$2:$B$897,$A111,Games!$L$2:$L$897)</f>
        <v>9</v>
      </c>
      <c r="C111" s="0" t="n">
        <f aca="false">SUMIF(Games!$A$2:$A$897,$A111,Games!$L$2:$L$897)+SUMIF(Games!$B$2:$B$897,$A111,Games!$K$2:$K$897)</f>
        <v>5</v>
      </c>
      <c r="D111" s="0" t="n">
        <f aca="false">SUMIF(Games!$A$2:$A$897,$A111,Games!$O$2:$O$897)+SUMIF(Games!$B$2:$B$897,$A111,Games!$M$2:$M$897)</f>
        <v>98</v>
      </c>
      <c r="E111" s="0" t="n">
        <f aca="false">SUMIF(Games!$A$2:$A$897,$A111,Games!$P$2:$P$897)+SUMIF(Games!$B$2:$B$897,$A111,Games!$N$2:$N$897)</f>
        <v>188</v>
      </c>
      <c r="F111" s="0" t="n">
        <f aca="false">SUMIF(Games!$A$2:$A$897,$A111,Games!$S$2:$S$897)+SUMIF(Games!$B$2:$B$897,$A111,Games!$Q$2:$Q$897)</f>
        <v>1964</v>
      </c>
      <c r="G111" s="0" t="n">
        <f aca="false">SUMIF(Games!$A$2:$A$897,$A111,Games!$T$2:$T$897)+SUMIF(Games!$B$2:$B$897,$A111,Games!$R$2:$R$897)</f>
        <v>2988</v>
      </c>
      <c r="H111" s="0" t="n">
        <f aca="false">SUMIF(Games!$A$2:$A$897,$A111,Games!$U$2:$U$897)+SUMIF(Games!$B$2:$B$897,$A111,Games!$V$2:$V$897)</f>
        <v>5.11744742848096</v>
      </c>
      <c r="I111" s="0" t="n">
        <f aca="false">SUMIF(Games!$A$2:$A$897,$A111,Games!$E$2:$E$897)+SUMIF(Games!$B$2:$B$897,$A111,Games!$F$2:$F$897)</f>
        <v>3192</v>
      </c>
      <c r="J111" s="0" t="n">
        <f aca="false">IFERROR(I111/(B111+C111),0)</f>
        <v>228</v>
      </c>
      <c r="K111" s="0" t="n">
        <f aca="false">SUMIF(Games!$A$2:$A$897,$A111,Games!$F$2:$F$897)+SUMIF(Games!$B$2:$B$897,$A111,Games!$E$2:$E$897)</f>
        <v>2209</v>
      </c>
      <c r="L111" s="0" t="n">
        <f aca="false">SUMIF(Games!$A$2:$A$897,$A111,Games!$G$2:$G$897)+SUMIF(Games!$B$2:$B$897,$A111,Games!$H$2:$H$897)</f>
        <v>3377</v>
      </c>
      <c r="M111" s="0" t="n">
        <f aca="false">IFERROR(L111/(B111+C111),0)</f>
        <v>241.214285714286</v>
      </c>
      <c r="N111" s="0" t="n">
        <f aca="false">SUMIF(Games!$A$2:$A$897,$A111,Games!$H$2:$H$897)+SUMIF(Games!$B$2:$B$897,$A111,Games!$G$2:$G$897)</f>
        <v>3112</v>
      </c>
      <c r="O111" s="0" t="n">
        <f aca="false">SUMIF(Games!$A$2:$A$897,$A111,Games!$I$2:$I$897)+SUMIF(Games!$B$2:$B$897,$A111,Games!$J$2:$J$897)</f>
        <v>21</v>
      </c>
      <c r="P111" s="0" t="n">
        <f aca="false">SUMIF(Games!$A$2:$A$897,$A111,Games!$J$2:$J$897)+SUMIF(Games!$B$2:$B$897,$A111,Games!$I$2:$I$897)</f>
        <v>17</v>
      </c>
      <c r="R111" s="0" t="n">
        <f aca="false">IFERROR((K111+N111)/(B111+C111),0)</f>
        <v>380.071428571429</v>
      </c>
      <c r="S111" s="0" t="n">
        <f aca="false">P111-O111</f>
        <v>-4</v>
      </c>
      <c r="T111" s="0" t="n">
        <f aca="false">IFERROR((D111/(D111+E111))*(F111/(F111+G111)),0)</f>
        <v>0.135900448501418</v>
      </c>
      <c r="U111" s="0" t="n">
        <f aca="false">RANK(T111,T$2:T$132)</f>
        <v>63</v>
      </c>
      <c r="V111" s="0" t="n">
        <f aca="false">IFERROR((B111/(B111+C111))*25,0)+IFERROR((D111/(D111+E111))*25,0)+IFERROR((F111/(F111+G111))*10,0)+H111+((J111-RMEAN)/RDEV)*5+((M111-PMEAN)/PDEV)*5+((DMEAN-R111)/DDEV)*7+((S111-TOMEAN)/TODEV)*3</f>
        <v>40.0796174256903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SUMIF(Games!$A$2:$A$897,$A112,Games!$K$2:$K$897)+SUMIF(Games!$B$2:$B$897,$A112,Games!$L$2:$L$897)</f>
        <v>9</v>
      </c>
      <c r="C112" s="0" t="n">
        <f aca="false">SUMIF(Games!$A$2:$A$897,$A112,Games!$L$2:$L$897)+SUMIF(Games!$B$2:$B$897,$A112,Games!$K$2:$K$897)</f>
        <v>4</v>
      </c>
      <c r="D112" s="0" t="n">
        <f aca="false">SUMIF(Games!$A$2:$A$897,$A112,Games!$O$2:$O$897)+SUMIF(Games!$B$2:$B$897,$A112,Games!$M$2:$M$897)</f>
        <v>91</v>
      </c>
      <c r="E112" s="0" t="n">
        <f aca="false">SUMIF(Games!$A$2:$A$897,$A112,Games!$P$2:$P$897)+SUMIF(Games!$B$2:$B$897,$A112,Games!$N$2:$N$897)</f>
        <v>182</v>
      </c>
      <c r="F112" s="0" t="n">
        <f aca="false">SUMIF(Games!$A$2:$A$897,$A112,Games!$S$2:$S$897)+SUMIF(Games!$B$2:$B$897,$A112,Games!$Q$2:$Q$897)</f>
        <v>1913</v>
      </c>
      <c r="G112" s="0" t="n">
        <f aca="false">SUMIF(Games!$A$2:$A$897,$A112,Games!$T$2:$T$897)+SUMIF(Games!$B$2:$B$897,$A112,Games!$R$2:$R$897)</f>
        <v>2648</v>
      </c>
      <c r="H112" s="0" t="n">
        <f aca="false">SUMIF(Games!$A$2:$A$897,$A112,Games!$U$2:$U$897)+SUMIF(Games!$B$2:$B$897,$A112,Games!$V$2:$V$897)</f>
        <v>10.9302944033075</v>
      </c>
      <c r="I112" s="0" t="n">
        <f aca="false">SUMIF(Games!$A$2:$A$897,$A112,Games!$E$2:$E$897)+SUMIF(Games!$B$2:$B$897,$A112,Games!$F$2:$F$897)</f>
        <v>3099</v>
      </c>
      <c r="J112" s="0" t="n">
        <f aca="false">IFERROR(I112/(B112+C112),0)</f>
        <v>238.384615384615</v>
      </c>
      <c r="K112" s="0" t="n">
        <f aca="false">SUMIF(Games!$A$2:$A$897,$A112,Games!$F$2:$F$897)+SUMIF(Games!$B$2:$B$897,$A112,Games!$E$2:$E$897)</f>
        <v>1695</v>
      </c>
      <c r="L112" s="0" t="n">
        <f aca="false">SUMIF(Games!$A$2:$A$897,$A112,Games!$G$2:$G$897)+SUMIF(Games!$B$2:$B$897,$A112,Games!$H$2:$H$897)</f>
        <v>3447</v>
      </c>
      <c r="M112" s="0" t="n">
        <f aca="false">IFERROR(L112/(B112+C112),0)</f>
        <v>265.153846153846</v>
      </c>
      <c r="N112" s="0" t="n">
        <f aca="false">SUMIF(Games!$A$2:$A$897,$A112,Games!$H$2:$H$897)+SUMIF(Games!$B$2:$B$897,$A112,Games!$G$2:$G$897)</f>
        <v>3548</v>
      </c>
      <c r="O112" s="0" t="n">
        <f aca="false">SUMIF(Games!$A$2:$A$897,$A112,Games!$I$2:$I$897)+SUMIF(Games!$B$2:$B$897,$A112,Games!$J$2:$J$897)</f>
        <v>20</v>
      </c>
      <c r="P112" s="0" t="n">
        <f aca="false">SUMIF(Games!$A$2:$A$897,$A112,Games!$J$2:$J$897)+SUMIF(Games!$B$2:$B$897,$A112,Games!$I$2:$I$897)</f>
        <v>18</v>
      </c>
      <c r="R112" s="0" t="n">
        <f aca="false">IFERROR((K112+N112)/(B112+C112),0)</f>
        <v>403.307692307692</v>
      </c>
      <c r="S112" s="0" t="n">
        <f aca="false">P112-O112</f>
        <v>-2</v>
      </c>
      <c r="T112" s="0" t="n">
        <f aca="false">IFERROR((D112/(D112+E112))*(F112/(F112+G112)),0)</f>
        <v>0.139808521523058</v>
      </c>
      <c r="U112" s="0" t="n">
        <f aca="false">RANK(T112,T$2:T$132)</f>
        <v>58</v>
      </c>
      <c r="V112" s="0" t="n">
        <f aca="false">IFERROR((B112/(B112+C112))*25,0)+IFERROR((D112/(D112+E112))*25,0)+IFERROR((F112/(F112+G112))*10,0)+H112+((J112-RMEAN)/RDEV)*5+((M112-PMEAN)/PDEV)*5+((DMEAN-R112)/DDEV)*7+((S112-TOMEAN)/TODEV)*3</f>
        <v>48.2692828009144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SUMIF(Games!$A$2:$A$897,$A113,Games!$K$2:$K$897)+SUMIF(Games!$B$2:$B$897,$A113,Games!$L$2:$L$897)</f>
        <v>6</v>
      </c>
      <c r="C113" s="0" t="n">
        <f aca="false">SUMIF(Games!$A$2:$A$897,$A113,Games!$L$2:$L$897)+SUMIF(Games!$B$2:$B$897,$A113,Games!$K$2:$K$897)</f>
        <v>7</v>
      </c>
      <c r="D113" s="0" t="n">
        <f aca="false">SUMIF(Games!$A$2:$A$897,$A113,Games!$O$2:$O$897)+SUMIF(Games!$B$2:$B$897,$A113,Games!$M$2:$M$897)</f>
        <v>88</v>
      </c>
      <c r="E113" s="0" t="n">
        <f aca="false">SUMIF(Games!$A$2:$A$897,$A113,Games!$P$2:$P$897)+SUMIF(Games!$B$2:$B$897,$A113,Games!$N$2:$N$897)</f>
        <v>185</v>
      </c>
      <c r="F113" s="0" t="n">
        <f aca="false">SUMIF(Games!$A$2:$A$897,$A113,Games!$S$2:$S$897)+SUMIF(Games!$B$2:$B$897,$A113,Games!$Q$2:$Q$897)</f>
        <v>1864</v>
      </c>
      <c r="G113" s="0" t="n">
        <f aca="false">SUMIF(Games!$A$2:$A$897,$A113,Games!$T$2:$T$897)+SUMIF(Games!$B$2:$B$897,$A113,Games!$R$2:$R$897)</f>
        <v>3019</v>
      </c>
      <c r="H113" s="0" t="n">
        <f aca="false">SUMIF(Games!$A$2:$A$897,$A113,Games!$U$2:$U$897)+SUMIF(Games!$B$2:$B$897,$A113,Games!$V$2:$V$897)</f>
        <v>-28.3638806054023</v>
      </c>
      <c r="I113" s="0" t="n">
        <f aca="false">SUMIF(Games!$A$2:$A$897,$A113,Games!$E$2:$E$897)+SUMIF(Games!$B$2:$B$897,$A113,Games!$F$2:$F$897)</f>
        <v>2482</v>
      </c>
      <c r="J113" s="0" t="n">
        <f aca="false">IFERROR(I113/(B113+C113),0)</f>
        <v>190.923076923077</v>
      </c>
      <c r="K113" s="0" t="n">
        <f aca="false">SUMIF(Games!$A$2:$A$897,$A113,Games!$F$2:$F$897)+SUMIF(Games!$B$2:$B$897,$A113,Games!$E$2:$E$897)</f>
        <v>2215</v>
      </c>
      <c r="L113" s="0" t="n">
        <f aca="false">SUMIF(Games!$A$2:$A$897,$A113,Games!$G$2:$G$897)+SUMIF(Games!$B$2:$B$897,$A113,Games!$H$2:$H$897)</f>
        <v>1456</v>
      </c>
      <c r="M113" s="0" t="n">
        <f aca="false">IFERROR(L113/(B113+C113),0)</f>
        <v>112</v>
      </c>
      <c r="N113" s="0" t="n">
        <f aca="false">SUMIF(Games!$A$2:$A$897,$A113,Games!$H$2:$H$897)+SUMIF(Games!$B$2:$B$897,$A113,Games!$G$2:$G$897)</f>
        <v>2735</v>
      </c>
      <c r="O113" s="0" t="n">
        <f aca="false">SUMIF(Games!$A$2:$A$897,$A113,Games!$I$2:$I$897)+SUMIF(Games!$B$2:$B$897,$A113,Games!$J$2:$J$897)</f>
        <v>21</v>
      </c>
      <c r="P113" s="0" t="n">
        <f aca="false">SUMIF(Games!$A$2:$A$897,$A113,Games!$J$2:$J$897)+SUMIF(Games!$B$2:$B$897,$A113,Games!$I$2:$I$897)</f>
        <v>22</v>
      </c>
      <c r="R113" s="0" t="n">
        <f aca="false">IFERROR((K113+N113)/(B113+C113),0)</f>
        <v>380.769230769231</v>
      </c>
      <c r="S113" s="0" t="n">
        <f aca="false">P113-O113</f>
        <v>1</v>
      </c>
      <c r="T113" s="0" t="n">
        <f aca="false">IFERROR((D113/(D113+E113))*(F113/(F113+G113)),0)</f>
        <v>0.123049317397054</v>
      </c>
      <c r="U113" s="0" t="n">
        <f aca="false">RANK(T113,T$2:T$132)</f>
        <v>97</v>
      </c>
      <c r="V113" s="0" t="n">
        <f aca="false">IFERROR((B113/(B113+C113))*25,0)+IFERROR((D113/(D113+E113))*25,0)+IFERROR((F113/(F113+G113))*10,0)+H113+((J113-RMEAN)/RDEV)*5+((M113-PMEAN)/PDEV)*5+((DMEAN-R113)/DDEV)*7+((S113-TOMEAN)/TODEV)*3</f>
        <v>-12.9122347085693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SUMIF(Games!$A$2:$A$897,$A114,Games!$K$2:$K$897)+SUMIF(Games!$B$2:$B$897,$A114,Games!$L$2:$L$897)</f>
        <v>1</v>
      </c>
      <c r="C114" s="0" t="n">
        <f aca="false">SUMIF(Games!$A$2:$A$897,$A114,Games!$L$2:$L$897)+SUMIF(Games!$B$2:$B$897,$A114,Games!$K$2:$K$897)</f>
        <v>11</v>
      </c>
      <c r="D114" s="0" t="n">
        <f aca="false">SUMIF(Games!$A$2:$A$897,$A114,Games!$O$2:$O$897)+SUMIF(Games!$B$2:$B$897,$A114,Games!$M$2:$M$897)</f>
        <v>83</v>
      </c>
      <c r="E114" s="0" t="n">
        <f aca="false">SUMIF(Games!$A$2:$A$897,$A114,Games!$P$2:$P$897)+SUMIF(Games!$B$2:$B$897,$A114,Games!$N$2:$N$897)</f>
        <v>178</v>
      </c>
      <c r="F114" s="0" t="n">
        <f aca="false">SUMIF(Games!$A$2:$A$897,$A114,Games!$S$2:$S$897)+SUMIF(Games!$B$2:$B$897,$A114,Games!$Q$2:$Q$897)</f>
        <v>1698</v>
      </c>
      <c r="G114" s="0" t="n">
        <f aca="false">SUMIF(Games!$A$2:$A$897,$A114,Games!$T$2:$T$897)+SUMIF(Games!$B$2:$B$897,$A114,Games!$R$2:$R$897)</f>
        <v>3016</v>
      </c>
      <c r="H114" s="0" t="n">
        <f aca="false">SUMIF(Games!$A$2:$A$897,$A114,Games!$U$2:$U$897)+SUMIF(Games!$B$2:$B$897,$A114,Games!$V$2:$V$897)</f>
        <v>-72.5452642078875</v>
      </c>
      <c r="I114" s="0" t="n">
        <f aca="false">SUMIF(Games!$A$2:$A$897,$A114,Games!$E$2:$E$897)+SUMIF(Games!$B$2:$B$897,$A114,Games!$F$2:$F$897)</f>
        <v>1804</v>
      </c>
      <c r="J114" s="0" t="n">
        <f aca="false">IFERROR(I114/(B114+C114),0)</f>
        <v>150.333333333333</v>
      </c>
      <c r="K114" s="0" t="n">
        <f aca="false">SUMIF(Games!$A$2:$A$897,$A114,Games!$F$2:$F$897)+SUMIF(Games!$B$2:$B$897,$A114,Games!$E$2:$E$897)</f>
        <v>2338</v>
      </c>
      <c r="L114" s="0" t="n">
        <f aca="false">SUMIF(Games!$A$2:$A$897,$A114,Games!$G$2:$G$897)+SUMIF(Games!$B$2:$B$897,$A114,Games!$H$2:$H$897)</f>
        <v>1403</v>
      </c>
      <c r="M114" s="0" t="n">
        <f aca="false">IFERROR(L114/(B114+C114),0)</f>
        <v>116.916666666667</v>
      </c>
      <c r="N114" s="0" t="n">
        <f aca="false">SUMIF(Games!$A$2:$A$897,$A114,Games!$H$2:$H$897)+SUMIF(Games!$B$2:$B$897,$A114,Games!$G$2:$G$897)</f>
        <v>2103</v>
      </c>
      <c r="O114" s="0" t="n">
        <f aca="false">SUMIF(Games!$A$2:$A$897,$A114,Games!$I$2:$I$897)+SUMIF(Games!$B$2:$B$897,$A114,Games!$J$2:$J$897)</f>
        <v>19</v>
      </c>
      <c r="P114" s="0" t="n">
        <f aca="false">SUMIF(Games!$A$2:$A$897,$A114,Games!$J$2:$J$897)+SUMIF(Games!$B$2:$B$897,$A114,Games!$I$2:$I$897)</f>
        <v>19</v>
      </c>
      <c r="R114" s="0" t="n">
        <f aca="false">IFERROR((K114+N114)/(B114+C114),0)</f>
        <v>370.083333333333</v>
      </c>
      <c r="S114" s="0" t="n">
        <f aca="false">P114-O114</f>
        <v>0</v>
      </c>
      <c r="T114" s="0" t="n">
        <f aca="false">IFERROR((D114/(D114+E114))*(F114/(F114+G114)),0)</f>
        <v>0.114547520469718</v>
      </c>
      <c r="U114" s="0" t="n">
        <f aca="false">RANK(T114,T$2:T$132)</f>
        <v>112</v>
      </c>
      <c r="V114" s="0" t="n">
        <f aca="false">IFERROR((B114/(B114+C114))*25,0)+IFERROR((D114/(D114+E114))*25,0)+IFERROR((F114/(F114+G114))*10,0)+H114+((J114-RMEAN)/RDEV)*5+((M114-PMEAN)/PDEV)*5+((DMEAN-R114)/DDEV)*7+((S114-TOMEAN)/TODEV)*3</f>
        <v>-69.8725006778032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SUMIF(Games!$A$2:$A$897,$A115,Games!$K$2:$K$897)+SUMIF(Games!$B$2:$B$897,$A115,Games!$L$2:$L$897)</f>
        <v>5</v>
      </c>
      <c r="C115" s="0" t="n">
        <f aca="false">SUMIF(Games!$A$2:$A$897,$A115,Games!$L$2:$L$897)+SUMIF(Games!$B$2:$B$897,$A115,Games!$K$2:$K$897)</f>
        <v>7</v>
      </c>
      <c r="D115" s="0" t="n">
        <f aca="false">SUMIF(Games!$A$2:$A$897,$A115,Games!$O$2:$O$897)+SUMIF(Games!$B$2:$B$897,$A115,Games!$M$2:$M$897)</f>
        <v>75</v>
      </c>
      <c r="E115" s="0" t="n">
        <f aca="false">SUMIF(Games!$A$2:$A$897,$A115,Games!$P$2:$P$897)+SUMIF(Games!$B$2:$B$897,$A115,Games!$N$2:$N$897)</f>
        <v>186</v>
      </c>
      <c r="F115" s="0" t="n">
        <f aca="false">SUMIF(Games!$A$2:$A$897,$A115,Games!$S$2:$S$897)+SUMIF(Games!$B$2:$B$897,$A115,Games!$Q$2:$Q$897)</f>
        <v>1751</v>
      </c>
      <c r="G115" s="0" t="n">
        <f aca="false">SUMIF(Games!$A$2:$A$897,$A115,Games!$T$2:$T$897)+SUMIF(Games!$B$2:$B$897,$A115,Games!$R$2:$R$897)</f>
        <v>2657</v>
      </c>
      <c r="H115" s="0" t="n">
        <f aca="false">SUMIF(Games!$A$2:$A$897,$A115,Games!$U$2:$U$897)+SUMIF(Games!$B$2:$B$897,$A115,Games!$V$2:$V$897)</f>
        <v>-18.9243255483314</v>
      </c>
      <c r="I115" s="0" t="n">
        <f aca="false">SUMIF(Games!$A$2:$A$897,$A115,Games!$E$2:$E$897)+SUMIF(Games!$B$2:$B$897,$A115,Games!$F$2:$F$897)</f>
        <v>1647</v>
      </c>
      <c r="J115" s="0" t="n">
        <f aca="false">IFERROR(I115/(B115+C115),0)</f>
        <v>137.25</v>
      </c>
      <c r="K115" s="0" t="n">
        <f aca="false">SUMIF(Games!$A$2:$A$897,$A115,Games!$F$2:$F$897)+SUMIF(Games!$B$2:$B$897,$A115,Games!$E$2:$E$897)</f>
        <v>1869</v>
      </c>
      <c r="L115" s="0" t="n">
        <f aca="false">SUMIF(Games!$A$2:$A$897,$A115,Games!$G$2:$G$897)+SUMIF(Games!$B$2:$B$897,$A115,Games!$H$2:$H$897)</f>
        <v>2580</v>
      </c>
      <c r="M115" s="0" t="n">
        <f aca="false">IFERROR(L115/(B115+C115),0)</f>
        <v>215</v>
      </c>
      <c r="N115" s="0" t="n">
        <f aca="false">SUMIF(Games!$A$2:$A$897,$A115,Games!$H$2:$H$897)+SUMIF(Games!$B$2:$B$897,$A115,Games!$G$2:$G$897)</f>
        <v>2720</v>
      </c>
      <c r="O115" s="0" t="n">
        <f aca="false">SUMIF(Games!$A$2:$A$897,$A115,Games!$I$2:$I$897)+SUMIF(Games!$B$2:$B$897,$A115,Games!$J$2:$J$897)</f>
        <v>15</v>
      </c>
      <c r="P115" s="0" t="n">
        <f aca="false">SUMIF(Games!$A$2:$A$897,$A115,Games!$J$2:$J$897)+SUMIF(Games!$B$2:$B$897,$A115,Games!$I$2:$I$897)</f>
        <v>21</v>
      </c>
      <c r="R115" s="0" t="n">
        <f aca="false">IFERROR((K115+N115)/(B115+C115),0)</f>
        <v>382.416666666667</v>
      </c>
      <c r="S115" s="0" t="n">
        <f aca="false">P115-O115</f>
        <v>6</v>
      </c>
      <c r="T115" s="0" t="n">
        <f aca="false">IFERROR((D115/(D115+E115))*(F115/(F115+G115)),0)</f>
        <v>0.114147214051776</v>
      </c>
      <c r="U115" s="0" t="n">
        <f aca="false">RANK(T115,T$2:T$132)</f>
        <v>115</v>
      </c>
      <c r="V115" s="0" t="n">
        <f aca="false">IFERROR((B115/(B115+C115))*25,0)+IFERROR((D115/(D115+E115))*25,0)+IFERROR((F115/(F115+G115))*10,0)+H115+((J115-RMEAN)/RDEV)*5+((M115-PMEAN)/PDEV)*5+((DMEAN-R115)/DDEV)*7+((S115-TOMEAN)/TODEV)*3</f>
        <v>0.530247903151193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SUMIF(Games!$A$2:$A$897,$A116,Games!$K$2:$K$897)+SUMIF(Games!$B$2:$B$897,$A116,Games!$L$2:$L$897)</f>
        <v>11</v>
      </c>
      <c r="C116" s="0" t="n">
        <f aca="false">SUMIF(Games!$A$2:$A$897,$A116,Games!$L$2:$L$897)+SUMIF(Games!$B$2:$B$897,$A116,Games!$K$2:$K$897)</f>
        <v>3</v>
      </c>
      <c r="D116" s="0" t="n">
        <f aca="false">SUMIF(Games!$A$2:$A$897,$A116,Games!$O$2:$O$897)+SUMIF(Games!$B$2:$B$897,$A116,Games!$M$2:$M$897)</f>
        <v>98</v>
      </c>
      <c r="E116" s="0" t="n">
        <f aca="false">SUMIF(Games!$A$2:$A$897,$A116,Games!$P$2:$P$897)+SUMIF(Games!$B$2:$B$897,$A116,Games!$N$2:$N$897)</f>
        <v>83</v>
      </c>
      <c r="F116" s="0" t="n">
        <f aca="false">SUMIF(Games!$A$2:$A$897,$A116,Games!$S$2:$S$897)+SUMIF(Games!$B$2:$B$897,$A116,Games!$Q$2:$Q$897)</f>
        <v>1337</v>
      </c>
      <c r="G116" s="0" t="n">
        <f aca="false">SUMIF(Games!$A$2:$A$897,$A116,Games!$T$2:$T$897)+SUMIF(Games!$B$2:$B$897,$A116,Games!$R$2:$R$897)</f>
        <v>2285</v>
      </c>
      <c r="H116" s="0" t="n">
        <f aca="false">SUMIF(Games!$A$2:$A$897,$A116,Games!$U$2:$U$897)+SUMIF(Games!$B$2:$B$897,$A116,Games!$V$2:$V$897)</f>
        <v>21.6715753273034</v>
      </c>
      <c r="I116" s="0" t="n">
        <f aca="false">SUMIF(Games!$A$2:$A$897,$A116,Games!$E$2:$E$897)+SUMIF(Games!$B$2:$B$897,$A116,Games!$F$2:$F$897)</f>
        <v>2396</v>
      </c>
      <c r="J116" s="0" t="n">
        <f aca="false">IFERROR(I116/(B116+C116),0)</f>
        <v>171.142857142857</v>
      </c>
      <c r="K116" s="0" t="n">
        <f aca="false">SUMIF(Games!$A$2:$A$897,$A116,Games!$F$2:$F$897)+SUMIF(Games!$B$2:$B$897,$A116,Games!$E$2:$E$897)</f>
        <v>2237</v>
      </c>
      <c r="L116" s="0" t="n">
        <f aca="false">SUMIF(Games!$A$2:$A$897,$A116,Games!$G$2:$G$897)+SUMIF(Games!$B$2:$B$897,$A116,Games!$H$2:$H$897)</f>
        <v>4694</v>
      </c>
      <c r="M116" s="0" t="n">
        <f aca="false">IFERROR(L116/(B116+C116),0)</f>
        <v>335.285714285714</v>
      </c>
      <c r="N116" s="0" t="n">
        <f aca="false">SUMIF(Games!$A$2:$A$897,$A116,Games!$H$2:$H$897)+SUMIF(Games!$B$2:$B$897,$A116,Games!$G$2:$G$897)</f>
        <v>3698</v>
      </c>
      <c r="O116" s="0" t="n">
        <f aca="false">SUMIF(Games!$A$2:$A$897,$A116,Games!$I$2:$I$897)+SUMIF(Games!$B$2:$B$897,$A116,Games!$J$2:$J$897)</f>
        <v>7</v>
      </c>
      <c r="P116" s="0" t="n">
        <f aca="false">SUMIF(Games!$A$2:$A$897,$A116,Games!$J$2:$J$897)+SUMIF(Games!$B$2:$B$897,$A116,Games!$I$2:$I$897)</f>
        <v>28</v>
      </c>
      <c r="R116" s="0" t="n">
        <f aca="false">IFERROR((K116+N116)/(B116+C116),0)</f>
        <v>423.928571428571</v>
      </c>
      <c r="S116" s="0" t="n">
        <f aca="false">P116-O116</f>
        <v>21</v>
      </c>
      <c r="T116" s="0" t="n">
        <f aca="false">IFERROR((D116/(D116+E116))*(F116/(F116+G116)),0)</f>
        <v>0.199862107257368</v>
      </c>
      <c r="U116" s="0" t="n">
        <f aca="false">RANK(T116,T$2:T$132)</f>
        <v>9</v>
      </c>
      <c r="V116" s="0" t="n">
        <f aca="false">IFERROR((B116/(B116+C116))*25,0)+IFERROR((D116/(D116+E116))*25,0)+IFERROR((F116/(F116+G116))*10,0)+H116+((J116-RMEAN)/RDEV)*5+((M116-PMEAN)/PDEV)*5+((DMEAN-R116)/DDEV)*7+((S116-TOMEAN)/TODEV)*3</f>
        <v>72.5370426350765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SUMIF(Games!$A$2:$A$897,$A117,Games!$K$2:$K$897)+SUMIF(Games!$B$2:$B$897,$A117,Games!$L$2:$L$897)</f>
        <v>1</v>
      </c>
      <c r="C117" s="0" t="n">
        <f aca="false">SUMIF(Games!$A$2:$A$897,$A117,Games!$L$2:$L$897)+SUMIF(Games!$B$2:$B$897,$A117,Games!$K$2:$K$897)</f>
        <v>11</v>
      </c>
      <c r="D117" s="0" t="n">
        <f aca="false">SUMIF(Games!$A$2:$A$897,$A117,Games!$O$2:$O$897)+SUMIF(Games!$B$2:$B$897,$A117,Games!$M$2:$M$897)</f>
        <v>91</v>
      </c>
      <c r="E117" s="0" t="n">
        <f aca="false">SUMIF(Games!$A$2:$A$897,$A117,Games!$P$2:$P$897)+SUMIF(Games!$B$2:$B$897,$A117,Games!$N$2:$N$897)</f>
        <v>172</v>
      </c>
      <c r="F117" s="0" t="n">
        <f aca="false">SUMIF(Games!$A$2:$A$897,$A117,Games!$S$2:$S$897)+SUMIF(Games!$B$2:$B$897,$A117,Games!$Q$2:$Q$897)</f>
        <v>1795</v>
      </c>
      <c r="G117" s="0" t="n">
        <f aca="false">SUMIF(Games!$A$2:$A$897,$A117,Games!$T$2:$T$897)+SUMIF(Games!$B$2:$B$897,$A117,Games!$R$2:$R$897)</f>
        <v>2538</v>
      </c>
      <c r="H117" s="0" t="n">
        <f aca="false">SUMIF(Games!$A$2:$A$897,$A117,Games!$U$2:$U$897)+SUMIF(Games!$B$2:$B$897,$A117,Games!$V$2:$V$897)</f>
        <v>-47.2838122377543</v>
      </c>
      <c r="I117" s="0" t="n">
        <f aca="false">SUMIF(Games!$A$2:$A$897,$A117,Games!$E$2:$E$897)+SUMIF(Games!$B$2:$B$897,$A117,Games!$F$2:$F$897)</f>
        <v>2361</v>
      </c>
      <c r="J117" s="0" t="n">
        <f aca="false">IFERROR(I117/(B117+C117),0)</f>
        <v>196.75</v>
      </c>
      <c r="K117" s="0" t="n">
        <f aca="false">SUMIF(Games!$A$2:$A$897,$A117,Games!$F$2:$F$897)+SUMIF(Games!$B$2:$B$897,$A117,Games!$E$2:$E$897)</f>
        <v>2815</v>
      </c>
      <c r="L117" s="0" t="n">
        <f aca="false">SUMIF(Games!$A$2:$A$897,$A117,Games!$G$2:$G$897)+SUMIF(Games!$B$2:$B$897,$A117,Games!$H$2:$H$897)</f>
        <v>2315</v>
      </c>
      <c r="M117" s="0" t="n">
        <f aca="false">IFERROR(L117/(B117+C117),0)</f>
        <v>192.916666666667</v>
      </c>
      <c r="N117" s="0" t="n">
        <f aca="false">SUMIF(Games!$A$2:$A$897,$A117,Games!$H$2:$H$897)+SUMIF(Games!$B$2:$B$897,$A117,Games!$G$2:$G$897)</f>
        <v>3384</v>
      </c>
      <c r="O117" s="0" t="n">
        <f aca="false">SUMIF(Games!$A$2:$A$897,$A117,Games!$I$2:$I$897)+SUMIF(Games!$B$2:$B$897,$A117,Games!$J$2:$J$897)</f>
        <v>20</v>
      </c>
      <c r="P117" s="0" t="n">
        <f aca="false">SUMIF(Games!$A$2:$A$897,$A117,Games!$J$2:$J$897)+SUMIF(Games!$B$2:$B$897,$A117,Games!$I$2:$I$897)</f>
        <v>15</v>
      </c>
      <c r="R117" s="0" t="n">
        <f aca="false">IFERROR((K117+N117)/(B117+C117),0)</f>
        <v>516.583333333333</v>
      </c>
      <c r="S117" s="0" t="n">
        <f aca="false">P117-O117</f>
        <v>-5</v>
      </c>
      <c r="T117" s="0" t="n">
        <f aca="false">IFERROR((D117/(D117+E117))*(F117/(F117+G117)),0)</f>
        <v>0.143338022199426</v>
      </c>
      <c r="U117" s="0" t="n">
        <f aca="false">RANK(T117,T$2:T$132)</f>
        <v>52</v>
      </c>
      <c r="V117" s="0" t="n">
        <f aca="false">IFERROR((B117/(B117+C117))*25,0)+IFERROR((D117/(D117+E117))*25,0)+IFERROR((F117/(F117+G117))*10,0)+H117+((J117-RMEAN)/RDEV)*5+((M117-PMEAN)/PDEV)*5+((DMEAN-R117)/DDEV)*7+((S117-TOMEAN)/TODEV)*3</f>
        <v>-53.0778855638138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SUMIF(Games!$A$2:$A$897,$A118,Games!$K$2:$K$897)+SUMIF(Games!$B$2:$B$897,$A118,Games!$L$2:$L$897)</f>
        <v>5</v>
      </c>
      <c r="C118" s="0" t="n">
        <f aca="false">SUMIF(Games!$A$2:$A$897,$A118,Games!$L$2:$L$897)+SUMIF(Games!$B$2:$B$897,$A118,Games!$K$2:$K$897)</f>
        <v>7</v>
      </c>
      <c r="D118" s="0" t="n">
        <f aca="false">SUMIF(Games!$A$2:$A$897,$A118,Games!$O$2:$O$897)+SUMIF(Games!$B$2:$B$897,$A118,Games!$M$2:$M$897)</f>
        <v>71</v>
      </c>
      <c r="E118" s="0" t="n">
        <f aca="false">SUMIF(Games!$A$2:$A$897,$A118,Games!$P$2:$P$897)+SUMIF(Games!$B$2:$B$897,$A118,Games!$N$2:$N$897)</f>
        <v>83</v>
      </c>
      <c r="F118" s="0" t="n">
        <f aca="false">SUMIF(Games!$A$2:$A$897,$A118,Games!$S$2:$S$897)+SUMIF(Games!$B$2:$B$897,$A118,Games!$Q$2:$Q$897)</f>
        <v>1023</v>
      </c>
      <c r="G118" s="0" t="n">
        <f aca="false">SUMIF(Games!$A$2:$A$897,$A118,Games!$T$2:$T$897)+SUMIF(Games!$B$2:$B$897,$A118,Games!$R$2:$R$897)</f>
        <v>2243</v>
      </c>
      <c r="H118" s="0" t="n">
        <f aca="false">SUMIF(Games!$A$2:$A$897,$A118,Games!$U$2:$U$897)+SUMIF(Games!$B$2:$B$897,$A118,Games!$V$2:$V$897)</f>
        <v>-25.8332353618432</v>
      </c>
      <c r="I118" s="0" t="n">
        <f aca="false">SUMIF(Games!$A$2:$A$897,$A118,Games!$E$2:$E$897)+SUMIF(Games!$B$2:$B$897,$A118,Games!$F$2:$F$897)</f>
        <v>2006</v>
      </c>
      <c r="J118" s="0" t="n">
        <f aca="false">IFERROR(I118/(B118+C118),0)</f>
        <v>167.166666666667</v>
      </c>
      <c r="K118" s="0" t="n">
        <f aca="false">SUMIF(Games!$A$2:$A$897,$A118,Games!$F$2:$F$897)+SUMIF(Games!$B$2:$B$897,$A118,Games!$E$2:$E$897)</f>
        <v>1628</v>
      </c>
      <c r="L118" s="0" t="n">
        <f aca="false">SUMIF(Games!$A$2:$A$897,$A118,Games!$G$2:$G$897)+SUMIF(Games!$B$2:$B$897,$A118,Games!$H$2:$H$897)</f>
        <v>2625</v>
      </c>
      <c r="M118" s="0" t="n">
        <f aca="false">IFERROR(L118/(B118+C118),0)</f>
        <v>218.75</v>
      </c>
      <c r="N118" s="0" t="n">
        <f aca="false">SUMIF(Games!$A$2:$A$897,$A118,Games!$H$2:$H$897)+SUMIF(Games!$B$2:$B$897,$A118,Games!$G$2:$G$897)</f>
        <v>2600</v>
      </c>
      <c r="O118" s="0" t="n">
        <f aca="false">SUMIF(Games!$A$2:$A$897,$A118,Games!$I$2:$I$897)+SUMIF(Games!$B$2:$B$897,$A118,Games!$J$2:$J$897)</f>
        <v>21</v>
      </c>
      <c r="P118" s="0" t="n">
        <f aca="false">SUMIF(Games!$A$2:$A$897,$A118,Games!$J$2:$J$897)+SUMIF(Games!$B$2:$B$897,$A118,Games!$I$2:$I$897)</f>
        <v>16</v>
      </c>
      <c r="R118" s="0" t="n">
        <f aca="false">IFERROR((K118+N118)/(B118+C118),0)</f>
        <v>352.333333333333</v>
      </c>
      <c r="S118" s="0" t="n">
        <f aca="false">P118-O118</f>
        <v>-5</v>
      </c>
      <c r="T118" s="0" t="n">
        <f aca="false">IFERROR((D118/(D118+E118))*(F118/(F118+G118)),0)</f>
        <v>0.144409937888199</v>
      </c>
      <c r="U118" s="0" t="n">
        <f aca="false">RANK(T118,T$2:T$132)</f>
        <v>51</v>
      </c>
      <c r="V118" s="0" t="n">
        <f aca="false">IFERROR((B118/(B118+C118))*25,0)+IFERROR((D118/(D118+E118))*25,0)+IFERROR((F118/(F118+G118))*10,0)+H118+((J118-RMEAN)/RDEV)*5+((M118-PMEAN)/PDEV)*5+((DMEAN-R118)/DDEV)*7+((S118-TOMEAN)/TODEV)*3</f>
        <v>0.0704262138481848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SUMIF(Games!$A$2:$A$897,$A119,Games!$K$2:$K$897)+SUMIF(Games!$B$2:$B$897,$A119,Games!$L$2:$L$897)</f>
        <v>11</v>
      </c>
      <c r="C119" s="0" t="n">
        <f aca="false">SUMIF(Games!$A$2:$A$897,$A119,Games!$L$2:$L$897)+SUMIF(Games!$B$2:$B$897,$A119,Games!$K$2:$K$897)</f>
        <v>3</v>
      </c>
      <c r="D119" s="0" t="n">
        <f aca="false">SUMIF(Games!$A$2:$A$897,$A119,Games!$O$2:$O$897)+SUMIF(Games!$B$2:$B$897,$A119,Games!$M$2:$M$897)</f>
        <v>97</v>
      </c>
      <c r="E119" s="0" t="n">
        <f aca="false">SUMIF(Games!$A$2:$A$897,$A119,Games!$P$2:$P$897)+SUMIF(Games!$B$2:$B$897,$A119,Games!$N$2:$N$897)</f>
        <v>192</v>
      </c>
      <c r="F119" s="0" t="n">
        <f aca="false">SUMIF(Games!$A$2:$A$897,$A119,Games!$S$2:$S$897)+SUMIF(Games!$B$2:$B$897,$A119,Games!$Q$2:$Q$897)</f>
        <v>1950</v>
      </c>
      <c r="G119" s="0" t="n">
        <f aca="false">SUMIF(Games!$A$2:$A$897,$A119,Games!$T$2:$T$897)+SUMIF(Games!$B$2:$B$897,$A119,Games!$R$2:$R$897)</f>
        <v>2934</v>
      </c>
      <c r="H119" s="0" t="n">
        <f aca="false">SUMIF(Games!$A$2:$A$897,$A119,Games!$U$2:$U$897)+SUMIF(Games!$B$2:$B$897,$A119,Games!$V$2:$V$897)</f>
        <v>15.3060956977141</v>
      </c>
      <c r="I119" s="0" t="n">
        <f aca="false">SUMIF(Games!$A$2:$A$897,$A119,Games!$E$2:$E$897)+SUMIF(Games!$B$2:$B$897,$A119,Games!$F$2:$F$897)</f>
        <v>2458</v>
      </c>
      <c r="J119" s="0" t="n">
        <f aca="false">IFERROR(I119/(B119+C119),0)</f>
        <v>175.571428571429</v>
      </c>
      <c r="K119" s="0" t="n">
        <f aca="false">SUMIF(Games!$A$2:$A$897,$A119,Games!$F$2:$F$897)+SUMIF(Games!$B$2:$B$897,$A119,Games!$E$2:$E$897)</f>
        <v>1980</v>
      </c>
      <c r="L119" s="0" t="n">
        <f aca="false">SUMIF(Games!$A$2:$A$897,$A119,Games!$G$2:$G$897)+SUMIF(Games!$B$2:$B$897,$A119,Games!$H$2:$H$897)</f>
        <v>4206</v>
      </c>
      <c r="M119" s="0" t="n">
        <f aca="false">IFERROR(L119/(B119+C119),0)</f>
        <v>300.428571428571</v>
      </c>
      <c r="N119" s="0" t="n">
        <f aca="false">SUMIF(Games!$A$2:$A$897,$A119,Games!$H$2:$H$897)+SUMIF(Games!$B$2:$B$897,$A119,Games!$G$2:$G$897)</f>
        <v>3408</v>
      </c>
      <c r="O119" s="0" t="n">
        <f aca="false">SUMIF(Games!$A$2:$A$897,$A119,Games!$I$2:$I$897)+SUMIF(Games!$B$2:$B$897,$A119,Games!$J$2:$J$897)</f>
        <v>19</v>
      </c>
      <c r="P119" s="0" t="n">
        <f aca="false">SUMIF(Games!$A$2:$A$897,$A119,Games!$J$2:$J$897)+SUMIF(Games!$B$2:$B$897,$A119,Games!$I$2:$I$897)</f>
        <v>22</v>
      </c>
      <c r="R119" s="0" t="n">
        <f aca="false">IFERROR((K119+N119)/(B119+C119),0)</f>
        <v>384.857142857143</v>
      </c>
      <c r="S119" s="0" t="n">
        <f aca="false">P119-O119</f>
        <v>3</v>
      </c>
      <c r="T119" s="0" t="n">
        <f aca="false">IFERROR((D119/(D119+E119))*(F119/(F119+G119)),0)</f>
        <v>0.1340086547699</v>
      </c>
      <c r="U119" s="0" t="n">
        <f aca="false">RANK(T119,T$2:T$132)</f>
        <v>67</v>
      </c>
      <c r="V119" s="0" t="n">
        <f aca="false">IFERROR((B119/(B119+C119))*25,0)+IFERROR((D119/(D119+E119))*25,0)+IFERROR((F119/(F119+G119))*10,0)+H119+((J119-RMEAN)/RDEV)*5+((M119-PMEAN)/PDEV)*5+((DMEAN-R119)/DDEV)*7+((S119-TOMEAN)/TODEV)*3</f>
        <v>55.9469523740047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SUMIF(Games!$A$2:$A$897,$A120,Games!$K$2:$K$897)+SUMIF(Games!$B$2:$B$897,$A120,Games!$L$2:$L$897)</f>
        <v>10</v>
      </c>
      <c r="C120" s="0" t="n">
        <f aca="false">SUMIF(Games!$A$2:$A$897,$A120,Games!$L$2:$L$897)+SUMIF(Games!$B$2:$B$897,$A120,Games!$K$2:$K$897)</f>
        <v>4</v>
      </c>
      <c r="D120" s="0" t="n">
        <f aca="false">SUMIF(Games!$A$2:$A$897,$A120,Games!$O$2:$O$897)+SUMIF(Games!$B$2:$B$897,$A120,Games!$M$2:$M$897)</f>
        <v>102</v>
      </c>
      <c r="E120" s="0" t="n">
        <f aca="false">SUMIF(Games!$A$2:$A$897,$A120,Games!$P$2:$P$897)+SUMIF(Games!$B$2:$B$897,$A120,Games!$N$2:$N$897)</f>
        <v>185</v>
      </c>
      <c r="F120" s="0" t="n">
        <f aca="false">SUMIF(Games!$A$2:$A$897,$A120,Games!$S$2:$S$897)+SUMIF(Games!$B$2:$B$897,$A120,Games!$Q$2:$Q$897)</f>
        <v>2054</v>
      </c>
      <c r="G120" s="0" t="n">
        <f aca="false">SUMIF(Games!$A$2:$A$897,$A120,Games!$T$2:$T$897)+SUMIF(Games!$B$2:$B$897,$A120,Games!$R$2:$R$897)</f>
        <v>2600</v>
      </c>
      <c r="H120" s="0" t="n">
        <f aca="false">SUMIF(Games!$A$2:$A$897,$A120,Games!$U$2:$U$897)+SUMIF(Games!$B$2:$B$897,$A120,Games!$V$2:$V$897)</f>
        <v>30.0974977397021</v>
      </c>
      <c r="I120" s="0" t="n">
        <f aca="false">SUMIF(Games!$A$2:$A$897,$A120,Games!$E$2:$E$897)+SUMIF(Games!$B$2:$B$897,$A120,Games!$F$2:$F$897)</f>
        <v>3048</v>
      </c>
      <c r="J120" s="0" t="n">
        <f aca="false">IFERROR(I120/(B120+C120),0)</f>
        <v>217.714285714286</v>
      </c>
      <c r="K120" s="0" t="n">
        <f aca="false">SUMIF(Games!$A$2:$A$897,$A120,Games!$F$2:$F$897)+SUMIF(Games!$B$2:$B$897,$A120,Games!$E$2:$E$897)</f>
        <v>1560</v>
      </c>
      <c r="L120" s="0" t="n">
        <f aca="false">SUMIF(Games!$A$2:$A$897,$A120,Games!$G$2:$G$897)+SUMIF(Games!$B$2:$B$897,$A120,Games!$H$2:$H$897)</f>
        <v>3489</v>
      </c>
      <c r="M120" s="0" t="n">
        <f aca="false">IFERROR(L120/(B120+C120),0)</f>
        <v>249.214285714286</v>
      </c>
      <c r="N120" s="0" t="n">
        <f aca="false">SUMIF(Games!$A$2:$A$897,$A120,Games!$H$2:$H$897)+SUMIF(Games!$B$2:$B$897,$A120,Games!$G$2:$G$897)</f>
        <v>3117</v>
      </c>
      <c r="O120" s="0" t="n">
        <f aca="false">SUMIF(Games!$A$2:$A$897,$A120,Games!$I$2:$I$897)+SUMIF(Games!$B$2:$B$897,$A120,Games!$J$2:$J$897)</f>
        <v>18</v>
      </c>
      <c r="P120" s="0" t="n">
        <f aca="false">SUMIF(Games!$A$2:$A$897,$A120,Games!$J$2:$J$897)+SUMIF(Games!$B$2:$B$897,$A120,Games!$I$2:$I$897)</f>
        <v>24</v>
      </c>
      <c r="R120" s="0" t="n">
        <f aca="false">IFERROR((K120+N120)/(B120+C120),0)</f>
        <v>334.071428571429</v>
      </c>
      <c r="S120" s="0" t="n">
        <f aca="false">P120-O120</f>
        <v>6</v>
      </c>
      <c r="T120" s="0" t="n">
        <f aca="false">IFERROR((D120/(D120+E120))*(F120/(F120+G120)),0)</f>
        <v>0.156852821521032</v>
      </c>
      <c r="U120" s="0" t="n">
        <f aca="false">RANK(T120,T$2:T$132)</f>
        <v>23</v>
      </c>
      <c r="V120" s="0" t="n">
        <f aca="false">IFERROR((B120/(B120+C120))*25,0)+IFERROR((D120/(D120+E120))*25,0)+IFERROR((F120/(F120+G120))*10,0)+H120+((J120-RMEAN)/RDEV)*5+((M120-PMEAN)/PDEV)*5+((DMEAN-R120)/DDEV)*7+((S120-TOMEAN)/TODEV)*3</f>
        <v>77.8478659168217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SUMIF(Games!$A$2:$A$897,$A121,Games!$K$2:$K$897)+SUMIF(Games!$B$2:$B$897,$A121,Games!$L$2:$L$897)</f>
        <v>6</v>
      </c>
      <c r="C121" s="0" t="n">
        <f aca="false">SUMIF(Games!$A$2:$A$897,$A121,Games!$L$2:$L$897)+SUMIF(Games!$B$2:$B$897,$A121,Games!$K$2:$K$897)</f>
        <v>7</v>
      </c>
      <c r="D121" s="0" t="n">
        <f aca="false">SUMIF(Games!$A$2:$A$897,$A121,Games!$O$2:$O$897)+SUMIF(Games!$B$2:$B$897,$A121,Games!$M$2:$M$897)</f>
        <v>87</v>
      </c>
      <c r="E121" s="0" t="n">
        <f aca="false">SUMIF(Games!$A$2:$A$897,$A121,Games!$P$2:$P$897)+SUMIF(Games!$B$2:$B$897,$A121,Games!$N$2:$N$897)</f>
        <v>186</v>
      </c>
      <c r="F121" s="0" t="n">
        <f aca="false">SUMIF(Games!$A$2:$A$897,$A121,Games!$S$2:$S$897)+SUMIF(Games!$B$2:$B$897,$A121,Games!$Q$2:$Q$897)</f>
        <v>1825</v>
      </c>
      <c r="G121" s="0" t="n">
        <f aca="false">SUMIF(Games!$A$2:$A$897,$A121,Games!$T$2:$T$897)+SUMIF(Games!$B$2:$B$897,$A121,Games!$R$2:$R$897)</f>
        <v>2954</v>
      </c>
      <c r="H121" s="0" t="n">
        <f aca="false">SUMIF(Games!$A$2:$A$897,$A121,Games!$U$2:$U$897)+SUMIF(Games!$B$2:$B$897,$A121,Games!$V$2:$V$897)</f>
        <v>-34.4760446796357</v>
      </c>
      <c r="I121" s="0" t="n">
        <f aca="false">SUMIF(Games!$A$2:$A$897,$A121,Games!$E$2:$E$897)+SUMIF(Games!$B$2:$B$897,$A121,Games!$F$2:$F$897)</f>
        <v>2071</v>
      </c>
      <c r="J121" s="0" t="n">
        <f aca="false">IFERROR(I121/(B121+C121),0)</f>
        <v>159.307692307692</v>
      </c>
      <c r="K121" s="0" t="n">
        <f aca="false">SUMIF(Games!$A$2:$A$897,$A121,Games!$F$2:$F$897)+SUMIF(Games!$B$2:$B$897,$A121,Games!$E$2:$E$897)</f>
        <v>2524</v>
      </c>
      <c r="L121" s="0" t="n">
        <f aca="false">SUMIF(Games!$A$2:$A$897,$A121,Games!$G$2:$G$897)+SUMIF(Games!$B$2:$B$897,$A121,Games!$H$2:$H$897)</f>
        <v>2537</v>
      </c>
      <c r="M121" s="0" t="n">
        <f aca="false">IFERROR(L121/(B121+C121),0)</f>
        <v>195.153846153846</v>
      </c>
      <c r="N121" s="0" t="n">
        <f aca="false">SUMIF(Games!$A$2:$A$897,$A121,Games!$H$2:$H$897)+SUMIF(Games!$B$2:$B$897,$A121,Games!$G$2:$G$897)</f>
        <v>2665</v>
      </c>
      <c r="O121" s="0" t="n">
        <f aca="false">SUMIF(Games!$A$2:$A$897,$A121,Games!$I$2:$I$897)+SUMIF(Games!$B$2:$B$897,$A121,Games!$J$2:$J$897)</f>
        <v>27</v>
      </c>
      <c r="P121" s="0" t="n">
        <f aca="false">SUMIF(Games!$A$2:$A$897,$A121,Games!$J$2:$J$897)+SUMIF(Games!$B$2:$B$897,$A121,Games!$I$2:$I$897)</f>
        <v>18</v>
      </c>
      <c r="R121" s="0" t="n">
        <f aca="false">IFERROR((K121+N121)/(B121+C121),0)</f>
        <v>399.153846153846</v>
      </c>
      <c r="S121" s="0" t="n">
        <f aca="false">P121-O121</f>
        <v>-9</v>
      </c>
      <c r="T121" s="0" t="n">
        <f aca="false">IFERROR((D121/(D121+E121))*(F121/(F121+G121)),0)</f>
        <v>0.121697720567777</v>
      </c>
      <c r="U121" s="0" t="n">
        <f aca="false">RANK(T121,T$2:T$132)</f>
        <v>100</v>
      </c>
      <c r="V121" s="0" t="n">
        <f aca="false">IFERROR((B121/(B121+C121))*25,0)+IFERROR((D121/(D121+E121))*25,0)+IFERROR((F121/(F121+G121))*10,0)+H121+((J121-RMEAN)/RDEV)*5+((M121-PMEAN)/PDEV)*5+((DMEAN-R121)/DDEV)*7+((S121-TOMEAN)/TODEV)*3</f>
        <v>-21.5431414329847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SUMIF(Games!$A$2:$A$897,$A122,Games!$K$2:$K$897)+SUMIF(Games!$B$2:$B$897,$A122,Games!$L$2:$L$897)</f>
        <v>5</v>
      </c>
      <c r="C122" s="0" t="n">
        <f aca="false">SUMIF(Games!$A$2:$A$897,$A122,Games!$L$2:$L$897)+SUMIF(Games!$B$2:$B$897,$A122,Games!$K$2:$K$897)</f>
        <v>7</v>
      </c>
      <c r="D122" s="0" t="n">
        <f aca="false">SUMIF(Games!$A$2:$A$897,$A122,Games!$O$2:$O$897)+SUMIF(Games!$B$2:$B$897,$A122,Games!$M$2:$M$897)</f>
        <v>94</v>
      </c>
      <c r="E122" s="0" t="n">
        <f aca="false">SUMIF(Games!$A$2:$A$897,$A122,Games!$P$2:$P$897)+SUMIF(Games!$B$2:$B$897,$A122,Games!$N$2:$N$897)</f>
        <v>170</v>
      </c>
      <c r="F122" s="0" t="n">
        <f aca="false">SUMIF(Games!$A$2:$A$897,$A122,Games!$S$2:$S$897)+SUMIF(Games!$B$2:$B$897,$A122,Games!$Q$2:$Q$897)</f>
        <v>1886</v>
      </c>
      <c r="G122" s="0" t="n">
        <f aca="false">SUMIF(Games!$A$2:$A$897,$A122,Games!$T$2:$T$897)+SUMIF(Games!$B$2:$B$897,$A122,Games!$R$2:$R$897)</f>
        <v>2681</v>
      </c>
      <c r="H122" s="0" t="n">
        <f aca="false">SUMIF(Games!$A$2:$A$897,$A122,Games!$U$2:$U$897)+SUMIF(Games!$B$2:$B$897,$A122,Games!$V$2:$V$897)</f>
        <v>-18.106527109842</v>
      </c>
      <c r="I122" s="0" t="n">
        <f aca="false">SUMIF(Games!$A$2:$A$897,$A122,Games!$E$2:$E$897)+SUMIF(Games!$B$2:$B$897,$A122,Games!$F$2:$F$897)</f>
        <v>1919</v>
      </c>
      <c r="J122" s="0" t="n">
        <f aca="false">IFERROR(I122/(B122+C122),0)</f>
        <v>159.916666666667</v>
      </c>
      <c r="K122" s="0" t="n">
        <f aca="false">SUMIF(Games!$A$2:$A$897,$A122,Games!$F$2:$F$897)+SUMIF(Games!$B$2:$B$897,$A122,Games!$E$2:$E$897)</f>
        <v>2050</v>
      </c>
      <c r="L122" s="0" t="n">
        <f aca="false">SUMIF(Games!$A$2:$A$897,$A122,Games!$G$2:$G$897)+SUMIF(Games!$B$2:$B$897,$A122,Games!$H$2:$H$897)</f>
        <v>2248</v>
      </c>
      <c r="M122" s="0" t="n">
        <f aca="false">IFERROR(L122/(B122+C122),0)</f>
        <v>187.333333333333</v>
      </c>
      <c r="N122" s="0" t="n">
        <f aca="false">SUMIF(Games!$A$2:$A$897,$A122,Games!$H$2:$H$897)+SUMIF(Games!$B$2:$B$897,$A122,Games!$G$2:$G$897)</f>
        <v>3486</v>
      </c>
      <c r="O122" s="0" t="n">
        <f aca="false">SUMIF(Games!$A$2:$A$897,$A122,Games!$I$2:$I$897)+SUMIF(Games!$B$2:$B$897,$A122,Games!$J$2:$J$897)</f>
        <v>16</v>
      </c>
      <c r="P122" s="0" t="n">
        <f aca="false">SUMIF(Games!$A$2:$A$897,$A122,Games!$J$2:$J$897)+SUMIF(Games!$B$2:$B$897,$A122,Games!$I$2:$I$897)</f>
        <v>16</v>
      </c>
      <c r="R122" s="0" t="n">
        <f aca="false">IFERROR((K122+N122)/(B122+C122),0)</f>
        <v>461.333333333333</v>
      </c>
      <c r="S122" s="0" t="n">
        <f aca="false">P122-O122</f>
        <v>0</v>
      </c>
      <c r="T122" s="0" t="n">
        <f aca="false">IFERROR((D122/(D122+E122))*(F122/(F122+G122)),0)</f>
        <v>0.147039698495797</v>
      </c>
      <c r="U122" s="0" t="n">
        <f aca="false">RANK(T122,T$2:T$132)</f>
        <v>42</v>
      </c>
      <c r="V122" s="0" t="n">
        <f aca="false">IFERROR((B122/(B122+C122))*25,0)+IFERROR((D122/(D122+E122))*25,0)+IFERROR((F122/(F122+G122))*10,0)+H122+((J122-RMEAN)/RDEV)*5+((M122-PMEAN)/PDEV)*5+((DMEAN-R122)/DDEV)*7+((S122-TOMEAN)/TODEV)*3</f>
        <v>-10.2446944949163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SUMIF(Games!$A$2:$A$897,$A123,Games!$K$2:$K$897)+SUMIF(Games!$B$2:$B$897,$A123,Games!$L$2:$L$897)</f>
        <v>3</v>
      </c>
      <c r="C123" s="0" t="n">
        <f aca="false">SUMIF(Games!$A$2:$A$897,$A123,Games!$L$2:$L$897)+SUMIF(Games!$B$2:$B$897,$A123,Games!$K$2:$K$897)</f>
        <v>7</v>
      </c>
      <c r="D123" s="0" t="n">
        <f aca="false">SUMIF(Games!$A$2:$A$897,$A123,Games!$O$2:$O$897)+SUMIF(Games!$B$2:$B$897,$A123,Games!$M$2:$M$897)</f>
        <v>71</v>
      </c>
      <c r="E123" s="0" t="n">
        <f aca="false">SUMIF(Games!$A$2:$A$897,$A123,Games!$P$2:$P$897)+SUMIF(Games!$B$2:$B$897,$A123,Games!$N$2:$N$897)</f>
        <v>164</v>
      </c>
      <c r="F123" s="0" t="n">
        <f aca="false">SUMIF(Games!$A$2:$A$897,$A123,Games!$S$2:$S$897)+SUMIF(Games!$B$2:$B$897,$A123,Games!$Q$2:$Q$897)</f>
        <v>1604</v>
      </c>
      <c r="G123" s="0" t="n">
        <f aca="false">SUMIF(Games!$A$2:$A$897,$A123,Games!$T$2:$T$897)+SUMIF(Games!$B$2:$B$897,$A123,Games!$R$2:$R$897)</f>
        <v>2118</v>
      </c>
      <c r="H123" s="0" t="n">
        <f aca="false">SUMIF(Games!$A$2:$A$897,$A123,Games!$U$2:$U$897)+SUMIF(Games!$B$2:$B$897,$A123,Games!$V$2:$V$897)</f>
        <v>-19.3993706783402</v>
      </c>
      <c r="I123" s="0" t="n">
        <f aca="false">SUMIF(Games!$A$2:$A$897,$A123,Games!$E$2:$E$897)+SUMIF(Games!$B$2:$B$897,$A123,Games!$F$2:$F$897)</f>
        <v>1230</v>
      </c>
      <c r="J123" s="0" t="n">
        <f aca="false">IFERROR(I123/(B123+C123),0)</f>
        <v>123</v>
      </c>
      <c r="K123" s="0" t="n">
        <f aca="false">SUMIF(Games!$A$2:$A$897,$A123,Games!$F$2:$F$897)+SUMIF(Games!$B$2:$B$897,$A123,Games!$E$2:$E$897)</f>
        <v>1536</v>
      </c>
      <c r="L123" s="0" t="n">
        <f aca="false">SUMIF(Games!$A$2:$A$897,$A123,Games!$G$2:$G$897)+SUMIF(Games!$B$2:$B$897,$A123,Games!$H$2:$H$897)</f>
        <v>2210</v>
      </c>
      <c r="M123" s="0" t="n">
        <f aca="false">IFERROR(L123/(B123+C123),0)</f>
        <v>221</v>
      </c>
      <c r="N123" s="0" t="n">
        <f aca="false">SUMIF(Games!$A$2:$A$897,$A123,Games!$H$2:$H$897)+SUMIF(Games!$B$2:$B$897,$A123,Games!$G$2:$G$897)</f>
        <v>2044</v>
      </c>
      <c r="O123" s="0" t="n">
        <f aca="false">SUMIF(Games!$A$2:$A$897,$A123,Games!$I$2:$I$897)+SUMIF(Games!$B$2:$B$897,$A123,Games!$J$2:$J$897)</f>
        <v>22</v>
      </c>
      <c r="P123" s="0" t="n">
        <f aca="false">SUMIF(Games!$A$2:$A$897,$A123,Games!$J$2:$J$897)+SUMIF(Games!$B$2:$B$897,$A123,Games!$I$2:$I$897)</f>
        <v>13</v>
      </c>
      <c r="R123" s="0" t="n">
        <f aca="false">IFERROR((K123+N123)/(B123+C123),0)</f>
        <v>358</v>
      </c>
      <c r="S123" s="0" t="n">
        <f aca="false">P123-O123</f>
        <v>-9</v>
      </c>
      <c r="T123" s="0" t="n">
        <f aca="false">IFERROR((D123/(D123+E123))*(F123/(F123+G123)),0)</f>
        <v>0.130202247704849</v>
      </c>
      <c r="U123" s="0" t="n">
        <f aca="false">RANK(T123,T$2:T$132)</f>
        <v>79</v>
      </c>
      <c r="V123" s="0" t="n">
        <f aca="false">IFERROR((B123/(B123+C123))*25,0)+IFERROR((D123/(D123+E123))*25,0)+IFERROR((F123/(F123+G123))*10,0)+H123+((J123-RMEAN)/RDEV)*5+((M123-PMEAN)/PDEV)*5+((DMEAN-R123)/DDEV)*7+((S123-TOMEAN)/TODEV)*3</f>
        <v>-6.38690243349209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SUMIF(Games!$A$2:$A$897,$A124,Games!$K$2:$K$897)+SUMIF(Games!$B$2:$B$897,$A124,Games!$L$2:$L$897)</f>
        <v>3</v>
      </c>
      <c r="C124" s="0" t="n">
        <f aca="false">SUMIF(Games!$A$2:$A$897,$A124,Games!$L$2:$L$897)+SUMIF(Games!$B$2:$B$897,$A124,Games!$K$2:$K$897)</f>
        <v>8</v>
      </c>
      <c r="D124" s="0" t="n">
        <f aca="false">SUMIF(Games!$A$2:$A$897,$A124,Games!$O$2:$O$897)+SUMIF(Games!$B$2:$B$897,$A124,Games!$M$2:$M$897)</f>
        <v>72</v>
      </c>
      <c r="E124" s="0" t="n">
        <f aca="false">SUMIF(Games!$A$2:$A$897,$A124,Games!$P$2:$P$897)+SUMIF(Games!$B$2:$B$897,$A124,Games!$N$2:$N$897)</f>
        <v>174</v>
      </c>
      <c r="F124" s="0" t="n">
        <f aca="false">SUMIF(Games!$A$2:$A$897,$A124,Games!$S$2:$S$897)+SUMIF(Games!$B$2:$B$897,$A124,Games!$Q$2:$Q$897)</f>
        <v>1677</v>
      </c>
      <c r="G124" s="0" t="n">
        <f aca="false">SUMIF(Games!$A$2:$A$897,$A124,Games!$T$2:$T$897)+SUMIF(Games!$B$2:$B$897,$A124,Games!$R$2:$R$897)</f>
        <v>2407</v>
      </c>
      <c r="H124" s="0" t="n">
        <f aca="false">SUMIF(Games!$A$2:$A$897,$A124,Games!$U$2:$U$897)+SUMIF(Games!$B$2:$B$897,$A124,Games!$V$2:$V$897)</f>
        <v>-24.9277768602894</v>
      </c>
      <c r="I124" s="0" t="n">
        <f aca="false">SUMIF(Games!$A$2:$A$897,$A124,Games!$E$2:$E$897)+SUMIF(Games!$B$2:$B$897,$A124,Games!$F$2:$F$897)</f>
        <v>1230</v>
      </c>
      <c r="J124" s="0" t="n">
        <f aca="false">IFERROR(I124/(B124+C124),0)</f>
        <v>111.818181818182</v>
      </c>
      <c r="K124" s="0" t="n">
        <f aca="false">SUMIF(Games!$A$2:$A$897,$A124,Games!$F$2:$F$897)+SUMIF(Games!$B$2:$B$897,$A124,Games!$E$2:$E$897)</f>
        <v>1483</v>
      </c>
      <c r="L124" s="0" t="n">
        <f aca="false">SUMIF(Games!$A$2:$A$897,$A124,Games!$G$2:$G$897)+SUMIF(Games!$B$2:$B$897,$A124,Games!$H$2:$H$897)</f>
        <v>2232</v>
      </c>
      <c r="M124" s="0" t="n">
        <f aca="false">IFERROR(L124/(B124+C124),0)</f>
        <v>202.909090909091</v>
      </c>
      <c r="N124" s="0" t="n">
        <f aca="false">SUMIF(Games!$A$2:$A$897,$A124,Games!$H$2:$H$897)+SUMIF(Games!$B$2:$B$897,$A124,Games!$G$2:$G$897)</f>
        <v>2596</v>
      </c>
      <c r="O124" s="0" t="n">
        <f aca="false">SUMIF(Games!$A$2:$A$897,$A124,Games!$I$2:$I$897)+SUMIF(Games!$B$2:$B$897,$A124,Games!$J$2:$J$897)</f>
        <v>15</v>
      </c>
      <c r="P124" s="0" t="n">
        <f aca="false">SUMIF(Games!$A$2:$A$897,$A124,Games!$J$2:$J$897)+SUMIF(Games!$B$2:$B$897,$A124,Games!$I$2:$I$897)</f>
        <v>9</v>
      </c>
      <c r="R124" s="0" t="n">
        <f aca="false">IFERROR((K124+N124)/(B124+C124),0)</f>
        <v>370.818181818182</v>
      </c>
      <c r="S124" s="0" t="n">
        <f aca="false">P124-O124</f>
        <v>-6</v>
      </c>
      <c r="T124" s="0" t="n">
        <f aca="false">IFERROR((D124/(D124+E124))*(F124/(F124+G124)),0)</f>
        <v>0.1201834643224</v>
      </c>
      <c r="U124" s="0" t="n">
        <f aca="false">RANK(T124,T$2:T$132)</f>
        <v>107</v>
      </c>
      <c r="V124" s="0" t="n">
        <f aca="false">IFERROR((B124/(B124+C124))*25,0)+IFERROR((D124/(D124+E124))*25,0)+IFERROR((F124/(F124+G124))*10,0)+H124+((J124-RMEAN)/RDEV)*5+((M124-PMEAN)/PDEV)*5+((DMEAN-R124)/DDEV)*7+((S124-TOMEAN)/TODEV)*3</f>
        <v>-16.4270469865834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SUMIF(Games!$A$2:$A$897,$A125,Games!$K$2:$K$897)+SUMIF(Games!$B$2:$B$897,$A125,Games!$L$2:$L$897)</f>
        <v>8</v>
      </c>
      <c r="C125" s="0" t="n">
        <f aca="false">SUMIF(Games!$A$2:$A$897,$A125,Games!$L$2:$L$897)+SUMIF(Games!$B$2:$B$897,$A125,Games!$K$2:$K$897)</f>
        <v>5</v>
      </c>
      <c r="D125" s="0" t="n">
        <f aca="false">SUMIF(Games!$A$2:$A$897,$A125,Games!$O$2:$O$897)+SUMIF(Games!$B$2:$B$897,$A125,Games!$M$2:$M$897)</f>
        <v>98</v>
      </c>
      <c r="E125" s="0" t="n">
        <f aca="false">SUMIF(Games!$A$2:$A$897,$A125,Games!$P$2:$P$897)+SUMIF(Games!$B$2:$B$897,$A125,Games!$N$2:$N$897)</f>
        <v>177</v>
      </c>
      <c r="F125" s="0" t="n">
        <f aca="false">SUMIF(Games!$A$2:$A$897,$A125,Games!$S$2:$S$897)+SUMIF(Games!$B$2:$B$897,$A125,Games!$Q$2:$Q$897)</f>
        <v>1904</v>
      </c>
      <c r="G125" s="0" t="n">
        <f aca="false">SUMIF(Games!$A$2:$A$897,$A125,Games!$T$2:$T$897)+SUMIF(Games!$B$2:$B$897,$A125,Games!$R$2:$R$897)</f>
        <v>2890</v>
      </c>
      <c r="H125" s="0" t="n">
        <f aca="false">SUMIF(Games!$A$2:$A$897,$A125,Games!$U$2:$U$897)+SUMIF(Games!$B$2:$B$897,$A125,Games!$V$2:$V$897)</f>
        <v>8.2935536665767</v>
      </c>
      <c r="I125" s="0" t="n">
        <f aca="false">SUMIF(Games!$A$2:$A$897,$A125,Games!$E$2:$E$897)+SUMIF(Games!$B$2:$B$897,$A125,Games!$F$2:$F$897)</f>
        <v>1711</v>
      </c>
      <c r="J125" s="0" t="n">
        <f aca="false">IFERROR(I125/(B125+C125),0)</f>
        <v>131.615384615385</v>
      </c>
      <c r="K125" s="0" t="n">
        <f aca="false">SUMIF(Games!$A$2:$A$897,$A125,Games!$F$2:$F$897)+SUMIF(Games!$B$2:$B$897,$A125,Games!$E$2:$E$897)</f>
        <v>1775</v>
      </c>
      <c r="L125" s="0" t="n">
        <f aca="false">SUMIF(Games!$A$2:$A$897,$A125,Games!$G$2:$G$897)+SUMIF(Games!$B$2:$B$897,$A125,Games!$H$2:$H$897)</f>
        <v>4055</v>
      </c>
      <c r="M125" s="0" t="n">
        <f aca="false">IFERROR(L125/(B125+C125),0)</f>
        <v>311.923076923077</v>
      </c>
      <c r="N125" s="0" t="n">
        <f aca="false">SUMIF(Games!$A$2:$A$897,$A125,Games!$H$2:$H$897)+SUMIF(Games!$B$2:$B$897,$A125,Games!$G$2:$G$897)</f>
        <v>3501</v>
      </c>
      <c r="O125" s="0" t="n">
        <f aca="false">SUMIF(Games!$A$2:$A$897,$A125,Games!$I$2:$I$897)+SUMIF(Games!$B$2:$B$897,$A125,Games!$J$2:$J$897)</f>
        <v>19</v>
      </c>
      <c r="P125" s="0" t="n">
        <f aca="false">SUMIF(Games!$A$2:$A$897,$A125,Games!$J$2:$J$897)+SUMIF(Games!$B$2:$B$897,$A125,Games!$I$2:$I$897)</f>
        <v>16</v>
      </c>
      <c r="R125" s="0" t="n">
        <f aca="false">IFERROR((K125+N125)/(B125+C125),0)</f>
        <v>405.846153846154</v>
      </c>
      <c r="S125" s="0" t="n">
        <f aca="false">P125-O125</f>
        <v>-3</v>
      </c>
      <c r="T125" s="0" t="n">
        <f aca="false">IFERROR((D125/(D125+E125))*(F125/(F125+G125)),0)</f>
        <v>0.141534493874919</v>
      </c>
      <c r="U125" s="0" t="n">
        <f aca="false">RANK(T125,T$2:T$132)</f>
        <v>56</v>
      </c>
      <c r="V125" s="0" t="n">
        <f aca="false">IFERROR((B125/(B125+C125))*25,0)+IFERROR((D125/(D125+E125))*25,0)+IFERROR((F125/(F125+G125))*10,0)+H125+((J125-RMEAN)/RDEV)*5+((M125-PMEAN)/PDEV)*5+((DMEAN-R125)/DDEV)*7+((S125-TOMEAN)/TODEV)*3</f>
        <v>35.9449611018826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SUMIF(Games!$A$2:$A$897,$A126,Games!$K$2:$K$897)+SUMIF(Games!$B$2:$B$897,$A126,Games!$L$2:$L$897)</f>
        <v>11</v>
      </c>
      <c r="C126" s="0" t="n">
        <f aca="false">SUMIF(Games!$A$2:$A$897,$A126,Games!$L$2:$L$897)+SUMIF(Games!$B$2:$B$897,$A126,Games!$K$2:$K$897)</f>
        <v>2</v>
      </c>
      <c r="D126" s="0" t="n">
        <f aca="false">SUMIF(Games!$A$2:$A$897,$A126,Games!$O$2:$O$897)+SUMIF(Games!$B$2:$B$897,$A126,Games!$M$2:$M$897)</f>
        <v>78</v>
      </c>
      <c r="E126" s="0" t="n">
        <f aca="false">SUMIF(Games!$A$2:$A$897,$A126,Games!$P$2:$P$897)+SUMIF(Games!$B$2:$B$897,$A126,Games!$N$2:$N$897)</f>
        <v>191</v>
      </c>
      <c r="F126" s="0" t="n">
        <f aca="false">SUMIF(Games!$A$2:$A$897,$A126,Games!$S$2:$S$897)+SUMIF(Games!$B$2:$B$897,$A126,Games!$Q$2:$Q$897)</f>
        <v>1949</v>
      </c>
      <c r="G126" s="0" t="n">
        <f aca="false">SUMIF(Games!$A$2:$A$897,$A126,Games!$T$2:$T$897)+SUMIF(Games!$B$2:$B$897,$A126,Games!$R$2:$R$897)</f>
        <v>2472</v>
      </c>
      <c r="H126" s="0" t="n">
        <f aca="false">SUMIF(Games!$A$2:$A$897,$A126,Games!$U$2:$U$897)+SUMIF(Games!$B$2:$B$897,$A126,Games!$V$2:$V$897)</f>
        <v>16.0998725782507</v>
      </c>
      <c r="I126" s="0" t="n">
        <f aca="false">SUMIF(Games!$A$2:$A$897,$A126,Games!$E$2:$E$897)+SUMIF(Games!$B$2:$B$897,$A126,Games!$F$2:$F$897)</f>
        <v>1893</v>
      </c>
      <c r="J126" s="0" t="n">
        <f aca="false">IFERROR(I126/(B126+C126),0)</f>
        <v>145.615384615385</v>
      </c>
      <c r="K126" s="0" t="n">
        <f aca="false">SUMIF(Games!$A$2:$A$897,$A126,Games!$F$2:$F$897)+SUMIF(Games!$B$2:$B$897,$A126,Games!$E$2:$E$897)</f>
        <v>1575</v>
      </c>
      <c r="L126" s="0" t="n">
        <f aca="false">SUMIF(Games!$A$2:$A$897,$A126,Games!$G$2:$G$897)+SUMIF(Games!$B$2:$B$897,$A126,Games!$H$2:$H$897)</f>
        <v>4807</v>
      </c>
      <c r="M126" s="0" t="n">
        <f aca="false">IFERROR(L126/(B126+C126),0)</f>
        <v>369.769230769231</v>
      </c>
      <c r="N126" s="0" t="n">
        <f aca="false">SUMIF(Games!$A$2:$A$897,$A126,Games!$H$2:$H$897)+SUMIF(Games!$B$2:$B$897,$A126,Games!$G$2:$G$897)</f>
        <v>3270</v>
      </c>
      <c r="O126" s="0" t="n">
        <f aca="false">SUMIF(Games!$A$2:$A$897,$A126,Games!$I$2:$I$897)+SUMIF(Games!$B$2:$B$897,$A126,Games!$J$2:$J$897)</f>
        <v>11</v>
      </c>
      <c r="P126" s="0" t="n">
        <f aca="false">SUMIF(Games!$A$2:$A$897,$A126,Games!$J$2:$J$897)+SUMIF(Games!$B$2:$B$897,$A126,Games!$I$2:$I$897)</f>
        <v>12</v>
      </c>
      <c r="R126" s="0" t="n">
        <f aca="false">IFERROR((K126+N126)/(B126+C126),0)</f>
        <v>372.692307692308</v>
      </c>
      <c r="S126" s="0" t="n">
        <f aca="false">P126-O126</f>
        <v>1</v>
      </c>
      <c r="T126" s="0" t="n">
        <f aca="false">IFERROR((D126/(D126+E126))*(F126/(F126+G126)),0)</f>
        <v>0.127830252537526</v>
      </c>
      <c r="U126" s="0" t="n">
        <f aca="false">RANK(T126,T$2:T$132)</f>
        <v>86</v>
      </c>
      <c r="V126" s="0" t="n">
        <f aca="false">IFERROR((B126/(B126+C126))*25,0)+IFERROR((D126/(D126+E126))*25,0)+IFERROR((F126/(F126+G126))*10,0)+H126+((J126-RMEAN)/RDEV)*5+((M126-PMEAN)/PDEV)*5+((DMEAN-R126)/DDEV)*7+((S126-TOMEAN)/TODEV)*3</f>
        <v>61.6035339723315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SUMIF(Games!$A$2:$A$897,$A127,Games!$K$2:$K$897)+SUMIF(Games!$B$2:$B$897,$A127,Games!$L$2:$L$897)</f>
        <v>7</v>
      </c>
      <c r="C127" s="0" t="n">
        <f aca="false">SUMIF(Games!$A$2:$A$897,$A127,Games!$L$2:$L$897)+SUMIF(Games!$B$2:$B$897,$A127,Games!$K$2:$K$897)</f>
        <v>6</v>
      </c>
      <c r="D127" s="0" t="n">
        <f aca="false">SUMIF(Games!$A$2:$A$897,$A127,Games!$O$2:$O$897)+SUMIF(Games!$B$2:$B$897,$A127,Games!$M$2:$M$897)</f>
        <v>95</v>
      </c>
      <c r="E127" s="0" t="n">
        <f aca="false">SUMIF(Games!$A$2:$A$897,$A127,Games!$P$2:$P$897)+SUMIF(Games!$B$2:$B$897,$A127,Games!$N$2:$N$897)</f>
        <v>179</v>
      </c>
      <c r="F127" s="0" t="n">
        <f aca="false">SUMIF(Games!$A$2:$A$897,$A127,Games!$S$2:$S$897)+SUMIF(Games!$B$2:$B$897,$A127,Games!$Q$2:$Q$897)</f>
        <v>1916</v>
      </c>
      <c r="G127" s="0" t="n">
        <f aca="false">SUMIF(Games!$A$2:$A$897,$A127,Games!$T$2:$T$897)+SUMIF(Games!$B$2:$B$897,$A127,Games!$R$2:$R$897)</f>
        <v>2774</v>
      </c>
      <c r="H127" s="0" t="n">
        <f aca="false">SUMIF(Games!$A$2:$A$897,$A127,Games!$U$2:$U$897)+SUMIF(Games!$B$2:$B$897,$A127,Games!$V$2:$V$897)</f>
        <v>-0.0759599441470158</v>
      </c>
      <c r="I127" s="0" t="n">
        <f aca="false">SUMIF(Games!$A$2:$A$897,$A127,Games!$E$2:$E$897)+SUMIF(Games!$B$2:$B$897,$A127,Games!$F$2:$F$897)</f>
        <v>1395</v>
      </c>
      <c r="J127" s="0" t="n">
        <f aca="false">IFERROR(I127/(B127+C127),0)</f>
        <v>107.307692307692</v>
      </c>
      <c r="K127" s="0" t="n">
        <f aca="false">SUMIF(Games!$A$2:$A$897,$A127,Games!$F$2:$F$897)+SUMIF(Games!$B$2:$B$897,$A127,Games!$E$2:$E$897)</f>
        <v>1758</v>
      </c>
      <c r="L127" s="0" t="n">
        <f aca="false">SUMIF(Games!$A$2:$A$897,$A127,Games!$G$2:$G$897)+SUMIF(Games!$B$2:$B$897,$A127,Games!$H$2:$H$897)</f>
        <v>3286</v>
      </c>
      <c r="M127" s="0" t="n">
        <f aca="false">IFERROR(L127/(B127+C127),0)</f>
        <v>252.769230769231</v>
      </c>
      <c r="N127" s="0" t="n">
        <f aca="false">SUMIF(Games!$A$2:$A$897,$A127,Games!$H$2:$H$897)+SUMIF(Games!$B$2:$B$897,$A127,Games!$G$2:$G$897)</f>
        <v>3473</v>
      </c>
      <c r="O127" s="0" t="n">
        <f aca="false">SUMIF(Games!$A$2:$A$897,$A127,Games!$I$2:$I$897)+SUMIF(Games!$B$2:$B$897,$A127,Games!$J$2:$J$897)</f>
        <v>17</v>
      </c>
      <c r="P127" s="0" t="n">
        <f aca="false">SUMIF(Games!$A$2:$A$897,$A127,Games!$J$2:$J$897)+SUMIF(Games!$B$2:$B$897,$A127,Games!$I$2:$I$897)</f>
        <v>21</v>
      </c>
      <c r="R127" s="0" t="n">
        <f aca="false">IFERROR((K127+N127)/(B127+C127),0)</f>
        <v>402.384615384615</v>
      </c>
      <c r="S127" s="0" t="n">
        <f aca="false">P127-O127</f>
        <v>4</v>
      </c>
      <c r="T127" s="0" t="n">
        <f aca="false">IFERROR((D127/(D127+E127))*(F127/(F127+G127)),0)</f>
        <v>0.141643191757583</v>
      </c>
      <c r="U127" s="0" t="n">
        <f aca="false">RANK(T127,T$2:T$132)</f>
        <v>55</v>
      </c>
      <c r="V127" s="0" t="n">
        <f aca="false">IFERROR((B127/(B127+C127))*25,0)+IFERROR((D127/(D127+E127))*25,0)+IFERROR((F127/(F127+G127))*10,0)+H127+((J127-RMEAN)/RDEV)*5+((M127-PMEAN)/PDEV)*5+((DMEAN-R127)/DDEV)*7+((S127-TOMEAN)/TODEV)*3</f>
        <v>20.7278089825931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SUMIF(Games!$A$2:$A$897,$A128,Games!$K$2:$K$897)+SUMIF(Games!$B$2:$B$897,$A128,Games!$L$2:$L$897)</f>
        <v>5</v>
      </c>
      <c r="C128" s="0" t="n">
        <f aca="false">SUMIF(Games!$A$2:$A$897,$A128,Games!$L$2:$L$897)+SUMIF(Games!$B$2:$B$897,$A128,Games!$K$2:$K$897)</f>
        <v>7</v>
      </c>
      <c r="D128" s="0" t="n">
        <f aca="false">SUMIF(Games!$A$2:$A$897,$A128,Games!$O$2:$O$897)+SUMIF(Games!$B$2:$B$897,$A128,Games!$M$2:$M$897)</f>
        <v>88</v>
      </c>
      <c r="E128" s="0" t="n">
        <f aca="false">SUMIF(Games!$A$2:$A$897,$A128,Games!$P$2:$P$897)+SUMIF(Games!$B$2:$B$897,$A128,Games!$N$2:$N$897)</f>
        <v>175</v>
      </c>
      <c r="F128" s="0" t="n">
        <f aca="false">SUMIF(Games!$A$2:$A$897,$A128,Games!$S$2:$S$897)+SUMIF(Games!$B$2:$B$897,$A128,Games!$Q$2:$Q$897)</f>
        <v>1860</v>
      </c>
      <c r="G128" s="0" t="n">
        <f aca="false">SUMIF(Games!$A$2:$A$897,$A128,Games!$T$2:$T$897)+SUMIF(Games!$B$2:$B$897,$A128,Games!$R$2:$R$897)</f>
        <v>2488</v>
      </c>
      <c r="H128" s="0" t="n">
        <f aca="false">SUMIF(Games!$A$2:$A$897,$A128,Games!$U$2:$U$897)+SUMIF(Games!$B$2:$B$897,$A128,Games!$V$2:$V$897)</f>
        <v>-23.3999478131737</v>
      </c>
      <c r="I128" s="0" t="n">
        <f aca="false">SUMIF(Games!$A$2:$A$897,$A128,Games!$E$2:$E$897)+SUMIF(Games!$B$2:$B$897,$A128,Games!$F$2:$F$897)</f>
        <v>2058</v>
      </c>
      <c r="J128" s="0" t="n">
        <f aca="false">IFERROR(I128/(B128+C128),0)</f>
        <v>171.5</v>
      </c>
      <c r="K128" s="0" t="n">
        <f aca="false">SUMIF(Games!$A$2:$A$897,$A128,Games!$F$2:$F$897)+SUMIF(Games!$B$2:$B$897,$A128,Games!$E$2:$E$897)</f>
        <v>1795</v>
      </c>
      <c r="L128" s="0" t="n">
        <f aca="false">SUMIF(Games!$A$2:$A$897,$A128,Games!$G$2:$G$897)+SUMIF(Games!$B$2:$B$897,$A128,Games!$H$2:$H$897)</f>
        <v>2720</v>
      </c>
      <c r="M128" s="0" t="n">
        <f aca="false">IFERROR(L128/(B128+C128),0)</f>
        <v>226.666666666667</v>
      </c>
      <c r="N128" s="0" t="n">
        <f aca="false">SUMIF(Games!$A$2:$A$897,$A128,Games!$H$2:$H$897)+SUMIF(Games!$B$2:$B$897,$A128,Games!$G$2:$G$897)</f>
        <v>3152</v>
      </c>
      <c r="O128" s="0" t="n">
        <f aca="false">SUMIF(Games!$A$2:$A$897,$A128,Games!$I$2:$I$897)+SUMIF(Games!$B$2:$B$897,$A128,Games!$J$2:$J$897)</f>
        <v>18</v>
      </c>
      <c r="P128" s="0" t="n">
        <f aca="false">SUMIF(Games!$A$2:$A$897,$A128,Games!$J$2:$J$897)+SUMIF(Games!$B$2:$B$897,$A128,Games!$I$2:$I$897)</f>
        <v>11</v>
      </c>
      <c r="R128" s="0" t="n">
        <f aca="false">IFERROR((K128+N128)/(B128+C128),0)</f>
        <v>412.25</v>
      </c>
      <c r="S128" s="0" t="n">
        <f aca="false">P128-O128</f>
        <v>-7</v>
      </c>
      <c r="T128" s="0" t="n">
        <f aca="false">IFERROR((D128/(D128+E128))*(F128/(F128+G128)),0)</f>
        <v>0.143136479863999</v>
      </c>
      <c r="U128" s="0" t="n">
        <f aca="false">RANK(T128,T$2:T$132)</f>
        <v>53</v>
      </c>
      <c r="V128" s="0" t="n">
        <f aca="false">IFERROR((B128/(B128+C128))*25,0)+IFERROR((D128/(D128+E128))*25,0)+IFERROR((F128/(F128+G128))*10,0)+H128+((J128-RMEAN)/RDEV)*5+((M128-PMEAN)/PDEV)*5+((DMEAN-R128)/DDEV)*7+((S128-TOMEAN)/TODEV)*3</f>
        <v>-7.28800973298865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SUMIF(Games!$A$2:$A$897,$A129,Games!$K$2:$K$897)+SUMIF(Games!$B$2:$B$897,$A129,Games!$L$2:$L$897)</f>
        <v>9</v>
      </c>
      <c r="C129" s="0" t="n">
        <f aca="false">SUMIF(Games!$A$2:$A$897,$A129,Games!$L$2:$L$897)+SUMIF(Games!$B$2:$B$897,$A129,Games!$K$2:$K$897)</f>
        <v>5</v>
      </c>
      <c r="D129" s="0" t="n">
        <f aca="false">SUMIF(Games!$A$2:$A$897,$A129,Games!$O$2:$O$897)+SUMIF(Games!$B$2:$B$897,$A129,Games!$M$2:$M$897)</f>
        <v>92</v>
      </c>
      <c r="E129" s="0" t="n">
        <f aca="false">SUMIF(Games!$A$2:$A$897,$A129,Games!$P$2:$P$897)+SUMIF(Games!$B$2:$B$897,$A129,Games!$N$2:$N$897)</f>
        <v>195</v>
      </c>
      <c r="F129" s="0" t="n">
        <f aca="false">SUMIF(Games!$A$2:$A$897,$A129,Games!$S$2:$S$897)+SUMIF(Games!$B$2:$B$897,$A129,Games!$Q$2:$Q$897)</f>
        <v>1960</v>
      </c>
      <c r="G129" s="0" t="n">
        <f aca="false">SUMIF(Games!$A$2:$A$897,$A129,Games!$T$2:$T$897)+SUMIF(Games!$B$2:$B$897,$A129,Games!$R$2:$R$897)</f>
        <v>3114</v>
      </c>
      <c r="H129" s="0" t="n">
        <f aca="false">SUMIF(Games!$A$2:$A$897,$A129,Games!$U$2:$U$897)+SUMIF(Games!$B$2:$B$897,$A129,Games!$V$2:$V$897)</f>
        <v>1.8797721290204</v>
      </c>
      <c r="I129" s="0" t="n">
        <f aca="false">SUMIF(Games!$A$2:$A$897,$A129,Games!$E$2:$E$897)+SUMIF(Games!$B$2:$B$897,$A129,Games!$F$2:$F$897)</f>
        <v>2032</v>
      </c>
      <c r="J129" s="0" t="n">
        <f aca="false">IFERROR(I129/(B129+C129),0)</f>
        <v>145.142857142857</v>
      </c>
      <c r="K129" s="0" t="n">
        <f aca="false">SUMIF(Games!$A$2:$A$897,$A129,Games!$F$2:$F$897)+SUMIF(Games!$B$2:$B$897,$A129,Games!$E$2:$E$897)</f>
        <v>2081</v>
      </c>
      <c r="L129" s="0" t="n">
        <f aca="false">SUMIF(Games!$A$2:$A$897,$A129,Games!$G$2:$G$897)+SUMIF(Games!$B$2:$B$897,$A129,Games!$H$2:$H$897)</f>
        <v>4932</v>
      </c>
      <c r="M129" s="0" t="n">
        <f aca="false">IFERROR(L129/(B129+C129),0)</f>
        <v>352.285714285714</v>
      </c>
      <c r="N129" s="0" t="n">
        <f aca="false">SUMIF(Games!$A$2:$A$897,$A129,Games!$H$2:$H$897)+SUMIF(Games!$B$2:$B$897,$A129,Games!$G$2:$G$897)</f>
        <v>3298</v>
      </c>
      <c r="O129" s="0" t="n">
        <f aca="false">SUMIF(Games!$A$2:$A$897,$A129,Games!$I$2:$I$897)+SUMIF(Games!$B$2:$B$897,$A129,Games!$J$2:$J$897)</f>
        <v>22</v>
      </c>
      <c r="P129" s="0" t="n">
        <f aca="false">SUMIF(Games!$A$2:$A$897,$A129,Games!$J$2:$J$897)+SUMIF(Games!$B$2:$B$897,$A129,Games!$I$2:$I$897)</f>
        <v>32</v>
      </c>
      <c r="R129" s="0" t="n">
        <f aca="false">IFERROR((K129+N129)/(B129+C129),0)</f>
        <v>384.214285714286</v>
      </c>
      <c r="S129" s="0" t="n">
        <f aca="false">P129-O129</f>
        <v>10</v>
      </c>
      <c r="T129" s="0" t="n">
        <f aca="false">IFERROR((D129/(D129+E129))*(F129/(F129+G129)),0)</f>
        <v>0.123825913071902</v>
      </c>
      <c r="U129" s="0" t="n">
        <f aca="false">RANK(T129,T$2:T$132)</f>
        <v>91</v>
      </c>
      <c r="V129" s="0" t="n">
        <f aca="false">IFERROR((B129/(B129+C129))*25,0)+IFERROR((D129/(D129+E129))*25,0)+IFERROR((F129/(F129+G129))*10,0)+H129+((J129-RMEAN)/RDEV)*5+((M129-PMEAN)/PDEV)*5+((DMEAN-R129)/DDEV)*7+((S129-TOMEAN)/TODEV)*3</f>
        <v>43.1646080592388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SUMIF(Games!$A$2:$A$897,$A130,Games!$K$2:$K$897)+SUMIF(Games!$B$2:$B$897,$A130,Games!$L$2:$L$897)</f>
        <v>5</v>
      </c>
      <c r="C130" s="0" t="n">
        <f aca="false">SUMIF(Games!$A$2:$A$897,$A130,Games!$L$2:$L$897)+SUMIF(Games!$B$2:$B$897,$A130,Games!$K$2:$K$897)</f>
        <v>7</v>
      </c>
      <c r="D130" s="0" t="n">
        <f aca="false">SUMIF(Games!$A$2:$A$897,$A130,Games!$O$2:$O$897)+SUMIF(Games!$B$2:$B$897,$A130,Games!$M$2:$M$897)</f>
        <v>81</v>
      </c>
      <c r="E130" s="0" t="n">
        <f aca="false">SUMIF(Games!$A$2:$A$897,$A130,Games!$P$2:$P$897)+SUMIF(Games!$B$2:$B$897,$A130,Games!$N$2:$N$897)</f>
        <v>179</v>
      </c>
      <c r="F130" s="0" t="n">
        <f aca="false">SUMIF(Games!$A$2:$A$897,$A130,Games!$S$2:$S$897)+SUMIF(Games!$B$2:$B$897,$A130,Games!$Q$2:$Q$897)</f>
        <v>1696</v>
      </c>
      <c r="G130" s="0" t="n">
        <f aca="false">SUMIF(Games!$A$2:$A$897,$A130,Games!$T$2:$T$897)+SUMIF(Games!$B$2:$B$897,$A130,Games!$R$2:$R$897)</f>
        <v>2674</v>
      </c>
      <c r="H130" s="0" t="n">
        <f aca="false">SUMIF(Games!$A$2:$A$897,$A130,Games!$U$2:$U$897)+SUMIF(Games!$B$2:$B$897,$A130,Games!$V$2:$V$897)</f>
        <v>-25.5894453048557</v>
      </c>
      <c r="I130" s="0" t="n">
        <f aca="false">SUMIF(Games!$A$2:$A$897,$A130,Games!$E$2:$E$897)+SUMIF(Games!$B$2:$B$897,$A130,Games!$F$2:$F$897)</f>
        <v>1635</v>
      </c>
      <c r="J130" s="0" t="n">
        <f aca="false">IFERROR(I130/(B130+C130),0)</f>
        <v>136.25</v>
      </c>
      <c r="K130" s="0" t="n">
        <f aca="false">SUMIF(Games!$A$2:$A$897,$A130,Games!$F$2:$F$897)+SUMIF(Games!$B$2:$B$897,$A130,Games!$E$2:$E$897)</f>
        <v>1691</v>
      </c>
      <c r="L130" s="0" t="n">
        <f aca="false">SUMIF(Games!$A$2:$A$897,$A130,Games!$G$2:$G$897)+SUMIF(Games!$B$2:$B$897,$A130,Games!$H$2:$H$897)</f>
        <v>1988</v>
      </c>
      <c r="M130" s="0" t="n">
        <f aca="false">IFERROR(L130/(B130+C130),0)</f>
        <v>165.666666666667</v>
      </c>
      <c r="N130" s="0" t="n">
        <f aca="false">SUMIF(Games!$A$2:$A$897,$A130,Games!$H$2:$H$897)+SUMIF(Games!$B$2:$B$897,$A130,Games!$G$2:$G$897)</f>
        <v>2535</v>
      </c>
      <c r="O130" s="0" t="n">
        <f aca="false">SUMIF(Games!$A$2:$A$897,$A130,Games!$I$2:$I$897)+SUMIF(Games!$B$2:$B$897,$A130,Games!$J$2:$J$897)</f>
        <v>21</v>
      </c>
      <c r="P130" s="0" t="n">
        <f aca="false">SUMIF(Games!$A$2:$A$897,$A130,Games!$J$2:$J$897)+SUMIF(Games!$B$2:$B$897,$A130,Games!$I$2:$I$897)</f>
        <v>25</v>
      </c>
      <c r="R130" s="0" t="n">
        <f aca="false">IFERROR((K130+N130)/(B130+C130),0)</f>
        <v>352.166666666667</v>
      </c>
      <c r="S130" s="0" t="n">
        <f aca="false">P130-O130</f>
        <v>4</v>
      </c>
      <c r="T130" s="0" t="n">
        <f aca="false">IFERROR((D130/(D130+E130))*(F130/(F130+G130)),0)</f>
        <v>0.120908290793874</v>
      </c>
      <c r="U130" s="0" t="n">
        <f aca="false">RANK(T130,T$2:T$132)</f>
        <v>103</v>
      </c>
      <c r="V130" s="0" t="n">
        <f aca="false">IFERROR((B130/(B130+C130))*25,0)+IFERROR((D130/(D130+E130))*25,0)+IFERROR((F130/(F130+G130))*10,0)+H130+((J130-RMEAN)/RDEV)*5+((M130-PMEAN)/PDEV)*5+((DMEAN-R130)/DDEV)*7+((S130-TOMEAN)/TODEV)*3</f>
        <v>-7.19782669642802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SUMIF(Games!$A$2:$A$897,$A131,Games!$K$2:$K$897)+SUMIF(Games!$B$2:$B$897,$A131,Games!$L$2:$L$897)</f>
        <v>7</v>
      </c>
      <c r="C131" s="0" t="n">
        <f aca="false">SUMIF(Games!$A$2:$A$897,$A131,Games!$L$2:$L$897)+SUMIF(Games!$B$2:$B$897,$A131,Games!$K$2:$K$897)</f>
        <v>6</v>
      </c>
      <c r="D131" s="0" t="n">
        <f aca="false">SUMIF(Games!$A$2:$A$897,$A131,Games!$O$2:$O$897)+SUMIF(Games!$B$2:$B$897,$A131,Games!$M$2:$M$897)</f>
        <v>91</v>
      </c>
      <c r="E131" s="0" t="n">
        <f aca="false">SUMIF(Games!$A$2:$A$897,$A131,Games!$P$2:$P$897)+SUMIF(Games!$B$2:$B$897,$A131,Games!$N$2:$N$897)</f>
        <v>183</v>
      </c>
      <c r="F131" s="0" t="n">
        <f aca="false">SUMIF(Games!$A$2:$A$897,$A131,Games!$S$2:$S$897)+SUMIF(Games!$B$2:$B$897,$A131,Games!$Q$2:$Q$897)</f>
        <v>1869</v>
      </c>
      <c r="G131" s="0" t="n">
        <f aca="false">SUMIF(Games!$A$2:$A$897,$A131,Games!$T$2:$T$897)+SUMIF(Games!$B$2:$B$897,$A131,Games!$R$2:$R$897)</f>
        <v>2703</v>
      </c>
      <c r="H131" s="0" t="n">
        <f aca="false">SUMIF(Games!$A$2:$A$897,$A131,Games!$U$2:$U$897)+SUMIF(Games!$B$2:$B$897,$A131,Games!$V$2:$V$897)</f>
        <v>-2.21170247446914</v>
      </c>
      <c r="I131" s="0" t="n">
        <f aca="false">SUMIF(Games!$A$2:$A$897,$A131,Games!$E$2:$E$897)+SUMIF(Games!$B$2:$B$897,$A131,Games!$F$2:$F$897)</f>
        <v>2337</v>
      </c>
      <c r="J131" s="0" t="n">
        <f aca="false">IFERROR(I131/(B131+C131),0)</f>
        <v>179.769230769231</v>
      </c>
      <c r="K131" s="0" t="n">
        <f aca="false">SUMIF(Games!$A$2:$A$897,$A131,Games!$F$2:$F$897)+SUMIF(Games!$B$2:$B$897,$A131,Games!$E$2:$E$897)</f>
        <v>1290</v>
      </c>
      <c r="L131" s="0" t="n">
        <f aca="false">SUMIF(Games!$A$2:$A$897,$A131,Games!$G$2:$G$897)+SUMIF(Games!$B$2:$B$897,$A131,Games!$H$2:$H$897)</f>
        <v>2390</v>
      </c>
      <c r="M131" s="0" t="n">
        <f aca="false">IFERROR(L131/(B131+C131),0)</f>
        <v>183.846153846154</v>
      </c>
      <c r="N131" s="0" t="n">
        <f aca="false">SUMIF(Games!$A$2:$A$897,$A131,Games!$H$2:$H$897)+SUMIF(Games!$B$2:$B$897,$A131,Games!$G$2:$G$897)</f>
        <v>2656</v>
      </c>
      <c r="O131" s="0" t="n">
        <f aca="false">SUMIF(Games!$A$2:$A$897,$A131,Games!$I$2:$I$897)+SUMIF(Games!$B$2:$B$897,$A131,Games!$J$2:$J$897)</f>
        <v>18</v>
      </c>
      <c r="P131" s="0" t="n">
        <f aca="false">SUMIF(Games!$A$2:$A$897,$A131,Games!$J$2:$J$897)+SUMIF(Games!$B$2:$B$897,$A131,Games!$I$2:$I$897)</f>
        <v>20</v>
      </c>
      <c r="R131" s="0" t="n">
        <f aca="false">IFERROR((K131+N131)/(B131+C131),0)</f>
        <v>303.538461538462</v>
      </c>
      <c r="S131" s="0" t="n">
        <f aca="false">P131-O131</f>
        <v>2</v>
      </c>
      <c r="T131" s="0" t="n">
        <f aca="false">IFERROR((D131/(D131+E131))*(F131/(F131+G131)),0)</f>
        <v>0.135766902312393</v>
      </c>
      <c r="U131" s="0" t="n">
        <f aca="false">RANK(T131,T$2:T$132)</f>
        <v>64</v>
      </c>
      <c r="V131" s="0" t="n">
        <f aca="false">IFERROR((B131/(B131+C131))*25,0)+IFERROR((D131/(D131+E131))*25,0)+IFERROR((F131/(F131+G131))*10,0)+H131+((J131-RMEAN)/RDEV)*5+((M131-PMEAN)/PDEV)*5+((DMEAN-R131)/DDEV)*7+((S131-TOMEAN)/TODEV)*3</f>
        <v>32.2163011463895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SUMIF(Games!$A$2:$A$897,$A132,Games!$K$2:$K$897)+SUMIF(Games!$B$2:$B$897,$A132,Games!$L$2:$L$897)</f>
        <v>7</v>
      </c>
      <c r="C132" s="0" t="n">
        <f aca="false">SUMIF(Games!$A$2:$A$897,$A132,Games!$L$2:$L$897)+SUMIF(Games!$B$2:$B$897,$A132,Games!$K$2:$K$897)</f>
        <v>6</v>
      </c>
      <c r="D132" s="0" t="n">
        <f aca="false">SUMIF(Games!$A$2:$A$897,$A132,Games!$O$2:$O$897)+SUMIF(Games!$B$2:$B$897,$A132,Games!$M$2:$M$897)</f>
        <v>90</v>
      </c>
      <c r="E132" s="0" t="n">
        <f aca="false">SUMIF(Games!$A$2:$A$897,$A132,Games!$P$2:$P$897)+SUMIF(Games!$B$2:$B$897,$A132,Games!$N$2:$N$897)</f>
        <v>185</v>
      </c>
      <c r="F132" s="0" t="n">
        <f aca="false">SUMIF(Games!$A$2:$A$897,$A132,Games!$S$2:$S$897)+SUMIF(Games!$B$2:$B$897,$A132,Games!$Q$2:$Q$897)</f>
        <v>1815</v>
      </c>
      <c r="G132" s="0" t="n">
        <f aca="false">SUMIF(Games!$A$2:$A$897,$A132,Games!$T$2:$T$897)+SUMIF(Games!$B$2:$B$897,$A132,Games!$R$2:$R$897)</f>
        <v>2981</v>
      </c>
      <c r="H132" s="0" t="n">
        <f aca="false">SUMIF(Games!$A$2:$A$897,$A132,Games!$U$2:$U$897)+SUMIF(Games!$B$2:$B$897,$A132,Games!$V$2:$V$897)</f>
        <v>-18.9797944647547</v>
      </c>
      <c r="I132" s="0" t="n">
        <f aca="false">SUMIF(Games!$A$2:$A$897,$A132,Games!$E$2:$E$897)+SUMIF(Games!$B$2:$B$897,$A132,Games!$F$2:$F$897)</f>
        <v>2358</v>
      </c>
      <c r="J132" s="0" t="n">
        <f aca="false">IFERROR(I132/(B132+C132),0)</f>
        <v>181.384615384615</v>
      </c>
      <c r="K132" s="0" t="n">
        <f aca="false">SUMIF(Games!$A$2:$A$897,$A132,Games!$F$2:$F$897)+SUMIF(Games!$B$2:$B$897,$A132,Games!$E$2:$E$897)</f>
        <v>1997</v>
      </c>
      <c r="L132" s="0" t="n">
        <f aca="false">SUMIF(Games!$A$2:$A$897,$A132,Games!$G$2:$G$897)+SUMIF(Games!$B$2:$B$897,$A132,Games!$H$2:$H$897)</f>
        <v>1719</v>
      </c>
      <c r="M132" s="0" t="n">
        <f aca="false">IFERROR(L132/(B132+C132),0)</f>
        <v>132.230769230769</v>
      </c>
      <c r="N132" s="0" t="n">
        <f aca="false">SUMIF(Games!$A$2:$A$897,$A132,Games!$H$2:$H$897)+SUMIF(Games!$B$2:$B$897,$A132,Games!$G$2:$G$897)</f>
        <v>2821</v>
      </c>
      <c r="O132" s="0" t="n">
        <f aca="false">SUMIF(Games!$A$2:$A$897,$A132,Games!$I$2:$I$897)+SUMIF(Games!$B$2:$B$897,$A132,Games!$J$2:$J$897)</f>
        <v>15</v>
      </c>
      <c r="P132" s="0" t="n">
        <f aca="false">SUMIF(Games!$A$2:$A$897,$A132,Games!$J$2:$J$897)+SUMIF(Games!$B$2:$B$897,$A132,Games!$I$2:$I$897)</f>
        <v>14</v>
      </c>
      <c r="R132" s="0" t="n">
        <f aca="false">IFERROR((K132+N132)/(B132+C132),0)</f>
        <v>370.615384615385</v>
      </c>
      <c r="S132" s="0" t="n">
        <f aca="false">P132-O132</f>
        <v>-1</v>
      </c>
      <c r="T132" s="0" t="n">
        <f aca="false">IFERROR((D132/(D132+E132))*(F132/(F132+G132)),0)</f>
        <v>0.123853211009174</v>
      </c>
      <c r="U132" s="0" t="n">
        <f aca="false">RANK(T132,T$2:T$132)</f>
        <v>90</v>
      </c>
      <c r="V132" s="0" t="n">
        <f aca="false">IFERROR((B132/(B132+C132))*25,0)+IFERROR((D132/(D132+E132))*25,0)+IFERROR((F132/(F132+G132))*10,0)+H132+((J132-RMEAN)/RDEV)*5+((M132-PMEAN)/PDEV)*5+((DMEAN-R132)/DDEV)*7+((S132-TOMEAN)/TODEV)*3</f>
        <v>-0.134421269199972</v>
      </c>
    </row>
    <row r="133" customFormat="false" ht="15" hidden="false" customHeight="false" outlineLevel="0" collapsed="false">
      <c r="A133" s="0" t="s">
        <v>198</v>
      </c>
      <c r="B133" s="0" t="n">
        <f aca="false">SUMIF(Games!$A$2:$A$897,$A133,Games!$K$2:$K$897)+SUMIF(Games!$B$2:$B$897,$A133,Games!$L$2:$L$897)</f>
        <v>8</v>
      </c>
      <c r="C133" s="0" t="n">
        <f aca="false">SUMIF(Games!$A$2:$A$897,$A133,Games!$L$2:$L$897)+SUMIF(Games!$B$2:$B$897,$A133,Games!$K$2:$K$897)</f>
        <v>112</v>
      </c>
      <c r="D133" s="0" t="n">
        <f aca="false">SUMIF(Games!$A$2:$A$897,$A133,Games!$O$2:$O$897)+SUMIF(Games!$B$2:$B$897,$A133,Games!$M$2:$M$897)</f>
        <v>805</v>
      </c>
      <c r="E133" s="0" t="n">
        <f aca="false">SUMIF(Games!$A$2:$A$897,$A133,Games!$P$2:$P$897)+SUMIF(Games!$B$2:$B$897,$A133,Games!$N$2:$N$897)</f>
        <v>725</v>
      </c>
      <c r="F133" s="0" t="n">
        <f aca="false">SUMIF(Games!$A$2:$A$897,$A133,Games!$S$2:$S$897)+SUMIF(Games!$B$2:$B$897,$A133,Games!$Q$2:$Q$897)</f>
        <v>10699</v>
      </c>
      <c r="G133" s="0" t="n">
        <f aca="false">SUMIF(Games!$A$2:$A$897,$A133,Games!$T$2:$T$897)+SUMIF(Games!$B$2:$B$897,$A133,Games!$R$2:$R$897)</f>
        <v>22627</v>
      </c>
      <c r="H133" s="0" t="n">
        <f aca="false">SUMIF(Games!$A$2:$A$897,$A133,Games!$U$2:$U$897)+SUMIF(Games!$B$2:$B$897,$A133,Games!$V$2:$V$897)</f>
        <v>-934.337492557252</v>
      </c>
      <c r="I133" s="0" t="n">
        <f aca="false">SUMIF(Games!$A$2:$A$897,$A133,Games!$E$2:$E$897)+SUMIF(Games!$B$2:$B$897,$A133,Games!$F$2:$F$897)</f>
        <v>12100</v>
      </c>
      <c r="K133" s="0" t="n">
        <f aca="false">SUMIF(Games!$A$2:$A$897,$A133,Games!$F$2:$F$897)+SUMIF(Games!$B$2:$B$897,$A133,Games!$E$2:$E$897)</f>
        <v>25446</v>
      </c>
      <c r="L133" s="0" t="n">
        <f aca="false">SUMIF(Games!$A$2:$A$897,$A133,Games!$G$2:$G$897)+SUMIF(Games!$B$2:$B$897,$A133,Games!$H$2:$H$897)</f>
        <v>20971</v>
      </c>
      <c r="N133" s="0" t="n">
        <f aca="false">SUMIF(Games!$A$2:$A$897,$A133,Games!$H$2:$H$897)+SUMIF(Games!$B$2:$B$897,$A133,Games!$G$2:$G$897)</f>
        <v>32369</v>
      </c>
      <c r="O133" s="0" t="n">
        <f aca="false">SUMIF(Games!$A$2:$A$897,$A133,Games!$I$2:$I$897)+SUMIF(Games!$B$2:$B$897,$A133,Games!$J$2:$J$897)</f>
        <v>209</v>
      </c>
      <c r="P133" s="0" t="n">
        <f aca="false">SUMIF(Games!$A$2:$A$897,$A133,Games!$J$2:$J$897)+SUMIF(Games!$B$2:$B$897,$A133,Games!$I$2:$I$897)</f>
        <v>139</v>
      </c>
    </row>
    <row r="134" customFormat="false" ht="15" hidden="false" customHeight="false" outlineLevel="0" collapsed="false">
      <c r="A134" s="8" t="s">
        <v>217</v>
      </c>
      <c r="J134" s="10" t="n">
        <f aca="false">AVERAGE(J2:J132)</f>
        <v>158.918597433101</v>
      </c>
      <c r="M134" s="10" t="n">
        <f aca="false">AVERAGE(M2:M132)</f>
        <v>232.593091641183</v>
      </c>
      <c r="R134" s="10" t="n">
        <f aca="false">AVERAGE(R2:R132)</f>
        <v>379.224472219892</v>
      </c>
      <c r="S134" s="10" t="n">
        <f aca="false">AVERAGE(S2:S132)</f>
        <v>0.534351145038168</v>
      </c>
    </row>
    <row r="135" customFormat="false" ht="15" hidden="false" customHeight="false" outlineLevel="0" collapsed="false">
      <c r="A135" s="8" t="s">
        <v>218</v>
      </c>
      <c r="J135" s="10" t="n">
        <f aca="false">STDEV(J2:J132)</f>
        <v>45.2674650514117</v>
      </c>
      <c r="M135" s="10" t="n">
        <f aca="false">STDEV(M2:M132)</f>
        <v>52.4719036155663</v>
      </c>
      <c r="R135" s="10" t="n">
        <f aca="false">STDEV(R2:R132)</f>
        <v>51.5468477441869</v>
      </c>
      <c r="S135" s="10" t="n">
        <f aca="false">STDEV(S2:S132)</f>
        <v>6.87503589912156</v>
      </c>
    </row>
    <row r="137" customFormat="false" ht="15" hidden="false" customHeight="false" outlineLevel="0" collapsed="false">
      <c r="A137" s="1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2026-09-13T21:17:57Z</dcterms:created>
  <dc:creator>openpyxl</dc:creator>
  <dc:description/>
  <dc:language>en-US</dc:language>
  <cp:lastModifiedBy/>
  <dcterms:modified xsi:type="dcterms:W3CDTF">2026-09-13T21:17:58Z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