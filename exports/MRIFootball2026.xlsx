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MRI 2.0" sheetId="2" state="visible" r:id="rId4"/>
    <sheet name="About" sheetId="3" state="visible" r:id="rId5"/>
    <sheet name="Games" sheetId="4" state="visible" r:id="rId6"/>
    <sheet name="Team Data" sheetId="5" state="visible" r:id="rId7"/>
  </sheets>
  <definedNames>
    <definedName function="false" hidden="false" name="DDEV" vbProcedure="false">'Team Data'!$R$142</definedName>
    <definedName function="false" hidden="false" name="DMEAN" vbProcedure="false">'Team Data'!$R$141</definedName>
    <definedName function="false" hidden="false" name="PDEV" vbProcedure="false">'Team Data'!$M$142</definedName>
    <definedName function="false" hidden="false" name="PMEAN" vbProcedure="false">'Team Data'!$M$141</definedName>
    <definedName function="false" hidden="false" name="RDEV" vbProcedure="false">'Team Data'!$J$142</definedName>
    <definedName function="false" hidden="false" name="RMEAN" vbProcedure="false">'Team Data'!$J$141</definedName>
    <definedName function="false" hidden="false" name="TODEV" vbProcedure="false">'Team Data'!$S$142</definedName>
    <definedName function="false" hidden="false" name="TOMEAN" vbProcedure="false">'Team Data'!$S$141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<sst xmlns="http://schemas.openxmlformats.org/spreadsheetml/2006/main" count="998" uniqueCount="220">
  <si>
    <t xml:space="preserve">Rank</t>
  </si>
  <si>
    <t xml:space="preserve">Team</t>
  </si>
  <si>
    <t xml:space="preserve">W</t>
  </si>
  <si>
    <t xml:space="preserve">L</t>
  </si>
  <si>
    <t xml:space="preserve">MRI Raw</t>
  </si>
  <si>
    <t xml:space="preserve">Avg.</t>
  </si>
  <si>
    <t xml:space="preserve">Air Force</t>
  </si>
  <si>
    <t xml:space="preserve">Akron</t>
  </si>
  <si>
    <t xml:space="preserve">Alabama</t>
  </si>
  <si>
    <t xml:space="preserve">Appalachian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</si>
  <si>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</si>
  <si>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</si>
  <si>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</si>
  <si>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</si>
  <si>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Army</t>
  </si>
  <si>
    <t xml:space="preserve">Auburn</t>
  </si>
  <si>
    <t xml:space="preserve">BYU</t>
  </si>
  <si>
    <t xml:space="preserve">Ball State</t>
  </si>
  <si>
    <t xml:space="preserve">Baylor</t>
  </si>
  <si>
    <t xml:space="preserve">Boise State</t>
  </si>
  <si>
    <t xml:space="preserve">Boston College</t>
  </si>
  <si>
    <t xml:space="preserve">Bowling Green</t>
  </si>
  <si>
    <t xml:space="preserve">Buffalo</t>
  </si>
  <si>
    <t xml:space="preserve">California</t>
  </si>
  <si>
    <t xml:space="preserve">Central Michigan</t>
  </si>
  <si>
    <t xml:space="preserve">Charlotte</t>
  </si>
  <si>
    <t xml:space="preserve">Cincinnati</t>
  </si>
  <si>
    <t xml:space="preserve">Clemson</t>
  </si>
  <si>
    <t xml:space="preserve">Coastal Carolina</t>
  </si>
  <si>
    <t xml:space="preserve">Colorado</t>
  </si>
  <si>
    <t xml:space="preserve">Colorado State</t>
  </si>
  <si>
    <t xml:space="preserve">Delaware</t>
  </si>
  <si>
    <t xml:space="preserve">Duke</t>
  </si>
  <si>
    <t xml:space="preserve">East Carolina</t>
  </si>
  <si>
    <t xml:space="preserve">Eastern Michigan</t>
  </si>
  <si>
    <t xml:space="preserve">FIU</t>
  </si>
  <si>
    <t xml:space="preserve">Florida</t>
  </si>
  <si>
    <t xml:space="preserve">Florida Atlantic</t>
  </si>
  <si>
    <t xml:space="preserve">Florida State</t>
  </si>
  <si>
    <t xml:space="preserve">Fresno State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</si>
  <si>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</si>
  <si>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</si>
  <si>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</si>
  <si>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</si>
  <si>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Hawaii</t>
  </si>
  <si>
    <t xml:space="preserve">Houston</t>
  </si>
  <si>
    <t xml:space="preserve">Illinois</t>
  </si>
  <si>
    <t xml:space="preserve">Indiana</t>
  </si>
  <si>
    <t xml:space="preserve">Iowa</t>
  </si>
  <si>
    <t xml:space="preserve">Iowa State</t>
  </si>
  <si>
    <t xml:space="preserve">Jacksonville State</t>
  </si>
  <si>
    <t xml:space="preserve">James Madison</t>
  </si>
  <si>
    <t xml:space="preserve">Kansas</t>
  </si>
  <si>
    <t xml:space="preserve">Kansas State</t>
  </si>
  <si>
    <t xml:space="preserve">Kennesaw State</t>
  </si>
  <si>
    <t xml:space="preserve">Kent State</t>
  </si>
  <si>
    <t xml:space="preserve">Kentucky</t>
  </si>
  <si>
    <t xml:space="preserve">LSU</t>
  </si>
  <si>
    <t xml:space="preserve">Liberty</t>
  </si>
  <si>
    <t xml:space="preserve">Louisiana</t>
  </si>
  <si>
    <t xml:space="preserve">Louisiana Tech</t>
  </si>
  <si>
    <t xml:space="preserve">Louisiana-Monroe</t>
  </si>
  <si>
    <t xml:space="preserve">Louisville</t>
  </si>
  <si>
    <t xml:space="preserve">Marshall</t>
  </si>
  <si>
    <t xml:space="preserve">Maryland</t>
  </si>
  <si>
    <t xml:space="preserve">Memphis</t>
  </si>
  <si>
    <t xml:space="preserve">Miami (FL)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</si>
  <si>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</si>
  <si>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</si>
  <si>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</si>
  <si>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</si>
  <si>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Minnesota</t>
  </si>
  <si>
    <t xml:space="preserve">Mississippi State</t>
  </si>
  <si>
    <t xml:space="preserve">Missouri</t>
  </si>
  <si>
    <t xml:space="preserve">Missouri State</t>
  </si>
  <si>
    <t xml:space="preserve">NC State</t>
  </si>
  <si>
    <t xml:space="preserve">Navy</t>
  </si>
  <si>
    <t xml:space="preserve">Nebraska</t>
  </si>
  <si>
    <t xml:space="preserve">Nevada</t>
  </si>
  <si>
    <t xml:space="preserve">New Mexico</t>
  </si>
  <si>
    <t xml:space="preserve">New Mexico State</t>
  </si>
  <si>
    <t xml:space="preserve">North Carolina</t>
  </si>
  <si>
    <t xml:space="preserve">North Dakota State</t>
  </si>
  <si>
    <t xml:space="preserve">North Texas</t>
  </si>
  <si>
    <t xml:space="preserve">Northern Illinois</t>
  </si>
  <si>
    <t xml:space="preserve">Northwestern</t>
  </si>
  <si>
    <t xml:space="preserve">Notre Dame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</si>
  <si>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</si>
  <si>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</si>
  <si>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</si>
  <si>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</si>
  <si>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</si>
  <si>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</si>
  <si>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Oregon</t>
  </si>
  <si>
    <t xml:space="preserve">Oregon State</t>
  </si>
  <si>
    <t xml:space="preserve">Penn State</t>
  </si>
  <si>
    <t xml:space="preserve">Pittsburgh</t>
  </si>
  <si>
    <t xml:space="preserve">Purdue</t>
  </si>
  <si>
    <t xml:space="preserve">Rice</t>
  </si>
  <si>
    <t xml:space="preserve">Rutgers</t>
  </si>
  <si>
    <t xml:space="preserve">SMU</t>
  </si>
  <si>
    <t xml:space="preserve">Sacramento State</t>
  </si>
  <si>
    <t xml:space="preserve">Sam Houston</t>
  </si>
  <si>
    <t xml:space="preserve">San Diego State</t>
  </si>
  <si>
    <t xml:space="preserve">San Jose State</t>
  </si>
  <si>
    <t xml:space="preserve">South Alabama</t>
  </si>
  <si>
    <t xml:space="preserve">South Carolina</t>
  </si>
  <si>
    <t xml:space="preserve">Southern Miss</t>
  </si>
  <si>
    <t xml:space="preserve">Stanford</t>
  </si>
  <si>
    <t xml:space="preserve">Syracuse</t>
  </si>
  <si>
    <t xml:space="preserve">TCU</t>
  </si>
  <si>
    <t xml:space="preserve">Temple</t>
  </si>
  <si>
    <t xml:space="preserve">Tennessee</t>
  </si>
  <si>
    <t xml:space="preserve">Texas</t>
  </si>
  <si>
    <t xml:space="preserve">Texas A&amp;M</t>
  </si>
  <si>
    <t xml:space="preserve">Texas State</t>
  </si>
  <si>
    <t xml:space="preserve">Texas Tech</t>
  </si>
  <si>
    <t xml:space="preserve">Toledo</t>
  </si>
  <si>
    <t xml:space="preserve">Troy</t>
  </si>
  <si>
    <t xml:space="preserve">Tulane</t>
  </si>
  <si>
    <t xml:space="preserve">Tulsa</t>
  </si>
  <si>
    <t xml:space="preserve">UAB</t>
  </si>
  <si>
    <t xml:space="preserve">UCF</t>
  </si>
  <si>
    <t xml:space="preserve">UCLA</t>
  </si>
  <si>
    <t xml:space="preserve">UConn</t>
  </si>
  <si>
    <t xml:space="preserve">UMass</t>
  </si>
  <si>
    <t xml:space="preserve">UNLV</t>
  </si>
  <si>
    <t xml:space="preserve">USC</t>
  </si>
  <si>
    <t xml:space="preserve">USF</t>
  </si>
  <si>
    <t xml:space="preserve">UTEP</t>
  </si>
  <si>
    <t xml:space="preserve">UTSA</t>
  </si>
  <si>
    <t xml:space="preserve">Utah</t>
  </si>
  <si>
    <t xml:space="preserve">Utah State</t>
  </si>
  <si>
    <t xml:space="preserve">Vanderbilt</t>
  </si>
  <si>
    <t xml:space="preserve">Virginia</t>
  </si>
  <si>
    <t xml:space="preserve">Virginia Tech</t>
  </si>
  <si>
    <t xml:space="preserve">Wake Forest</t>
  </si>
  <si>
    <t xml:space="preserve">Washington</t>
  </si>
  <si>
    <t xml:space="preserve">Washington State</t>
  </si>
  <si>
    <t xml:space="preserve">West Virginia</t>
  </si>
  <si>
    <t xml:space="preserve">Western Kentucky</t>
  </si>
  <si>
    <t xml:space="preserve">Western Michigan</t>
  </si>
  <si>
    <t xml:space="preserve">Wisconsin</t>
  </si>
  <si>
    <t xml:space="preserve">Wyoming</t>
  </si>
  <si>
    <t xml:space="preserve">Conference</t>
  </si>
  <si>
    <t xml:space="preserve">Power</t>
  </si>
  <si>
    <t xml:space="preserve">Resume</t>
  </si>
  <si>
    <t xml:space="preserve">Resume Rank</t>
  </si>
  <si>
    <t xml:space="preserve">Games</t>
  </si>
  <si>
    <t xml:space="preserve">Big Ten</t>
  </si>
  <si>
    <t xml:space="preserve">Independent</t>
  </si>
  <si>
    <t xml:space="preserve">ACC</t>
  </si>
  <si>
    <t xml:space="preserve">SEC</t>
  </si>
  <si>
    <t xml:space="preserve">Big 12</t>
  </si>
  <si>
    <t xml:space="preserve">American</t>
  </si>
  <si>
    <t xml:space="preserve">Pac-12</t>
  </si>
  <si>
    <t xml:space="preserve">Sun Belt</t>
  </si>
  <si>
    <t xml:space="preserve">MAC</t>
  </si>
  <si>
    <t xml:space="preserve">Mountain West</t>
  </si>
  <si>
    <t xml:space="preserve">Conference USA</t>
  </si>
  <si>
    <t xml:space="preserve">Snapshot, not formulas: MRI 2.0 solves the whole season at once as a regularized least-squares system, which a spreadsheet cannot express. Power is points against an average FBS team; Resume is wins above what an average team would manage against the same schedule.</t>
  </si>
  <si>
    <t xml:space="preserve">MRI 2026</t>
  </si>
  <si>
    <t xml:space="preserve">185 games, 138 FBS teams.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</si>
  <si>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</si>
  <si>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</si>
  <si>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</si>
  <si>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A-L of Games are data; M onward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</si>
  <si>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</si>
  <si>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</si>
  <si>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</si>
  <si>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</si>
  <si>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scripts/export_workbooks.py instead.</t>
  </si>
  <si>
    <t xml:space="preserve">NON-FBS OPPONENTS</t>
  </si>
  <si>
    <t xml:space="preserve">Pooled into a single "Non D1A" team, as in the originals. MRI 2.0 rates</t>
  </si>
  <si>
    <t xml:space="preserve">them individually, which is one reason the two ratings disagree.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</si>
  <si>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</si>
  <si>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</si>
  <si>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</si>
  <si>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</si>
  <si>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</si>
  <si>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Rush1</t>
  </si>
  <si>
    <t xml:space="preserve">Rush2</t>
  </si>
  <si>
    <t xml:space="preserve">Pass1</t>
  </si>
  <si>
    <t xml:space="preserve">Pass2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</si>
  <si>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</si>
  <si>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</si>
  <si>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</si>
  <si>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</si>
  <si>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</si>
  <si>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</si>
  <si>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</si>
  <si>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</si>
  <si>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</si>
  <si>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</si>
  <si>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</si>
  <si>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</si>
  <si>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</si>
  <si>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</si>
  <si>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Non D1A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</si>
  <si>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</si>
  <si>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</si>
  <si>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</si>
  <si>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</si>
  <si>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</si>
  <si>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Rush</t>
  </si>
  <si>
    <t xml:space="preserve">RPG</t>
  </si>
  <si>
    <t xml:space="preserve">Orush</t>
  </si>
  <si>
    <t xml:space="preserve">Pass</t>
  </si>
  <si>
    <t xml:space="preserve">PPG</t>
  </si>
  <si>
    <t xml:space="preserve">Opass</t>
  </si>
  <si>
    <t xml:space="preserve">TO's</t>
  </si>
  <si>
    <t xml:space="preserve">O TO's</t>
  </si>
  <si>
    <t xml:space="preserve">Def/G</t>
  </si>
  <si>
    <t xml:space="preserve">TO Diff</t>
  </si>
  <si>
    <t xml:space="preserve">SOS</t>
  </si>
  <si>
    <t xml:space="preserve">SOS Rank</t>
  </si>
  <si>
    <t xml:space="preserve">MRI</t>
  </si>
  <si>
    <t xml:space="preserve">Mean</t>
  </si>
  <si>
    <t xml:space="preserve">StDev</t>
  </si>
  <si>
    <t xml:space="preserve">Mean and StDev cover FBS teams only; the pooled Non D1A row is excluded, as in the original workbooks.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</si>
</sst>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\+0.00;\-0.00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6" min="3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RANK(E2,E$2:E$139)</f>
        <v>63</v>
      </c>
      <c r="B2" s="0" t="s">
        <v>6</v>
      </c>
      <c r="C2" s="0" t="n">
        <f aca="false">VLOOKUP(B2,'Team Data'!$A$2:$V$140,2,FALSE())</f>
        <v>1</v>
      </c>
      <c r="D2" s="0" t="n">
        <f aca="false">VLOOKUP(B2,'Team Data'!$A$2:$V$140,3,FALSE())</f>
        <v>1</v>
      </c>
      <c r="E2" s="2" t="n">
        <f aca="false">VLOOKUP(B2,'Team Data'!$A$2:$V$140,22,FALSE())</f>
        <v>30.2216152740554</v>
      </c>
      <c r="F2" s="2" t="n">
        <f aca="false">IFERROR(E2/(C2+D2),0)</f>
        <v>15.1108076370277</v>
      </c>
    </row>
    <row r="3" customFormat="false" ht="15" hidden="false" customHeight="false" outlineLevel="0" collapsed="false">
      <c r="A3" s="0" t="n">
        <f aca="false">RANK(E3,E$2:E$139)</f>
        <v>93</v>
      </c>
      <c r="B3" s="0" t="s">
        <v>7</v>
      </c>
      <c r="C3" s="0" t="n">
        <f aca="false">VLOOKUP(B3,'Team Data'!$A$2:$V$140,2,FALSE())</f>
        <v>1</v>
      </c>
      <c r="D3" s="0" t="n">
        <f aca="false">VLOOKUP(B3,'Team Data'!$A$2:$V$140,3,FALSE())</f>
        <v>1</v>
      </c>
      <c r="E3" s="2" t="n">
        <f aca="false">VLOOKUP(B3,'Team Data'!$A$2:$V$140,22,FALSE())</f>
        <v>17.0292048696142</v>
      </c>
      <c r="F3" s="2" t="n">
        <f aca="false">IFERROR(E3/(C3+D3),0)</f>
        <v>8.51460243480711</v>
      </c>
    </row>
    <row r="4" customFormat="false" ht="15" hidden="false" customHeight="false" outlineLevel="0" collapsed="false">
      <c r="A4" s="0" t="n">
        <f aca="false">RANK(E4,E$2:E$139)</f>
        <v>33</v>
      </c>
      <c r="B4" s="0" t="s">
        <v>8</v>
      </c>
      <c r="C4" s="0" t="n">
        <f aca="false">VLOOKUP(B4,'Team Data'!$A$2:$V$140,2,FALSE())</f>
        <v>2</v>
      </c>
      <c r="D4" s="0" t="n">
        <f aca="false">VLOOKUP(B4,'Team Data'!$A$2:$V$140,3,FALSE())</f>
        <v>0</v>
      </c>
      <c r="E4" s="2" t="n">
        <f aca="false">VLOOKUP(B4,'Team Data'!$A$2:$V$140,22,FALSE())</f>
        <v>44.6721297714686</v>
      </c>
      <c r="F4" s="2" t="n">
        <f aca="false">IFERROR(E4/(C4+D4),0)</f>
        <v>22.3360648857343</v>
      </c>
    </row>
    <row r="5" customFormat="false" ht="15" hidden="false" customHeight="false" outlineLevel="0" collapsed="false">
      <c r="A5" s="0" t="n">
        <f aca="false">RANK(E5,E$2:E$139)</f>
        <v>32</v>
      </c>
      <c r="B5" s="0" t="s">
        <v>9</v>
      </c>
      <c r="C5" s="0" t="n">
        <f aca="false">VLOOKUP(B5,'Team Data'!$A$2:$V$140,2,FALSE())</f>
        <v>2</v>
      </c>
      <c r="D5" s="0" t="n">
        <f aca="false">VLOOKUP(B5,'Team Data'!$A$2:$V$140,3,FALSE())</f>
        <v>0</v>
      </c>
      <c r="E5" s="2" t="n">
        <f aca="false">VLOOKUP(B5,'Team Data'!$A$2:$V$140,22,FALSE())</f>
        <v>44.7202278423257</v>
      </c>
      <c r="F5" s="2" t="n">
        <f aca="false">IFERROR(E5/(C5+D5),0)</f>
        <v>22.3601139211629</v>
      </c>
    </row>
    <row r="6" customFormat="false" ht="15" hidden="false" customHeight="false" outlineLevel="0" collapsed="false">
      <c r="A6" s="0" t="n">
        <f aca="false">RANK(E6,E$2:E$139)</f>
        <v>84</v>
      </c>
      <c r="B6" s="0" t="s">
        <v>10</v>
      </c>
      <c r="C6" s="0" t="n">
        <f aca="false">VLOOKUP(B6,'Team Data'!$A$2:$V$140,2,FALSE())</f>
        <v>1</v>
      </c>
      <c r="D6" s="0" t="n">
        <f aca="false">VLOOKUP(B6,'Team Data'!$A$2:$V$140,3,FALSE())</f>
        <v>1</v>
      </c>
      <c r="E6" s="2" t="n">
        <f aca="false">VLOOKUP(B6,'Team Data'!$A$2:$V$140,22,FALSE())</f>
        <v>19.4758525657564</v>
      </c>
      <c r="F6" s="2" t="n">
        <f aca="false">IFERROR(E6/(C6+D6),0)</f>
        <v>9.73792628287819</v>
      </c>
    </row>
    <row r="7" customFormat="false" ht="15" hidden="false" customHeight="false" outlineLevel="0" collapsed="false">
      <c r="A7" s="0" t="n">
        <f aca="false">RANK(E7,E$2:E$139)</f>
        <v>60</v>
      </c>
      <c r="B7" s="0" t="s">
        <v>11</v>
      </c>
      <c r="C7" s="0" t="n">
        <f aca="false">VLOOKUP(B7,'Team Data'!$A$2:$V$140,2,FALSE())</f>
        <v>1</v>
      </c>
      <c r="D7" s="0" t="n">
        <f aca="false">VLOOKUP(B7,'Team Data'!$A$2:$V$140,3,FALSE())</f>
        <v>1</v>
      </c>
      <c r="E7" s="2" t="n">
        <f aca="false">VLOOKUP(B7,'Team Data'!$A$2:$V$140,22,FALSE())</f>
        <v>31.8444779867218</v>
      </c>
      <c r="F7" s="2" t="n">
        <f aca="false">IFERROR(E7/(C7+D7),0)</f>
        <v>15.9222389933609</v>
      </c>
    </row>
    <row r="8" customFormat="false" ht="15" hidden="false" customHeight="false" outlineLevel="0" collapsed="false">
      <c r="A8" s="0" t="n">
        <f aca="false">RANK(E8,E$2:E$139)</f>
        <v>107</v>
      </c>
      <c r="B8" s="0" t="s">
        <v>12</v>
      </c>
      <c r="C8" s="0" t="n">
        <f aca="false">VLOOKUP(B8,'Team Data'!$A$2:$V$140,2,FALSE())</f>
        <v>1</v>
      </c>
      <c r="D8" s="0" t="n">
        <f aca="false">VLOOKUP(B8,'Team Data'!$A$2:$V$140,3,FALSE())</f>
        <v>1</v>
      </c>
      <c r="E8" s="2" t="n">
        <f aca="false">VLOOKUP(B8,'Team Data'!$A$2:$V$140,22,FALSE())</f>
        <v>12.0472529973168</v>
      </c>
      <c r="F8" s="2" t="n">
        <f aca="false">IFERROR(E8/(C8+D8),0)</f>
        <v>6.02362649865842</v>
      </c>
    </row>
    <row r="9" customFormat="false" ht="15" hidden="false" customHeight="false" outlineLevel="0" collapsed="false">
      <c r="A9" s="0" t="n">
        <f aca="false">RANK(E9,E$2:E$139)</f>
        <v>101</v>
      </c>
      <c r="B9" s="0" t="s">
        <v>13</v>
      </c>
      <c r="C9" s="0" t="n">
        <f aca="false">VLOOKUP(B9,'Team Data'!$A$2:$V$140,2,FALSE())</f>
        <v>1</v>
      </c>
      <c r="D9" s="0" t="n">
        <f aca="false">VLOOKUP(B9,'Team Data'!$A$2:$V$140,3,FALSE())</f>
        <v>1</v>
      </c>
      <c r="E9" s="2" t="n">
        <f aca="false">VLOOKUP(B9,'Team Data'!$A$2:$V$140,22,FALSE())</f>
        <v>15.0011036578401</v>
      </c>
      <c r="F9" s="2" t="n">
        <f aca="false">IFERROR(E9/(C9+D9),0)</f>
        <v>7.50055182892003</v>
      </c>
    </row>
    <row r="10" customFormat="false" ht="15" hidden="false" customHeight="false" outlineLevel="0" collapsed="false">
      <c r="A10" s="0" t="n">
        <f aca="false">RANK(E10,E$2:E$139)</f>
        <v>57</v>
      </c>
      <c r="B10" s="0" t="s">
        <v>14</v>
      </c>
      <c r="C10" s="0" t="n">
        <f aca="false">VLOOKUP(B10,'Team Data'!$A$2:$V$140,2,FALSE())</f>
        <v>1</v>
      </c>
      <c r="D10" s="0" t="n">
        <f aca="false">VLOOKUP(B10,'Team Data'!$A$2:$V$140,3,FALSE())</f>
        <v>1</v>
      </c>
      <c r="E10" s="2" t="n">
        <f aca="false">VLOOKUP(B10,'Team Data'!$A$2:$V$140,22,FALSE())</f>
        <v>32.5296763487594</v>
      </c>
      <c r="F10" s="2" t="n">
        <f aca="false">IFERROR(E10/(C10+D10),0)</f>
        <v>16.2648381743797</v>
      </c>
    </row>
    <row r="11" customFormat="false" ht="15" hidden="false" customHeight="false" outlineLevel="0" collapsed="false">
      <c r="A11" s="0" t="n">
        <f aca="false">RANK(E11,E$2:E$139)</f>
        <v>31</v>
      </c>
      <c r="B11" s="0" t="s">
        <v>15</v>
      </c>
      <c r="C11" s="0" t="n">
        <f aca="false">VLOOKUP(B11,'Team Data'!$A$2:$V$140,2,FALSE())</f>
        <v>2</v>
      </c>
      <c r="D11" s="0" t="n">
        <f aca="false">VLOOKUP(B11,'Team Data'!$A$2:$V$140,3,FALSE())</f>
        <v>0</v>
      </c>
      <c r="E11" s="2" t="n">
        <f aca="false">VLOOKUP(B11,'Team Data'!$A$2:$V$140,22,FALSE())</f>
        <v>45.5619010612629</v>
      </c>
      <c r="F11" s="2" t="n">
        <f aca="false">IFERROR(E11/(C11+D11),0)</f>
        <v>22.7809505306315</v>
      </c>
    </row>
    <row r="12" customFormat="false" ht="15" hidden="false" customHeight="false" outlineLevel="0" collapsed="false">
      <c r="A12" s="0" t="n">
        <f aca="false">RANK(E12,E$2:E$139)</f>
        <v>30</v>
      </c>
      <c r="B12" s="0" t="s">
        <v>16</v>
      </c>
      <c r="C12" s="0" t="n">
        <f aca="false">VLOOKUP(B12,'Team Data'!$A$2:$V$140,2,FALSE())</f>
        <v>2</v>
      </c>
      <c r="D12" s="0" t="n">
        <f aca="false">VLOOKUP(B12,'Team Data'!$A$2:$V$140,3,FALSE())</f>
        <v>0</v>
      </c>
      <c r="E12" s="2" t="n">
        <f aca="false">VLOOKUP(B12,'Team Data'!$A$2:$V$140,22,FALSE())</f>
        <v>46.7781578687187</v>
      </c>
      <c r="F12" s="2" t="n">
        <f aca="false">IFERROR(E12/(C12+D12),0)</f>
        <v>23.3890789343593</v>
      </c>
    </row>
    <row r="13" customFormat="false" ht="15" hidden="false" customHeight="false" outlineLevel="0" collapsed="false">
      <c r="A13" s="0" t="n">
        <f aca="false">RANK(E13,E$2:E$139)</f>
        <v>130</v>
      </c>
      <c r="B13" s="0" t="s">
        <v>17</v>
      </c>
      <c r="C13" s="0" t="n">
        <f aca="false">VLOOKUP(B13,'Team Data'!$A$2:$V$140,2,FALSE())</f>
        <v>1</v>
      </c>
      <c r="D13" s="0" t="n">
        <f aca="false">VLOOKUP(B13,'Team Data'!$A$2:$V$140,3,FALSE())</f>
        <v>1</v>
      </c>
      <c r="E13" s="2" t="n">
        <f aca="false">VLOOKUP(B13,'Team Data'!$A$2:$V$140,22,FALSE())</f>
        <v>-2.20888768611654</v>
      </c>
      <c r="F13" s="2" t="n">
        <f aca="false">IFERROR(E13/(C13+D13),0)</f>
        <v>-1.10444384305827</v>
      </c>
    </row>
    <row r="14" customFormat="false" ht="15" hidden="false" customHeight="false" outlineLevel="0" collapsed="false">
      <c r="A14" s="0" t="n">
        <f aca="false">RANK(E14,E$2:E$139)</f>
        <v>58</v>
      </c>
      <c r="B14" s="0" t="s">
        <v>18</v>
      </c>
      <c r="C14" s="0" t="n">
        <f aca="false">VLOOKUP(B14,'Team Data'!$A$2:$V$140,2,FALSE())</f>
        <v>1</v>
      </c>
      <c r="D14" s="0" t="n">
        <f aca="false">VLOOKUP(B14,'Team Data'!$A$2:$V$140,3,FALSE())</f>
        <v>1</v>
      </c>
      <c r="E14" s="2" t="n">
        <f aca="false">VLOOKUP(B14,'Team Data'!$A$2:$V$140,22,FALSE())</f>
        <v>32.3291704617781</v>
      </c>
      <c r="F14" s="2" t="n">
        <f aca="false">IFERROR(E14/(C14+D14),0)</f>
        <v>16.164585230889</v>
      </c>
    </row>
    <row r="15" customFormat="false" ht="15" hidden="false" customHeight="false" outlineLevel="0" collapsed="false">
      <c r="A15" s="0" t="n">
        <f aca="false">RANK(E15,E$2:E$139)</f>
        <v>73</v>
      </c>
      <c r="B15" s="0" t="s">
        <v>19</v>
      </c>
      <c r="C15" s="0" t="n">
        <f aca="false">VLOOKUP(B15,'Team Data'!$A$2:$V$140,2,FALSE())</f>
        <v>1</v>
      </c>
      <c r="D15" s="0" t="n">
        <f aca="false">VLOOKUP(B15,'Team Data'!$A$2:$V$140,3,FALSE())</f>
        <v>1</v>
      </c>
      <c r="E15" s="2" t="n">
        <f aca="false">VLOOKUP(B15,'Team Data'!$A$2:$V$140,22,FALSE())</f>
        <v>24.2002812768267</v>
      </c>
      <c r="F15" s="2" t="n">
        <f aca="false">IFERROR(E15/(C15+D15),0)</f>
        <v>12.1001406384134</v>
      </c>
    </row>
    <row r="16" customFormat="false" ht="15" hidden="false" customHeight="false" outlineLevel="0" collapsed="false">
      <c r="A16" s="0" t="n">
        <f aca="false">RANK(E16,E$2:E$139)</f>
        <v>90</v>
      </c>
      <c r="B16" s="0" t="s">
        <v>20</v>
      </c>
      <c r="C16" s="0" t="n">
        <f aca="false">VLOOKUP(B16,'Team Data'!$A$2:$V$140,2,FALSE())</f>
        <v>1</v>
      </c>
      <c r="D16" s="0" t="n">
        <f aca="false">VLOOKUP(B16,'Team Data'!$A$2:$V$140,3,FALSE())</f>
        <v>1</v>
      </c>
      <c r="E16" s="2" t="n">
        <f aca="false">VLOOKUP(B16,'Team Data'!$A$2:$V$140,22,FALSE())</f>
        <v>18.4791562133026</v>
      </c>
      <c r="F16" s="2" t="n">
        <f aca="false">IFERROR(E16/(C16+D16),0)</f>
        <v>9.2395781066513</v>
      </c>
    </row>
    <row r="17" customFormat="false" ht="15" hidden="false" customHeight="false" outlineLevel="0" collapsed="false">
      <c r="A17" s="0" t="n">
        <f aca="false">RANK(E17,E$2:E$139)</f>
        <v>137</v>
      </c>
      <c r="B17" s="0" t="s">
        <v>21</v>
      </c>
      <c r="C17" s="0" t="n">
        <f aca="false">VLOOKUP(B17,'Team Data'!$A$2:$V$140,2,FALSE())</f>
        <v>0</v>
      </c>
      <c r="D17" s="0" t="n">
        <f aca="false">VLOOKUP(B17,'Team Data'!$A$2:$V$140,3,FALSE())</f>
        <v>2</v>
      </c>
      <c r="E17" s="2" t="n">
        <f aca="false">VLOOKUP(B17,'Team Data'!$A$2:$V$140,22,FALSE())</f>
        <v>-24.0948997236949</v>
      </c>
      <c r="F17" s="2" t="n">
        <f aca="false">IFERROR(E17/(C17+D17),0)</f>
        <v>-12.0474498618474</v>
      </c>
    </row>
    <row r="18" customFormat="false" ht="15" hidden="false" customHeight="false" outlineLevel="0" collapsed="false">
      <c r="A18" s="0" t="n">
        <f aca="false">RANK(E18,E$2:E$139)</f>
        <v>124</v>
      </c>
      <c r="B18" s="0" t="s">
        <v>22</v>
      </c>
      <c r="C18" s="0" t="n">
        <f aca="false">VLOOKUP(B18,'Team Data'!$A$2:$V$140,2,FALSE())</f>
        <v>1</v>
      </c>
      <c r="D18" s="0" t="n">
        <f aca="false">VLOOKUP(B18,'Team Data'!$A$2:$V$140,3,FALSE())</f>
        <v>1</v>
      </c>
      <c r="E18" s="2" t="n">
        <f aca="false">VLOOKUP(B18,'Team Data'!$A$2:$V$140,22,FALSE())</f>
        <v>3.3846453044527</v>
      </c>
      <c r="F18" s="2" t="n">
        <f aca="false">IFERROR(E18/(C18+D18),0)</f>
        <v>1.69232265222635</v>
      </c>
    </row>
    <row r="19" customFormat="false" ht="15" hidden="false" customHeight="false" outlineLevel="0" collapsed="false">
      <c r="A19" s="0" t="n">
        <f aca="false">RANK(E19,E$2:E$139)</f>
        <v>99</v>
      </c>
      <c r="B19" s="0" t="s">
        <v>23</v>
      </c>
      <c r="C19" s="0" t="n">
        <f aca="false">VLOOKUP(B19,'Team Data'!$A$2:$V$140,2,FALSE())</f>
        <v>1</v>
      </c>
      <c r="D19" s="0" t="n">
        <f aca="false">VLOOKUP(B19,'Team Data'!$A$2:$V$140,3,FALSE())</f>
        <v>1</v>
      </c>
      <c r="E19" s="2" t="n">
        <f aca="false">VLOOKUP(B19,'Team Data'!$A$2:$V$140,22,FALSE())</f>
        <v>15.966635119662</v>
      </c>
      <c r="F19" s="2" t="n">
        <f aca="false">IFERROR(E19/(C19+D19),0)</f>
        <v>7.98331755983099</v>
      </c>
    </row>
    <row r="20" customFormat="false" ht="15" hidden="false" customHeight="false" outlineLevel="0" collapsed="false">
      <c r="A20" s="0" t="n">
        <f aca="false">RANK(E20,E$2:E$139)</f>
        <v>123</v>
      </c>
      <c r="B20" s="0" t="s">
        <v>24</v>
      </c>
      <c r="C20" s="0" t="n">
        <f aca="false">VLOOKUP(B20,'Team Data'!$A$2:$V$140,2,FALSE())</f>
        <v>1</v>
      </c>
      <c r="D20" s="0" t="n">
        <f aca="false">VLOOKUP(B20,'Team Data'!$A$2:$V$140,3,FALSE())</f>
        <v>1</v>
      </c>
      <c r="E20" s="2" t="n">
        <f aca="false">VLOOKUP(B20,'Team Data'!$A$2:$V$140,22,FALSE())</f>
        <v>3.58489543964839</v>
      </c>
      <c r="F20" s="2" t="n">
        <f aca="false">IFERROR(E20/(C20+D20),0)</f>
        <v>1.79244771982419</v>
      </c>
    </row>
    <row r="21" customFormat="false" ht="15" hidden="false" customHeight="false" outlineLevel="0" collapsed="false">
      <c r="A21" s="0" t="n">
        <f aca="false">RANK(E21,E$2:E$139)</f>
        <v>132</v>
      </c>
      <c r="B21" s="0" t="s">
        <v>25</v>
      </c>
      <c r="C21" s="0" t="n">
        <f aca="false">VLOOKUP(B21,'Team Data'!$A$2:$V$140,2,FALSE())</f>
        <v>0</v>
      </c>
      <c r="D21" s="0" t="n">
        <f aca="false">VLOOKUP(B21,'Team Data'!$A$2:$V$140,3,FALSE())</f>
        <v>2</v>
      </c>
      <c r="E21" s="2" t="n">
        <f aca="false">VLOOKUP(B21,'Team Data'!$A$2:$V$140,22,FALSE())</f>
        <v>-2.89376444095258</v>
      </c>
      <c r="F21" s="2" t="n">
        <f aca="false">IFERROR(E21/(C21+D21),0)</f>
        <v>-1.44688222047629</v>
      </c>
    </row>
    <row r="22" customFormat="false" ht="15" hidden="false" customHeight="false" outlineLevel="0" collapsed="false">
      <c r="A22" s="0" t="n">
        <f aca="false">RANK(E22,E$2:E$139)</f>
        <v>16</v>
      </c>
      <c r="B22" s="0" t="s">
        <v>26</v>
      </c>
      <c r="C22" s="0" t="n">
        <f aca="false">VLOOKUP(B22,'Team Data'!$A$2:$V$140,2,FALSE())</f>
        <v>2</v>
      </c>
      <c r="D22" s="0" t="n">
        <f aca="false">VLOOKUP(B22,'Team Data'!$A$2:$V$140,3,FALSE())</f>
        <v>0</v>
      </c>
      <c r="E22" s="2" t="n">
        <f aca="false">VLOOKUP(B22,'Team Data'!$A$2:$V$140,22,FALSE())</f>
        <v>51.48804822066</v>
      </c>
      <c r="F22" s="2" t="n">
        <f aca="false">IFERROR(E22/(C22+D22),0)</f>
        <v>25.74402411033</v>
      </c>
    </row>
    <row r="23" customFormat="false" ht="15" hidden="false" customHeight="false" outlineLevel="0" collapsed="false">
      <c r="A23" s="0" t="n">
        <f aca="false">RANK(E23,E$2:E$139)</f>
        <v>118</v>
      </c>
      <c r="B23" s="0" t="s">
        <v>27</v>
      </c>
      <c r="C23" s="0" t="n">
        <f aca="false">VLOOKUP(B23,'Team Data'!$A$2:$V$140,2,FALSE())</f>
        <v>1</v>
      </c>
      <c r="D23" s="0" t="n">
        <f aca="false">VLOOKUP(B23,'Team Data'!$A$2:$V$140,3,FALSE())</f>
        <v>1</v>
      </c>
      <c r="E23" s="2" t="n">
        <f aca="false">VLOOKUP(B23,'Team Data'!$A$2:$V$140,22,FALSE())</f>
        <v>7.02768864879535</v>
      </c>
      <c r="F23" s="2" t="n">
        <f aca="false">IFERROR(E23/(C23+D23),0)</f>
        <v>3.51384432439767</v>
      </c>
    </row>
    <row r="24" customFormat="false" ht="15" hidden="false" customHeight="false" outlineLevel="0" collapsed="false">
      <c r="A24" s="0" t="n">
        <f aca="false">RANK(E24,E$2:E$139)</f>
        <v>69</v>
      </c>
      <c r="B24" s="0" t="s">
        <v>28</v>
      </c>
      <c r="C24" s="0" t="n">
        <f aca="false">VLOOKUP(B24,'Team Data'!$A$2:$V$140,2,FALSE())</f>
        <v>1</v>
      </c>
      <c r="D24" s="0" t="n">
        <f aca="false">VLOOKUP(B24,'Team Data'!$A$2:$V$140,3,FALSE())</f>
        <v>1</v>
      </c>
      <c r="E24" s="2" t="n">
        <f aca="false">VLOOKUP(B24,'Team Data'!$A$2:$V$140,22,FALSE())</f>
        <v>25.8290476884222</v>
      </c>
      <c r="F24" s="2" t="n">
        <f aca="false">IFERROR(E24/(C24+D24),0)</f>
        <v>12.9145238442111</v>
      </c>
    </row>
    <row r="25" customFormat="false" ht="15" hidden="false" customHeight="false" outlineLevel="0" collapsed="false">
      <c r="A25" s="0" t="n">
        <f aca="false">RANK(E25,E$2:E$139)</f>
        <v>42</v>
      </c>
      <c r="B25" s="0" t="s">
        <v>29</v>
      </c>
      <c r="C25" s="0" t="n">
        <f aca="false">VLOOKUP(B25,'Team Data'!$A$2:$V$140,2,FALSE())</f>
        <v>2</v>
      </c>
      <c r="D25" s="0" t="n">
        <f aca="false">VLOOKUP(B25,'Team Data'!$A$2:$V$140,3,FALSE())</f>
        <v>0</v>
      </c>
      <c r="E25" s="2" t="n">
        <f aca="false">VLOOKUP(B25,'Team Data'!$A$2:$V$140,22,FALSE())</f>
        <v>36.7924899923293</v>
      </c>
      <c r="F25" s="2" t="n">
        <f aca="false">IFERROR(E25/(C25+D25),0)</f>
        <v>18.3962449961647</v>
      </c>
    </row>
    <row r="26" customFormat="false" ht="15" hidden="false" customHeight="false" outlineLevel="0" collapsed="false">
      <c r="A26" s="0" t="n">
        <f aca="false">RANK(E26,E$2:E$139)</f>
        <v>26</v>
      </c>
      <c r="B26" s="0" t="s">
        <v>30</v>
      </c>
      <c r="C26" s="0" t="n">
        <f aca="false">VLOOKUP(B26,'Team Data'!$A$2:$V$140,2,FALSE())</f>
        <v>2</v>
      </c>
      <c r="D26" s="0" t="n">
        <f aca="false">VLOOKUP(B26,'Team Data'!$A$2:$V$140,3,FALSE())</f>
        <v>0</v>
      </c>
      <c r="E26" s="2" t="n">
        <f aca="false">VLOOKUP(B26,'Team Data'!$A$2:$V$140,22,FALSE())</f>
        <v>47.9030404812919</v>
      </c>
      <c r="F26" s="2" t="n">
        <f aca="false">IFERROR(E26/(C26+D26),0)</f>
        <v>23.951520240646</v>
      </c>
    </row>
    <row r="27" customFormat="false" ht="15" hidden="false" customHeight="false" outlineLevel="0" collapsed="false">
      <c r="A27" s="0" t="n">
        <f aca="false">RANK(E27,E$2:E$139)</f>
        <v>75</v>
      </c>
      <c r="B27" s="0" t="s">
        <v>31</v>
      </c>
      <c r="C27" s="0" t="n">
        <f aca="false">VLOOKUP(B27,'Team Data'!$A$2:$V$140,2,FALSE())</f>
        <v>1</v>
      </c>
      <c r="D27" s="0" t="n">
        <f aca="false">VLOOKUP(B27,'Team Data'!$A$2:$V$140,3,FALSE())</f>
        <v>1</v>
      </c>
      <c r="E27" s="2" t="n">
        <f aca="false">VLOOKUP(B27,'Team Data'!$A$2:$V$140,22,FALSE())</f>
        <v>23.5299948094892</v>
      </c>
      <c r="F27" s="2" t="n">
        <f aca="false">IFERROR(E27/(C27+D27),0)</f>
        <v>11.7649974047446</v>
      </c>
    </row>
    <row r="28" customFormat="false" ht="15" hidden="false" customHeight="false" outlineLevel="0" collapsed="false">
      <c r="A28" s="0" t="n">
        <f aca="false">RANK(E28,E$2:E$139)</f>
        <v>20</v>
      </c>
      <c r="B28" s="0" t="s">
        <v>32</v>
      </c>
      <c r="C28" s="0" t="n">
        <f aca="false">VLOOKUP(B28,'Team Data'!$A$2:$V$140,2,FALSE())</f>
        <v>2</v>
      </c>
      <c r="D28" s="0" t="n">
        <f aca="false">VLOOKUP(B28,'Team Data'!$A$2:$V$140,3,FALSE())</f>
        <v>0</v>
      </c>
      <c r="E28" s="2" t="n">
        <f aca="false">VLOOKUP(B28,'Team Data'!$A$2:$V$140,22,FALSE())</f>
        <v>50.9279519306207</v>
      </c>
      <c r="F28" s="2" t="n">
        <f aca="false">IFERROR(E28/(C28+D28),0)</f>
        <v>25.4639759653104</v>
      </c>
    </row>
    <row r="29" customFormat="false" ht="15" hidden="false" customHeight="false" outlineLevel="0" collapsed="false">
      <c r="A29" s="0" t="n">
        <f aca="false">RANK(E29,E$2:E$139)</f>
        <v>125</v>
      </c>
      <c r="B29" s="0" t="s">
        <v>33</v>
      </c>
      <c r="C29" s="0" t="n">
        <f aca="false">VLOOKUP(B29,'Team Data'!$A$2:$V$140,2,FALSE())</f>
        <v>0</v>
      </c>
      <c r="D29" s="0" t="n">
        <f aca="false">VLOOKUP(B29,'Team Data'!$A$2:$V$140,3,FALSE())</f>
        <v>2</v>
      </c>
      <c r="E29" s="2" t="n">
        <f aca="false">VLOOKUP(B29,'Team Data'!$A$2:$V$140,22,FALSE())</f>
        <v>1.75181738433183</v>
      </c>
      <c r="F29" s="2" t="n">
        <f aca="false">IFERROR(E29/(C29+D29),0)</f>
        <v>0.875908692165915</v>
      </c>
    </row>
    <row r="30" customFormat="false" ht="15" hidden="false" customHeight="false" outlineLevel="0" collapsed="false">
      <c r="A30" s="0" t="n">
        <f aca="false">RANK(E30,E$2:E$139)</f>
        <v>115</v>
      </c>
      <c r="B30" s="0" t="s">
        <v>34</v>
      </c>
      <c r="C30" s="0" t="n">
        <f aca="false">VLOOKUP(B30,'Team Data'!$A$2:$V$140,2,FALSE())</f>
        <v>1</v>
      </c>
      <c r="D30" s="0" t="n">
        <f aca="false">VLOOKUP(B30,'Team Data'!$A$2:$V$140,3,FALSE())</f>
        <v>2</v>
      </c>
      <c r="E30" s="2" t="n">
        <f aca="false">VLOOKUP(B30,'Team Data'!$A$2:$V$140,22,FALSE())</f>
        <v>8.53496187660372</v>
      </c>
      <c r="F30" s="2" t="n">
        <f aca="false">IFERROR(E30/(C30+D30),0)</f>
        <v>2.84498729220124</v>
      </c>
    </row>
    <row r="31" customFormat="false" ht="15" hidden="false" customHeight="false" outlineLevel="0" collapsed="false">
      <c r="A31" s="0" t="n">
        <f aca="false">RANK(E31,E$2:E$139)</f>
        <v>41</v>
      </c>
      <c r="B31" s="0" t="s">
        <v>35</v>
      </c>
      <c r="C31" s="0" t="n">
        <f aca="false">VLOOKUP(B31,'Team Data'!$A$2:$V$140,2,FALSE())</f>
        <v>1</v>
      </c>
      <c r="D31" s="0" t="n">
        <f aca="false">VLOOKUP(B31,'Team Data'!$A$2:$V$140,3,FALSE())</f>
        <v>1</v>
      </c>
      <c r="E31" s="2" t="n">
        <f aca="false">VLOOKUP(B31,'Team Data'!$A$2:$V$140,22,FALSE())</f>
        <v>38.8276611636749</v>
      </c>
      <c r="F31" s="2" t="n">
        <f aca="false">IFERROR(E31/(C31+D31),0)</f>
        <v>19.4138305818375</v>
      </c>
    </row>
    <row r="32" customFormat="false" ht="15" hidden="false" customHeight="false" outlineLevel="0" collapsed="false">
      <c r="A32" s="0" t="n">
        <f aca="false">RANK(E32,E$2:E$139)</f>
        <v>4</v>
      </c>
      <c r="B32" s="0" t="s">
        <v>36</v>
      </c>
      <c r="C32" s="0" t="n">
        <f aca="false">VLOOKUP(B32,'Team Data'!$A$2:$V$140,2,FALSE())</f>
        <v>2</v>
      </c>
      <c r="D32" s="0" t="n">
        <f aca="false">VLOOKUP(B32,'Team Data'!$A$2:$V$140,3,FALSE())</f>
        <v>0</v>
      </c>
      <c r="E32" s="2" t="n">
        <f aca="false">VLOOKUP(B32,'Team Data'!$A$2:$V$140,22,FALSE())</f>
        <v>62.8016455502251</v>
      </c>
      <c r="F32" s="2" t="n">
        <f aca="false">IFERROR(E32/(C32+D32),0)</f>
        <v>31.4008227751126</v>
      </c>
    </row>
    <row r="33" customFormat="false" ht="15" hidden="false" customHeight="false" outlineLevel="0" collapsed="false">
      <c r="A33" s="0" t="n">
        <f aca="false">RANK(E33,E$2:E$139)</f>
        <v>105</v>
      </c>
      <c r="B33" s="0" t="s">
        <v>37</v>
      </c>
      <c r="C33" s="0" t="n">
        <f aca="false">VLOOKUP(B33,'Team Data'!$A$2:$V$140,2,FALSE())</f>
        <v>1</v>
      </c>
      <c r="D33" s="0" t="n">
        <f aca="false">VLOOKUP(B33,'Team Data'!$A$2:$V$140,3,FALSE())</f>
        <v>1</v>
      </c>
      <c r="E33" s="2" t="n">
        <f aca="false">VLOOKUP(B33,'Team Data'!$A$2:$V$140,22,FALSE())</f>
        <v>13.3602361265229</v>
      </c>
      <c r="F33" s="2" t="n">
        <f aca="false">IFERROR(E33/(C33+D33),0)</f>
        <v>6.68011806326144</v>
      </c>
    </row>
    <row r="34" customFormat="false" ht="15" hidden="false" customHeight="false" outlineLevel="0" collapsed="false">
      <c r="A34" s="0" t="n">
        <f aca="false">RANK(E34,E$2:E$139)</f>
        <v>87</v>
      </c>
      <c r="B34" s="0" t="s">
        <v>38</v>
      </c>
      <c r="C34" s="0" t="n">
        <f aca="false">VLOOKUP(B34,'Team Data'!$A$2:$V$140,2,FALSE())</f>
        <v>1</v>
      </c>
      <c r="D34" s="0" t="n">
        <f aca="false">VLOOKUP(B34,'Team Data'!$A$2:$V$140,3,FALSE())</f>
        <v>1</v>
      </c>
      <c r="E34" s="2" t="n">
        <f aca="false">VLOOKUP(B34,'Team Data'!$A$2:$V$140,22,FALSE())</f>
        <v>18.9551375524943</v>
      </c>
      <c r="F34" s="2" t="n">
        <f aca="false">IFERROR(E34/(C34+D34),0)</f>
        <v>9.47756877624714</v>
      </c>
    </row>
    <row r="35" customFormat="false" ht="15" hidden="false" customHeight="false" outlineLevel="0" collapsed="false">
      <c r="A35" s="0" t="n">
        <f aca="false">RANK(E35,E$2:E$139)</f>
        <v>91</v>
      </c>
      <c r="B35" s="0" t="s">
        <v>39</v>
      </c>
      <c r="C35" s="0" t="n">
        <f aca="false">VLOOKUP(B35,'Team Data'!$A$2:$V$140,2,FALSE())</f>
        <v>1</v>
      </c>
      <c r="D35" s="0" t="n">
        <f aca="false">VLOOKUP(B35,'Team Data'!$A$2:$V$140,3,FALSE())</f>
        <v>1</v>
      </c>
      <c r="E35" s="2" t="n">
        <f aca="false">VLOOKUP(B35,'Team Data'!$A$2:$V$140,22,FALSE())</f>
        <v>17.9184687749824</v>
      </c>
      <c r="F35" s="2" t="n">
        <f aca="false">IFERROR(E35/(C35+D35),0)</f>
        <v>8.95923438749122</v>
      </c>
    </row>
    <row r="36" customFormat="false" ht="15" hidden="false" customHeight="false" outlineLevel="0" collapsed="false">
      <c r="A36" s="0" t="n">
        <f aca="false">RANK(E36,E$2:E$139)</f>
        <v>7</v>
      </c>
      <c r="B36" s="0" t="s">
        <v>40</v>
      </c>
      <c r="C36" s="0" t="n">
        <f aca="false">VLOOKUP(B36,'Team Data'!$A$2:$V$140,2,FALSE())</f>
        <v>2</v>
      </c>
      <c r="D36" s="0" t="n">
        <f aca="false">VLOOKUP(B36,'Team Data'!$A$2:$V$140,3,FALSE())</f>
        <v>0</v>
      </c>
      <c r="E36" s="2" t="n">
        <f aca="false">VLOOKUP(B36,'Team Data'!$A$2:$V$140,22,FALSE())</f>
        <v>60.7828245661362</v>
      </c>
      <c r="F36" s="2" t="n">
        <f aca="false">IFERROR(E36/(C36+D36),0)</f>
        <v>30.3914122830681</v>
      </c>
    </row>
    <row r="37" customFormat="false" ht="15" hidden="false" customHeight="false" outlineLevel="0" collapsed="false">
      <c r="A37" s="0" t="n">
        <f aca="false">RANK(E37,E$2:E$139)</f>
        <v>64</v>
      </c>
      <c r="B37" s="0" t="s">
        <v>41</v>
      </c>
      <c r="C37" s="0" t="n">
        <f aca="false">VLOOKUP(B37,'Team Data'!$A$2:$V$140,2,FALSE())</f>
        <v>1</v>
      </c>
      <c r="D37" s="0" t="n">
        <f aca="false">VLOOKUP(B37,'Team Data'!$A$2:$V$140,3,FALSE())</f>
        <v>1</v>
      </c>
      <c r="E37" s="2" t="n">
        <f aca="false">VLOOKUP(B37,'Team Data'!$A$2:$V$140,22,FALSE())</f>
        <v>27.4155001079078</v>
      </c>
      <c r="F37" s="2" t="n">
        <f aca="false">IFERROR(E37/(C37+D37),0)</f>
        <v>13.7077500539539</v>
      </c>
    </row>
    <row r="38" customFormat="false" ht="15" hidden="false" customHeight="false" outlineLevel="0" collapsed="false">
      <c r="A38" s="0" t="n">
        <f aca="false">RANK(E38,E$2:E$139)</f>
        <v>34</v>
      </c>
      <c r="B38" s="0" t="s">
        <v>42</v>
      </c>
      <c r="C38" s="0" t="n">
        <f aca="false">VLOOKUP(B38,'Team Data'!$A$2:$V$140,2,FALSE())</f>
        <v>2</v>
      </c>
      <c r="D38" s="0" t="n">
        <f aca="false">VLOOKUP(B38,'Team Data'!$A$2:$V$140,3,FALSE())</f>
        <v>0</v>
      </c>
      <c r="E38" s="2" t="n">
        <f aca="false">VLOOKUP(B38,'Team Data'!$A$2:$V$140,22,FALSE())</f>
        <v>44.2094799185414</v>
      </c>
      <c r="F38" s="2" t="n">
        <f aca="false">IFERROR(E38/(C38+D38),0)</f>
        <v>22.1047399592707</v>
      </c>
    </row>
    <row r="39" customFormat="false" ht="15" hidden="false" customHeight="false" outlineLevel="0" collapsed="false">
      <c r="A39" s="0" t="n">
        <f aca="false">RANK(E39,E$2:E$139)</f>
        <v>114</v>
      </c>
      <c r="B39" s="0" t="s">
        <v>43</v>
      </c>
      <c r="C39" s="0" t="n">
        <f aca="false">VLOOKUP(B39,'Team Data'!$A$2:$V$140,2,FALSE())</f>
        <v>0</v>
      </c>
      <c r="D39" s="0" t="n">
        <f aca="false">VLOOKUP(B39,'Team Data'!$A$2:$V$140,3,FALSE())</f>
        <v>2</v>
      </c>
      <c r="E39" s="2" t="n">
        <f aca="false">VLOOKUP(B39,'Team Data'!$A$2:$V$140,22,FALSE())</f>
        <v>8.67143455047602</v>
      </c>
      <c r="F39" s="2" t="n">
        <f aca="false">IFERROR(E39/(C39+D39),0)</f>
        <v>4.33571727523801</v>
      </c>
    </row>
    <row r="40" customFormat="false" ht="15" hidden="false" customHeight="false" outlineLevel="0" collapsed="false">
      <c r="A40" s="0" t="n">
        <f aca="false">RANK(E40,E$2:E$139)</f>
        <v>128</v>
      </c>
      <c r="B40" s="0" t="s">
        <v>44</v>
      </c>
      <c r="C40" s="0" t="n">
        <f aca="false">VLOOKUP(B40,'Team Data'!$A$2:$V$140,2,FALSE())</f>
        <v>1</v>
      </c>
      <c r="D40" s="0" t="n">
        <f aca="false">VLOOKUP(B40,'Team Data'!$A$2:$V$140,3,FALSE())</f>
        <v>2</v>
      </c>
      <c r="E40" s="2" t="n">
        <f aca="false">VLOOKUP(B40,'Team Data'!$A$2:$V$140,22,FALSE())</f>
        <v>0.044244868729037</v>
      </c>
      <c r="F40" s="2" t="n">
        <f aca="false">IFERROR(E40/(C40+D40),0)</f>
        <v>0.0147482895763457</v>
      </c>
    </row>
    <row r="41" customFormat="false" ht="15" hidden="false" customHeight="false" outlineLevel="0" collapsed="false">
      <c r="A41" s="0" t="n">
        <f aca="false">RANK(E41,E$2:E$139)</f>
        <v>17</v>
      </c>
      <c r="B41" s="0" t="s">
        <v>45</v>
      </c>
      <c r="C41" s="0" t="n">
        <f aca="false">VLOOKUP(B41,'Team Data'!$A$2:$V$140,2,FALSE())</f>
        <v>2</v>
      </c>
      <c r="D41" s="0" t="n">
        <f aca="false">VLOOKUP(B41,'Team Data'!$A$2:$V$140,3,FALSE())</f>
        <v>0</v>
      </c>
      <c r="E41" s="2" t="n">
        <f aca="false">VLOOKUP(B41,'Team Data'!$A$2:$V$140,22,FALSE())</f>
        <v>51.4741262976608</v>
      </c>
      <c r="F41" s="2" t="n">
        <f aca="false">IFERROR(E41/(C41+D41),0)</f>
        <v>25.7370631488304</v>
      </c>
    </row>
    <row r="42" customFormat="false" ht="15" hidden="false" customHeight="false" outlineLevel="0" collapsed="false">
      <c r="A42" s="0" t="n">
        <f aca="false">RANK(E42,E$2:E$139)</f>
        <v>65</v>
      </c>
      <c r="B42" s="0" t="s">
        <v>46</v>
      </c>
      <c r="C42" s="0" t="n">
        <f aca="false">VLOOKUP(B42,'Team Data'!$A$2:$V$140,2,FALSE())</f>
        <v>1</v>
      </c>
      <c r="D42" s="0" t="n">
        <f aca="false">VLOOKUP(B42,'Team Data'!$A$2:$V$140,3,FALSE())</f>
        <v>1</v>
      </c>
      <c r="E42" s="2" t="n">
        <f aca="false">VLOOKUP(B42,'Team Data'!$A$2:$V$140,22,FALSE())</f>
        <v>27.2069136633446</v>
      </c>
      <c r="F42" s="2" t="n">
        <f aca="false">IFERROR(E42/(C42+D42),0)</f>
        <v>13.6034568316723</v>
      </c>
    </row>
    <row r="43" customFormat="false" ht="15" hidden="false" customHeight="false" outlineLevel="0" collapsed="false">
      <c r="A43" s="0" t="n">
        <f aca="false">RANK(E43,E$2:E$139)</f>
        <v>11</v>
      </c>
      <c r="B43" s="0" t="s">
        <v>47</v>
      </c>
      <c r="C43" s="0" t="n">
        <f aca="false">VLOOKUP(B43,'Team Data'!$A$2:$V$140,2,FALSE())</f>
        <v>2</v>
      </c>
      <c r="D43" s="0" t="n">
        <f aca="false">VLOOKUP(B43,'Team Data'!$A$2:$V$140,3,FALSE())</f>
        <v>0</v>
      </c>
      <c r="E43" s="2" t="n">
        <f aca="false">VLOOKUP(B43,'Team Data'!$A$2:$V$140,22,FALSE())</f>
        <v>56.7519356084495</v>
      </c>
      <c r="F43" s="2" t="n">
        <f aca="false">IFERROR(E43/(C43+D43),0)</f>
        <v>28.3759678042247</v>
      </c>
    </row>
    <row r="44" customFormat="false" ht="15" hidden="false" customHeight="false" outlineLevel="0" collapsed="false">
      <c r="A44" s="0" t="n">
        <f aca="false">RANK(E44,E$2:E$139)</f>
        <v>36</v>
      </c>
      <c r="B44" s="0" t="s">
        <v>48</v>
      </c>
      <c r="C44" s="0" t="n">
        <f aca="false">VLOOKUP(B44,'Team Data'!$A$2:$V$140,2,FALSE())</f>
        <v>2</v>
      </c>
      <c r="D44" s="0" t="n">
        <f aca="false">VLOOKUP(B44,'Team Data'!$A$2:$V$140,3,FALSE())</f>
        <v>0</v>
      </c>
      <c r="E44" s="2" t="n">
        <f aca="false">VLOOKUP(B44,'Team Data'!$A$2:$V$140,22,FALSE())</f>
        <v>42.959204083163</v>
      </c>
      <c r="F44" s="2" t="n">
        <f aca="false">IFERROR(E44/(C44+D44),0)</f>
        <v>21.4796020415815</v>
      </c>
    </row>
    <row r="45" customFormat="false" ht="15" hidden="false" customHeight="false" outlineLevel="0" collapsed="false">
      <c r="A45" s="0" t="n">
        <f aca="false">RANK(E45,E$2:E$139)</f>
        <v>82</v>
      </c>
      <c r="B45" s="0" t="s">
        <v>49</v>
      </c>
      <c r="C45" s="0" t="n">
        <f aca="false">VLOOKUP(B45,'Team Data'!$A$2:$V$140,2,FALSE())</f>
        <v>1</v>
      </c>
      <c r="D45" s="0" t="n">
        <f aca="false">VLOOKUP(B45,'Team Data'!$A$2:$V$140,3,FALSE())</f>
        <v>1</v>
      </c>
      <c r="E45" s="2" t="n">
        <f aca="false">VLOOKUP(B45,'Team Data'!$A$2:$V$140,22,FALSE())</f>
        <v>20.5672521387654</v>
      </c>
      <c r="F45" s="2" t="n">
        <f aca="false">IFERROR(E45/(C45+D45),0)</f>
        <v>10.2836260693827</v>
      </c>
    </row>
    <row r="46" customFormat="false" ht="15" hidden="false" customHeight="false" outlineLevel="0" collapsed="false">
      <c r="A46" s="0" t="n">
        <f aca="false">RANK(E46,E$2:E$139)</f>
        <v>108</v>
      </c>
      <c r="B46" s="0" t="s">
        <v>50</v>
      </c>
      <c r="C46" s="0" t="n">
        <f aca="false">VLOOKUP(B46,'Team Data'!$A$2:$V$140,2,FALSE())</f>
        <v>1</v>
      </c>
      <c r="D46" s="0" t="n">
        <f aca="false">VLOOKUP(B46,'Team Data'!$A$2:$V$140,3,FALSE())</f>
        <v>2</v>
      </c>
      <c r="E46" s="2" t="n">
        <f aca="false">VLOOKUP(B46,'Team Data'!$A$2:$V$140,22,FALSE())</f>
        <v>11.4947385547989</v>
      </c>
      <c r="F46" s="2" t="n">
        <f aca="false">IFERROR(E46/(C46+D46),0)</f>
        <v>3.83157951826631</v>
      </c>
    </row>
    <row r="47" customFormat="false" ht="15" hidden="false" customHeight="false" outlineLevel="0" collapsed="false">
      <c r="A47" s="0" t="n">
        <f aca="false">RANK(E47,E$2:E$139)</f>
        <v>38</v>
      </c>
      <c r="B47" s="0" t="s">
        <v>51</v>
      </c>
      <c r="C47" s="0" t="n">
        <f aca="false">VLOOKUP(B47,'Team Data'!$A$2:$V$140,2,FALSE())</f>
        <v>2</v>
      </c>
      <c r="D47" s="0" t="n">
        <f aca="false">VLOOKUP(B47,'Team Data'!$A$2:$V$140,3,FALSE())</f>
        <v>0</v>
      </c>
      <c r="E47" s="2" t="n">
        <f aca="false">VLOOKUP(B47,'Team Data'!$A$2:$V$140,22,FALSE())</f>
        <v>41.0448920775278</v>
      </c>
      <c r="F47" s="2" t="n">
        <f aca="false">IFERROR(E47/(C47+D47),0)</f>
        <v>20.5224460387639</v>
      </c>
    </row>
    <row r="48" customFormat="false" ht="15" hidden="false" customHeight="false" outlineLevel="0" collapsed="false">
      <c r="A48" s="0" t="n">
        <f aca="false">RANK(E48,E$2:E$139)</f>
        <v>86</v>
      </c>
      <c r="B48" s="0" t="s">
        <v>52</v>
      </c>
      <c r="C48" s="0" t="n">
        <f aca="false">VLOOKUP(B48,'Team Data'!$A$2:$V$140,2,FALSE())</f>
        <v>1</v>
      </c>
      <c r="D48" s="0" t="n">
        <f aca="false">VLOOKUP(B48,'Team Data'!$A$2:$V$140,3,FALSE())</f>
        <v>1</v>
      </c>
      <c r="E48" s="2" t="n">
        <f aca="false">VLOOKUP(B48,'Team Data'!$A$2:$V$140,22,FALSE())</f>
        <v>19.017720497821</v>
      </c>
      <c r="F48" s="2" t="n">
        <f aca="false">IFERROR(E48/(C48+D48),0)</f>
        <v>9.50886024891048</v>
      </c>
    </row>
    <row r="49" customFormat="false" ht="15" hidden="false" customHeight="false" outlineLevel="0" collapsed="false">
      <c r="A49" s="0" t="n">
        <f aca="false">RANK(E49,E$2:E$139)</f>
        <v>12</v>
      </c>
      <c r="B49" s="0" t="s">
        <v>53</v>
      </c>
      <c r="C49" s="0" t="n">
        <f aca="false">VLOOKUP(B49,'Team Data'!$A$2:$V$140,2,FALSE())</f>
        <v>2</v>
      </c>
      <c r="D49" s="0" t="n">
        <f aca="false">VLOOKUP(B49,'Team Data'!$A$2:$V$140,3,FALSE())</f>
        <v>0</v>
      </c>
      <c r="E49" s="2" t="n">
        <f aca="false">VLOOKUP(B49,'Team Data'!$A$2:$V$140,22,FALSE())</f>
        <v>55.7264216505735</v>
      </c>
      <c r="F49" s="2" t="n">
        <f aca="false">IFERROR(E49/(C49+D49),0)</f>
        <v>27.8632108252867</v>
      </c>
    </row>
    <row r="50" customFormat="false" ht="15" hidden="false" customHeight="false" outlineLevel="0" collapsed="false">
      <c r="A50" s="0" t="n">
        <f aca="false">RANK(E50,E$2:E$139)</f>
        <v>81</v>
      </c>
      <c r="B50" s="0" t="s">
        <v>54</v>
      </c>
      <c r="C50" s="0" t="n">
        <f aca="false">VLOOKUP(B50,'Team Data'!$A$2:$V$140,2,FALSE())</f>
        <v>1</v>
      </c>
      <c r="D50" s="0" t="n">
        <f aca="false">VLOOKUP(B50,'Team Data'!$A$2:$V$140,3,FALSE())</f>
        <v>1</v>
      </c>
      <c r="E50" s="2" t="n">
        <f aca="false">VLOOKUP(B50,'Team Data'!$A$2:$V$140,22,FALSE())</f>
        <v>20.8510829678292</v>
      </c>
      <c r="F50" s="2" t="n">
        <f aca="false">IFERROR(E50/(C50+D50),0)</f>
        <v>10.4255414839146</v>
      </c>
    </row>
    <row r="51" customFormat="false" ht="15" hidden="false" customHeight="false" outlineLevel="0" collapsed="false">
      <c r="A51" s="0" t="n">
        <f aca="false">RANK(E51,E$2:E$139)</f>
        <v>127</v>
      </c>
      <c r="B51" s="0" t="s">
        <v>55</v>
      </c>
      <c r="C51" s="0" t="n">
        <f aca="false">VLOOKUP(B51,'Team Data'!$A$2:$V$140,2,FALSE())</f>
        <v>1</v>
      </c>
      <c r="D51" s="0" t="n">
        <f aca="false">VLOOKUP(B51,'Team Data'!$A$2:$V$140,3,FALSE())</f>
        <v>1</v>
      </c>
      <c r="E51" s="2" t="n">
        <f aca="false">VLOOKUP(B51,'Team Data'!$A$2:$V$140,22,FALSE())</f>
        <v>0.209914392676922</v>
      </c>
      <c r="F51" s="2" t="n">
        <f aca="false">IFERROR(E51/(C51+D51),0)</f>
        <v>0.104957196338461</v>
      </c>
    </row>
    <row r="52" customFormat="false" ht="15" hidden="false" customHeight="false" outlineLevel="0" collapsed="false">
      <c r="A52" s="0" t="n">
        <f aca="false">RANK(E52,E$2:E$139)</f>
        <v>95</v>
      </c>
      <c r="B52" s="0" t="s">
        <v>56</v>
      </c>
      <c r="C52" s="0" t="n">
        <f aca="false">VLOOKUP(B52,'Team Data'!$A$2:$V$140,2,FALSE())</f>
        <v>1</v>
      </c>
      <c r="D52" s="0" t="n">
        <f aca="false">VLOOKUP(B52,'Team Data'!$A$2:$V$140,3,FALSE())</f>
        <v>1</v>
      </c>
      <c r="E52" s="2" t="n">
        <f aca="false">VLOOKUP(B52,'Team Data'!$A$2:$V$140,22,FALSE())</f>
        <v>16.94674309529</v>
      </c>
      <c r="F52" s="2" t="n">
        <f aca="false">IFERROR(E52/(C52+D52),0)</f>
        <v>8.47337154764501</v>
      </c>
    </row>
    <row r="53" customFormat="false" ht="15" hidden="false" customHeight="false" outlineLevel="0" collapsed="false">
      <c r="A53" s="0" t="n">
        <f aca="false">RANK(E53,E$2:E$139)</f>
        <v>1</v>
      </c>
      <c r="B53" s="0" t="s">
        <v>57</v>
      </c>
      <c r="C53" s="0" t="n">
        <f aca="false">VLOOKUP(B53,'Team Data'!$A$2:$V$140,2,FALSE())</f>
        <v>2</v>
      </c>
      <c r="D53" s="0" t="n">
        <f aca="false">VLOOKUP(B53,'Team Data'!$A$2:$V$140,3,FALSE())</f>
        <v>0</v>
      </c>
      <c r="E53" s="2" t="n">
        <f aca="false">VLOOKUP(B53,'Team Data'!$A$2:$V$140,22,FALSE())</f>
        <v>78.3066892525309</v>
      </c>
      <c r="F53" s="2" t="n">
        <f aca="false">IFERROR(E53/(C53+D53),0)</f>
        <v>39.1533446262655</v>
      </c>
    </row>
    <row r="54" customFormat="false" ht="15" hidden="false" customHeight="false" outlineLevel="0" collapsed="false">
      <c r="A54" s="0" t="n">
        <f aca="false">RANK(E54,E$2:E$139)</f>
        <v>94</v>
      </c>
      <c r="B54" s="0" t="s">
        <v>58</v>
      </c>
      <c r="C54" s="0" t="n">
        <f aca="false">VLOOKUP(B54,'Team Data'!$A$2:$V$140,2,FALSE())</f>
        <v>1</v>
      </c>
      <c r="D54" s="0" t="n">
        <f aca="false">VLOOKUP(B54,'Team Data'!$A$2:$V$140,3,FALSE())</f>
        <v>1</v>
      </c>
      <c r="E54" s="2" t="n">
        <f aca="false">VLOOKUP(B54,'Team Data'!$A$2:$V$140,22,FALSE())</f>
        <v>17.0146887338815</v>
      </c>
      <c r="F54" s="2" t="n">
        <f aca="false">IFERROR(E54/(C54+D54),0)</f>
        <v>8.50734436694077</v>
      </c>
    </row>
    <row r="55" customFormat="false" ht="15" hidden="false" customHeight="false" outlineLevel="0" collapsed="false">
      <c r="A55" s="0" t="n">
        <f aca="false">RANK(E55,E$2:E$139)</f>
        <v>78</v>
      </c>
      <c r="B55" s="0" t="s">
        <v>59</v>
      </c>
      <c r="C55" s="0" t="n">
        <f aca="false">VLOOKUP(B55,'Team Data'!$A$2:$V$140,2,FALSE())</f>
        <v>1</v>
      </c>
      <c r="D55" s="0" t="n">
        <f aca="false">VLOOKUP(B55,'Team Data'!$A$2:$V$140,3,FALSE())</f>
        <v>1</v>
      </c>
      <c r="E55" s="2" t="n">
        <f aca="false">VLOOKUP(B55,'Team Data'!$A$2:$V$140,22,FALSE())</f>
        <v>22.550043328323</v>
      </c>
      <c r="F55" s="2" t="n">
        <f aca="false">IFERROR(E55/(C55+D55),0)</f>
        <v>11.2750216641615</v>
      </c>
    </row>
    <row r="56" customFormat="false" ht="15" hidden="false" customHeight="false" outlineLevel="0" collapsed="false">
      <c r="A56" s="0" t="n">
        <f aca="false">RANK(E56,E$2:E$139)</f>
        <v>97</v>
      </c>
      <c r="B56" s="0" t="s">
        <v>60</v>
      </c>
      <c r="C56" s="0" t="n">
        <f aca="false">VLOOKUP(B56,'Team Data'!$A$2:$V$140,2,FALSE())</f>
        <v>1</v>
      </c>
      <c r="D56" s="0" t="n">
        <f aca="false">VLOOKUP(B56,'Team Data'!$A$2:$V$140,3,FALSE())</f>
        <v>1</v>
      </c>
      <c r="E56" s="2" t="n">
        <f aca="false">VLOOKUP(B56,'Team Data'!$A$2:$V$140,22,FALSE())</f>
        <v>16.7603166418635</v>
      </c>
      <c r="F56" s="2" t="n">
        <f aca="false">IFERROR(E56/(C56+D56),0)</f>
        <v>8.38015832093175</v>
      </c>
    </row>
    <row r="57" customFormat="false" ht="15" hidden="false" customHeight="false" outlineLevel="0" collapsed="false">
      <c r="A57" s="0" t="n">
        <f aca="false">RANK(E57,E$2:E$139)</f>
        <v>135</v>
      </c>
      <c r="B57" s="0" t="s">
        <v>61</v>
      </c>
      <c r="C57" s="0" t="n">
        <f aca="false">VLOOKUP(B57,'Team Data'!$A$2:$V$140,2,FALSE())</f>
        <v>0</v>
      </c>
      <c r="D57" s="0" t="n">
        <f aca="false">VLOOKUP(B57,'Team Data'!$A$2:$V$140,3,FALSE())</f>
        <v>2</v>
      </c>
      <c r="E57" s="2" t="n">
        <f aca="false">VLOOKUP(B57,'Team Data'!$A$2:$V$140,22,FALSE())</f>
        <v>-12.406318562138</v>
      </c>
      <c r="F57" s="2" t="n">
        <f aca="false">IFERROR(E57/(C57+D57),0)</f>
        <v>-6.20315928106899</v>
      </c>
    </row>
    <row r="58" customFormat="false" ht="15" hidden="false" customHeight="false" outlineLevel="0" collapsed="false">
      <c r="A58" s="0" t="n">
        <f aca="false">RANK(E58,E$2:E$139)</f>
        <v>61</v>
      </c>
      <c r="B58" s="0" t="s">
        <v>62</v>
      </c>
      <c r="C58" s="0" t="n">
        <f aca="false">VLOOKUP(B58,'Team Data'!$A$2:$V$140,2,FALSE())</f>
        <v>1</v>
      </c>
      <c r="D58" s="0" t="n">
        <f aca="false">VLOOKUP(B58,'Team Data'!$A$2:$V$140,3,FALSE())</f>
        <v>1</v>
      </c>
      <c r="E58" s="2" t="n">
        <f aca="false">VLOOKUP(B58,'Team Data'!$A$2:$V$140,22,FALSE())</f>
        <v>31.5323536575228</v>
      </c>
      <c r="F58" s="2" t="n">
        <f aca="false">IFERROR(E58/(C58+D58),0)</f>
        <v>15.7661768287614</v>
      </c>
    </row>
    <row r="59" customFormat="false" ht="15" hidden="false" customHeight="false" outlineLevel="0" collapsed="false">
      <c r="A59" s="0" t="n">
        <f aca="false">RANK(E59,E$2:E$139)</f>
        <v>120</v>
      </c>
      <c r="B59" s="0" t="s">
        <v>63</v>
      </c>
      <c r="C59" s="0" t="n">
        <f aca="false">VLOOKUP(B59,'Team Data'!$A$2:$V$140,2,FALSE())</f>
        <v>1</v>
      </c>
      <c r="D59" s="0" t="n">
        <f aca="false">VLOOKUP(B59,'Team Data'!$A$2:$V$140,3,FALSE())</f>
        <v>1</v>
      </c>
      <c r="E59" s="2" t="n">
        <f aca="false">VLOOKUP(B59,'Team Data'!$A$2:$V$140,22,FALSE())</f>
        <v>6.94850263427849</v>
      </c>
      <c r="F59" s="2" t="n">
        <f aca="false">IFERROR(E59/(C59+D59),0)</f>
        <v>3.47425131713925</v>
      </c>
    </row>
    <row r="60" customFormat="false" ht="15" hidden="false" customHeight="false" outlineLevel="0" collapsed="false">
      <c r="A60" s="0" t="n">
        <f aca="false">RANK(E60,E$2:E$139)</f>
        <v>6</v>
      </c>
      <c r="B60" s="0" t="s">
        <v>64</v>
      </c>
      <c r="C60" s="0" t="n">
        <f aca="false">VLOOKUP(B60,'Team Data'!$A$2:$V$140,2,FALSE())</f>
        <v>2</v>
      </c>
      <c r="D60" s="0" t="n">
        <f aca="false">VLOOKUP(B60,'Team Data'!$A$2:$V$140,3,FALSE())</f>
        <v>0</v>
      </c>
      <c r="E60" s="2" t="n">
        <f aca="false">VLOOKUP(B60,'Team Data'!$A$2:$V$140,22,FALSE())</f>
        <v>62.3962316009471</v>
      </c>
      <c r="F60" s="2" t="n">
        <f aca="false">IFERROR(E60/(C60+D60),0)</f>
        <v>31.1981158004736</v>
      </c>
    </row>
    <row r="61" customFormat="false" ht="15" hidden="false" customHeight="false" outlineLevel="0" collapsed="false">
      <c r="A61" s="0" t="n">
        <f aca="false">RANK(E61,E$2:E$139)</f>
        <v>89</v>
      </c>
      <c r="B61" s="0" t="s">
        <v>65</v>
      </c>
      <c r="C61" s="0" t="n">
        <f aca="false">VLOOKUP(B61,'Team Data'!$A$2:$V$140,2,FALSE())</f>
        <v>2</v>
      </c>
      <c r="D61" s="0" t="n">
        <f aca="false">VLOOKUP(B61,'Team Data'!$A$2:$V$140,3,FALSE())</f>
        <v>1</v>
      </c>
      <c r="E61" s="2" t="n">
        <f aca="false">VLOOKUP(B61,'Team Data'!$A$2:$V$140,22,FALSE())</f>
        <v>18.783512240413</v>
      </c>
      <c r="F61" s="2" t="n">
        <f aca="false">IFERROR(E61/(C61+D61),0)</f>
        <v>6.26117074680432</v>
      </c>
    </row>
    <row r="62" customFormat="false" ht="15" hidden="false" customHeight="false" outlineLevel="0" collapsed="false">
      <c r="A62" s="0" t="n">
        <f aca="false">RANK(E62,E$2:E$139)</f>
        <v>2</v>
      </c>
      <c r="B62" s="0" t="s">
        <v>66</v>
      </c>
      <c r="C62" s="0" t="n">
        <f aca="false">VLOOKUP(B62,'Team Data'!$A$2:$V$140,2,FALSE())</f>
        <v>2</v>
      </c>
      <c r="D62" s="0" t="n">
        <f aca="false">VLOOKUP(B62,'Team Data'!$A$2:$V$140,3,FALSE())</f>
        <v>0</v>
      </c>
      <c r="E62" s="2" t="n">
        <f aca="false">VLOOKUP(B62,'Team Data'!$A$2:$V$140,22,FALSE())</f>
        <v>71.4939189677522</v>
      </c>
      <c r="F62" s="2" t="n">
        <f aca="false">IFERROR(E62/(C62+D62),0)</f>
        <v>35.7469594838761</v>
      </c>
    </row>
    <row r="63" customFormat="false" ht="15" hidden="false" customHeight="false" outlineLevel="0" collapsed="false">
      <c r="A63" s="0" t="n">
        <f aca="false">RANK(E63,E$2:E$139)</f>
        <v>116</v>
      </c>
      <c r="B63" s="0" t="s">
        <v>67</v>
      </c>
      <c r="C63" s="0" t="n">
        <f aca="false">VLOOKUP(B63,'Team Data'!$A$2:$V$140,2,FALSE())</f>
        <v>1</v>
      </c>
      <c r="D63" s="0" t="n">
        <f aca="false">VLOOKUP(B63,'Team Data'!$A$2:$V$140,3,FALSE())</f>
        <v>1</v>
      </c>
      <c r="E63" s="2" t="n">
        <f aca="false">VLOOKUP(B63,'Team Data'!$A$2:$V$140,22,FALSE())</f>
        <v>8.18435827821239</v>
      </c>
      <c r="F63" s="2" t="n">
        <f aca="false">IFERROR(E63/(C63+D63),0)</f>
        <v>4.0921791391062</v>
      </c>
    </row>
    <row r="64" customFormat="false" ht="15" hidden="false" customHeight="false" outlineLevel="0" collapsed="false">
      <c r="A64" s="0" t="n">
        <f aca="false">RANK(E64,E$2:E$139)</f>
        <v>50</v>
      </c>
      <c r="B64" s="0" t="s">
        <v>68</v>
      </c>
      <c r="C64" s="0" t="n">
        <f aca="false">VLOOKUP(B64,'Team Data'!$A$2:$V$140,2,FALSE())</f>
        <v>2</v>
      </c>
      <c r="D64" s="0" t="n">
        <f aca="false">VLOOKUP(B64,'Team Data'!$A$2:$V$140,3,FALSE())</f>
        <v>0</v>
      </c>
      <c r="E64" s="2" t="n">
        <f aca="false">VLOOKUP(B64,'Team Data'!$A$2:$V$140,22,FALSE())</f>
        <v>35.1814573835688</v>
      </c>
      <c r="F64" s="2" t="n">
        <f aca="false">IFERROR(E64/(C64+D64),0)</f>
        <v>17.5907286917844</v>
      </c>
    </row>
    <row r="65" customFormat="false" ht="15" hidden="false" customHeight="false" outlineLevel="0" collapsed="false">
      <c r="A65" s="0" t="n">
        <f aca="false">RANK(E65,E$2:E$139)</f>
        <v>19</v>
      </c>
      <c r="B65" s="0" t="s">
        <v>69</v>
      </c>
      <c r="C65" s="0" t="n">
        <f aca="false">VLOOKUP(B65,'Team Data'!$A$2:$V$140,2,FALSE())</f>
        <v>2</v>
      </c>
      <c r="D65" s="0" t="n">
        <f aca="false">VLOOKUP(B65,'Team Data'!$A$2:$V$140,3,FALSE())</f>
        <v>0</v>
      </c>
      <c r="E65" s="2" t="n">
        <f aca="false">VLOOKUP(B65,'Team Data'!$A$2:$V$140,22,FALSE())</f>
        <v>51.3914538929905</v>
      </c>
      <c r="F65" s="2" t="n">
        <f aca="false">IFERROR(E65/(C65+D65),0)</f>
        <v>25.6957269464953</v>
      </c>
    </row>
    <row r="66" customFormat="false" ht="15" hidden="false" customHeight="false" outlineLevel="0" collapsed="false">
      <c r="A66" s="0" t="n">
        <f aca="false">RANK(E66,E$2:E$139)</f>
        <v>80</v>
      </c>
      <c r="B66" s="0" t="s">
        <v>70</v>
      </c>
      <c r="C66" s="0" t="n">
        <f aca="false">VLOOKUP(B66,'Team Data'!$A$2:$V$140,2,FALSE())</f>
        <v>1</v>
      </c>
      <c r="D66" s="0" t="n">
        <f aca="false">VLOOKUP(B66,'Team Data'!$A$2:$V$140,3,FALSE())</f>
        <v>1</v>
      </c>
      <c r="E66" s="2" t="n">
        <f aca="false">VLOOKUP(B66,'Team Data'!$A$2:$V$140,22,FALSE())</f>
        <v>21.4882031818798</v>
      </c>
      <c r="F66" s="2" t="n">
        <f aca="false">IFERROR(E66/(C66+D66),0)</f>
        <v>10.7441015909399</v>
      </c>
    </row>
    <row r="67" customFormat="false" ht="15" hidden="false" customHeight="false" outlineLevel="0" collapsed="false">
      <c r="A67" s="0" t="n">
        <f aca="false">RANK(E67,E$2:E$139)</f>
        <v>83</v>
      </c>
      <c r="B67" s="0" t="s">
        <v>71</v>
      </c>
      <c r="C67" s="0" t="n">
        <f aca="false">VLOOKUP(B67,'Team Data'!$A$2:$V$140,2,FALSE())</f>
        <v>1</v>
      </c>
      <c r="D67" s="0" t="n">
        <f aca="false">VLOOKUP(B67,'Team Data'!$A$2:$V$140,3,FALSE())</f>
        <v>1</v>
      </c>
      <c r="E67" s="2" t="n">
        <f aca="false">VLOOKUP(B67,'Team Data'!$A$2:$V$140,22,FALSE())</f>
        <v>20.5588357895646</v>
      </c>
      <c r="F67" s="2" t="n">
        <f aca="false">IFERROR(E67/(C67+D67),0)</f>
        <v>10.2794178947823</v>
      </c>
    </row>
    <row r="68" customFormat="false" ht="15" hidden="false" customHeight="false" outlineLevel="0" collapsed="false">
      <c r="A68" s="0" t="n">
        <f aca="false">RANK(E68,E$2:E$139)</f>
        <v>23</v>
      </c>
      <c r="B68" s="0" t="s">
        <v>72</v>
      </c>
      <c r="C68" s="0" t="n">
        <f aca="false">VLOOKUP(B68,'Team Data'!$A$2:$V$140,2,FALSE())</f>
        <v>2</v>
      </c>
      <c r="D68" s="0" t="n">
        <f aca="false">VLOOKUP(B68,'Team Data'!$A$2:$V$140,3,FALSE())</f>
        <v>0</v>
      </c>
      <c r="E68" s="2" t="n">
        <f aca="false">VLOOKUP(B68,'Team Data'!$A$2:$V$140,22,FALSE())</f>
        <v>50.1754701578931</v>
      </c>
      <c r="F68" s="2" t="n">
        <f aca="false">IFERROR(E68/(C68+D68),0)</f>
        <v>25.0877350789465</v>
      </c>
    </row>
    <row r="69" customFormat="false" ht="15" hidden="false" customHeight="false" outlineLevel="0" collapsed="false">
      <c r="A69" s="0" t="n">
        <f aca="false">RANK(E69,E$2:E$139)</f>
        <v>25</v>
      </c>
      <c r="B69" s="0" t="s">
        <v>73</v>
      </c>
      <c r="C69" s="0" t="n">
        <f aca="false">VLOOKUP(B69,'Team Data'!$A$2:$V$140,2,FALSE())</f>
        <v>2</v>
      </c>
      <c r="D69" s="0" t="n">
        <f aca="false">VLOOKUP(B69,'Team Data'!$A$2:$V$140,3,FALSE())</f>
        <v>0</v>
      </c>
      <c r="E69" s="2" t="n">
        <f aca="false">VLOOKUP(B69,'Team Data'!$A$2:$V$140,22,FALSE())</f>
        <v>49.2809164000975</v>
      </c>
      <c r="F69" s="2" t="n">
        <f aca="false">IFERROR(E69/(C69+D69),0)</f>
        <v>24.6404582000487</v>
      </c>
    </row>
    <row r="70" customFormat="false" ht="15" hidden="false" customHeight="false" outlineLevel="0" collapsed="false">
      <c r="A70" s="0" t="n">
        <f aca="false">RANK(E70,E$2:E$139)</f>
        <v>111</v>
      </c>
      <c r="B70" s="0" t="s">
        <v>74</v>
      </c>
      <c r="C70" s="0" t="n">
        <f aca="false">VLOOKUP(B70,'Team Data'!$A$2:$V$140,2,FALSE())</f>
        <v>1</v>
      </c>
      <c r="D70" s="0" t="n">
        <f aca="false">VLOOKUP(B70,'Team Data'!$A$2:$V$140,3,FALSE())</f>
        <v>1</v>
      </c>
      <c r="E70" s="2" t="n">
        <f aca="false">VLOOKUP(B70,'Team Data'!$A$2:$V$140,22,FALSE())</f>
        <v>10.9479224646601</v>
      </c>
      <c r="F70" s="2" t="n">
        <f aca="false">IFERROR(E70/(C70+D70),0)</f>
        <v>5.47396123233007</v>
      </c>
    </row>
    <row r="71" customFormat="false" ht="15" hidden="false" customHeight="false" outlineLevel="0" collapsed="false">
      <c r="A71" s="0" t="n">
        <f aca="false">RANK(E71,E$2:E$139)</f>
        <v>71</v>
      </c>
      <c r="B71" s="0" t="s">
        <v>75</v>
      </c>
      <c r="C71" s="0" t="n">
        <f aca="false">VLOOKUP(B71,'Team Data'!$A$2:$V$140,2,FALSE())</f>
        <v>1</v>
      </c>
      <c r="D71" s="0" t="n">
        <f aca="false">VLOOKUP(B71,'Team Data'!$A$2:$V$140,3,FALSE())</f>
        <v>1</v>
      </c>
      <c r="E71" s="2" t="n">
        <f aca="false">VLOOKUP(B71,'Team Data'!$A$2:$V$140,22,FALSE())</f>
        <v>24.7010579429223</v>
      </c>
      <c r="F71" s="2" t="n">
        <f aca="false">IFERROR(E71/(C71+D71),0)</f>
        <v>12.3505289714611</v>
      </c>
    </row>
    <row r="72" customFormat="false" ht="15" hidden="false" customHeight="false" outlineLevel="0" collapsed="false">
      <c r="A72" s="0" t="n">
        <f aca="false">RANK(E72,E$2:E$139)</f>
        <v>79</v>
      </c>
      <c r="B72" s="0" t="s">
        <v>76</v>
      </c>
      <c r="C72" s="0" t="n">
        <f aca="false">VLOOKUP(B72,'Team Data'!$A$2:$V$140,2,FALSE())</f>
        <v>1</v>
      </c>
      <c r="D72" s="0" t="n">
        <f aca="false">VLOOKUP(B72,'Team Data'!$A$2:$V$140,3,FALSE())</f>
        <v>1</v>
      </c>
      <c r="E72" s="2" t="n">
        <f aca="false">VLOOKUP(B72,'Team Data'!$A$2:$V$140,22,FALSE())</f>
        <v>21.712313854181</v>
      </c>
      <c r="F72" s="2" t="n">
        <f aca="false">IFERROR(E72/(C72+D72),0)</f>
        <v>10.8561569270905</v>
      </c>
    </row>
    <row r="73" customFormat="false" ht="15" hidden="false" customHeight="false" outlineLevel="0" collapsed="false">
      <c r="A73" s="0" t="n">
        <f aca="false">RANK(E73,E$2:E$139)</f>
        <v>8</v>
      </c>
      <c r="B73" s="0" t="s">
        <v>77</v>
      </c>
      <c r="C73" s="0" t="n">
        <f aca="false">VLOOKUP(B73,'Team Data'!$A$2:$V$140,2,FALSE())</f>
        <v>2</v>
      </c>
      <c r="D73" s="0" t="n">
        <f aca="false">VLOOKUP(B73,'Team Data'!$A$2:$V$140,3,FALSE())</f>
        <v>0</v>
      </c>
      <c r="E73" s="2" t="n">
        <f aca="false">VLOOKUP(B73,'Team Data'!$A$2:$V$140,22,FALSE())</f>
        <v>58.8570101582076</v>
      </c>
      <c r="F73" s="2" t="n">
        <f aca="false">IFERROR(E73/(C73+D73),0)</f>
        <v>29.4285050791038</v>
      </c>
    </row>
    <row r="74" customFormat="false" ht="15" hidden="false" customHeight="false" outlineLevel="0" collapsed="false">
      <c r="A74" s="0" t="n">
        <f aca="false">RANK(E74,E$2:E$139)</f>
        <v>109</v>
      </c>
      <c r="B74" s="0" t="s">
        <v>78</v>
      </c>
      <c r="C74" s="0" t="n">
        <f aca="false">VLOOKUP(B74,'Team Data'!$A$2:$V$140,2,FALSE())</f>
        <v>1</v>
      </c>
      <c r="D74" s="0" t="n">
        <f aca="false">VLOOKUP(B74,'Team Data'!$A$2:$V$140,3,FALSE())</f>
        <v>1</v>
      </c>
      <c r="E74" s="2" t="n">
        <f aca="false">VLOOKUP(B74,'Team Data'!$A$2:$V$140,22,FALSE())</f>
        <v>11.2415723288827</v>
      </c>
      <c r="F74" s="2" t="n">
        <f aca="false">IFERROR(E74/(C74+D74),0)</f>
        <v>5.62078616444137</v>
      </c>
    </row>
    <row r="75" customFormat="false" ht="15" hidden="false" customHeight="false" outlineLevel="0" collapsed="false">
      <c r="A75" s="0" t="n">
        <f aca="false">RANK(E75,E$2:E$139)</f>
        <v>9</v>
      </c>
      <c r="B75" s="0" t="s">
        <v>79</v>
      </c>
      <c r="C75" s="0" t="n">
        <f aca="false">VLOOKUP(B75,'Team Data'!$A$2:$V$140,2,FALSE())</f>
        <v>2</v>
      </c>
      <c r="D75" s="0" t="n">
        <f aca="false">VLOOKUP(B75,'Team Data'!$A$2:$V$140,3,FALSE())</f>
        <v>0</v>
      </c>
      <c r="E75" s="2" t="n">
        <f aca="false">VLOOKUP(B75,'Team Data'!$A$2:$V$140,22,FALSE())</f>
        <v>57.4151932669596</v>
      </c>
      <c r="F75" s="2" t="n">
        <f aca="false">IFERROR(E75/(C75+D75),0)</f>
        <v>28.7075966334798</v>
      </c>
    </row>
    <row r="76" customFormat="false" ht="15" hidden="false" customHeight="false" outlineLevel="0" collapsed="false">
      <c r="A76" s="0" t="n">
        <f aca="false">RANK(E76,E$2:E$139)</f>
        <v>119</v>
      </c>
      <c r="B76" s="0" t="s">
        <v>80</v>
      </c>
      <c r="C76" s="0" t="n">
        <f aca="false">VLOOKUP(B76,'Team Data'!$A$2:$V$140,2,FALSE())</f>
        <v>1</v>
      </c>
      <c r="D76" s="0" t="n">
        <f aca="false">VLOOKUP(B76,'Team Data'!$A$2:$V$140,3,FALSE())</f>
        <v>2</v>
      </c>
      <c r="E76" s="2" t="n">
        <f aca="false">VLOOKUP(B76,'Team Data'!$A$2:$V$140,22,FALSE())</f>
        <v>6.95858748010619</v>
      </c>
      <c r="F76" s="2" t="n">
        <f aca="false">IFERROR(E76/(C76+D76),0)</f>
        <v>2.3195291600354</v>
      </c>
    </row>
    <row r="77" customFormat="false" ht="15" hidden="false" customHeight="false" outlineLevel="0" collapsed="false">
      <c r="A77" s="0" t="n">
        <f aca="false">RANK(E77,E$2:E$139)</f>
        <v>49</v>
      </c>
      <c r="B77" s="0" t="s">
        <v>81</v>
      </c>
      <c r="C77" s="0" t="n">
        <f aca="false">VLOOKUP(B77,'Team Data'!$A$2:$V$140,2,FALSE())</f>
        <v>2</v>
      </c>
      <c r="D77" s="0" t="n">
        <f aca="false">VLOOKUP(B77,'Team Data'!$A$2:$V$140,3,FALSE())</f>
        <v>0</v>
      </c>
      <c r="E77" s="2" t="n">
        <f aca="false">VLOOKUP(B77,'Team Data'!$A$2:$V$140,22,FALSE())</f>
        <v>35.2316273060706</v>
      </c>
      <c r="F77" s="2" t="n">
        <f aca="false">IFERROR(E77/(C77+D77),0)</f>
        <v>17.6158136530353</v>
      </c>
    </row>
    <row r="78" customFormat="false" ht="15" hidden="false" customHeight="false" outlineLevel="0" collapsed="false">
      <c r="A78" s="0" t="n">
        <f aca="false">RANK(E78,E$2:E$139)</f>
        <v>35</v>
      </c>
      <c r="B78" s="0" t="s">
        <v>82</v>
      </c>
      <c r="C78" s="0" t="n">
        <f aca="false">VLOOKUP(B78,'Team Data'!$A$2:$V$140,2,FALSE())</f>
        <v>3</v>
      </c>
      <c r="D78" s="0" t="n">
        <f aca="false">VLOOKUP(B78,'Team Data'!$A$2:$V$140,3,FALSE())</f>
        <v>0</v>
      </c>
      <c r="E78" s="2" t="n">
        <f aca="false">VLOOKUP(B78,'Team Data'!$A$2:$V$140,22,FALSE())</f>
        <v>43.5547590541352</v>
      </c>
      <c r="F78" s="2" t="n">
        <f aca="false">IFERROR(E78/(C78+D78),0)</f>
        <v>14.5182530180451</v>
      </c>
    </row>
    <row r="79" customFormat="false" ht="15" hidden="false" customHeight="false" outlineLevel="0" collapsed="false">
      <c r="A79" s="0" t="n">
        <f aca="false">RANK(E79,E$2:E$139)</f>
        <v>54</v>
      </c>
      <c r="B79" s="0" t="s">
        <v>83</v>
      </c>
      <c r="C79" s="0" t="n">
        <f aca="false">VLOOKUP(B79,'Team Data'!$A$2:$V$140,2,FALSE())</f>
        <v>1</v>
      </c>
      <c r="D79" s="0" t="n">
        <f aca="false">VLOOKUP(B79,'Team Data'!$A$2:$V$140,3,FALSE())</f>
        <v>1</v>
      </c>
      <c r="E79" s="2" t="n">
        <f aca="false">VLOOKUP(B79,'Team Data'!$A$2:$V$140,22,FALSE())</f>
        <v>33.2442385341729</v>
      </c>
      <c r="F79" s="2" t="n">
        <f aca="false">IFERROR(E79/(C79+D79),0)</f>
        <v>16.6221192670864</v>
      </c>
    </row>
    <row r="80" customFormat="false" ht="15" hidden="false" customHeight="false" outlineLevel="0" collapsed="false">
      <c r="A80" s="0" t="n">
        <f aca="false">RANK(E80,E$2:E$139)</f>
        <v>136</v>
      </c>
      <c r="B80" s="0" t="s">
        <v>84</v>
      </c>
      <c r="C80" s="0" t="n">
        <f aca="false">VLOOKUP(B80,'Team Data'!$A$2:$V$140,2,FALSE())</f>
        <v>0</v>
      </c>
      <c r="D80" s="0" t="n">
        <f aca="false">VLOOKUP(B80,'Team Data'!$A$2:$V$140,3,FALSE())</f>
        <v>2</v>
      </c>
      <c r="E80" s="2" t="n">
        <f aca="false">VLOOKUP(B80,'Team Data'!$A$2:$V$140,22,FALSE())</f>
        <v>-15.8983258888565</v>
      </c>
      <c r="F80" s="2" t="n">
        <f aca="false">IFERROR(E80/(C80+D80),0)</f>
        <v>-7.94916294442823</v>
      </c>
    </row>
    <row r="81" customFormat="false" ht="15" hidden="false" customHeight="false" outlineLevel="0" collapsed="false">
      <c r="A81" s="0" t="n">
        <f aca="false">RANK(E81,E$2:E$139)</f>
        <v>59</v>
      </c>
      <c r="B81" s="0" t="s">
        <v>85</v>
      </c>
      <c r="C81" s="0" t="n">
        <f aca="false">VLOOKUP(B81,'Team Data'!$A$2:$V$140,2,FALSE())</f>
        <v>1</v>
      </c>
      <c r="D81" s="0" t="n">
        <f aca="false">VLOOKUP(B81,'Team Data'!$A$2:$V$140,3,FALSE())</f>
        <v>0</v>
      </c>
      <c r="E81" s="2" t="n">
        <f aca="false">VLOOKUP(B81,'Team Data'!$A$2:$V$140,22,FALSE())</f>
        <v>32.0790833101278</v>
      </c>
      <c r="F81" s="2" t="n">
        <f aca="false">IFERROR(E81/(C81+D81),0)</f>
        <v>32.0790833101278</v>
      </c>
    </row>
    <row r="82" customFormat="false" ht="15" hidden="false" customHeight="false" outlineLevel="0" collapsed="false">
      <c r="A82" s="0" t="n">
        <f aca="false">RANK(E82,E$2:E$139)</f>
        <v>10</v>
      </c>
      <c r="B82" s="0" t="s">
        <v>86</v>
      </c>
      <c r="C82" s="0" t="n">
        <f aca="false">VLOOKUP(B82,'Team Data'!$A$2:$V$140,2,FALSE())</f>
        <v>2</v>
      </c>
      <c r="D82" s="0" t="n">
        <f aca="false">VLOOKUP(B82,'Team Data'!$A$2:$V$140,3,FALSE())</f>
        <v>0</v>
      </c>
      <c r="E82" s="2" t="n">
        <f aca="false">VLOOKUP(B82,'Team Data'!$A$2:$V$140,22,FALSE())</f>
        <v>56.9098812674683</v>
      </c>
      <c r="F82" s="2" t="n">
        <f aca="false">IFERROR(E82/(C82+D82),0)</f>
        <v>28.4549406337341</v>
      </c>
    </row>
    <row r="83" customFormat="false" ht="15" hidden="false" customHeight="false" outlineLevel="0" collapsed="false">
      <c r="A83" s="0" t="n">
        <f aca="false">RANK(E83,E$2:E$139)</f>
        <v>122</v>
      </c>
      <c r="B83" s="0" t="s">
        <v>87</v>
      </c>
      <c r="C83" s="0" t="n">
        <f aca="false">VLOOKUP(B83,'Team Data'!$A$2:$V$140,2,FALSE())</f>
        <v>1</v>
      </c>
      <c r="D83" s="0" t="n">
        <f aca="false">VLOOKUP(B83,'Team Data'!$A$2:$V$140,3,FALSE())</f>
        <v>1</v>
      </c>
      <c r="E83" s="2" t="n">
        <f aca="false">VLOOKUP(B83,'Team Data'!$A$2:$V$140,22,FALSE())</f>
        <v>4.36157106296684</v>
      </c>
      <c r="F83" s="2" t="n">
        <f aca="false">IFERROR(E83/(C83+D83),0)</f>
        <v>2.18078553148342</v>
      </c>
    </row>
    <row r="84" customFormat="false" ht="15" hidden="false" customHeight="false" outlineLevel="0" collapsed="false">
      <c r="A84" s="0" t="n">
        <f aca="false">RANK(E84,E$2:E$139)</f>
        <v>28</v>
      </c>
      <c r="B84" s="0" t="s">
        <v>88</v>
      </c>
      <c r="C84" s="0" t="n">
        <f aca="false">VLOOKUP(B84,'Team Data'!$A$2:$V$140,2,FALSE())</f>
        <v>1</v>
      </c>
      <c r="D84" s="0" t="n">
        <f aca="false">VLOOKUP(B84,'Team Data'!$A$2:$V$140,3,FALSE())</f>
        <v>1</v>
      </c>
      <c r="E84" s="2" t="n">
        <f aca="false">VLOOKUP(B84,'Team Data'!$A$2:$V$140,22,FALSE())</f>
        <v>47.4199738684216</v>
      </c>
      <c r="F84" s="2" t="n">
        <f aca="false">IFERROR(E84/(C84+D84),0)</f>
        <v>23.7099869342108</v>
      </c>
    </row>
    <row r="85" customFormat="false" ht="15" hidden="false" customHeight="false" outlineLevel="0" collapsed="false">
      <c r="A85" s="0" t="n">
        <f aca="false">RANK(E85,E$2:E$139)</f>
        <v>53</v>
      </c>
      <c r="B85" s="0" t="s">
        <v>89</v>
      </c>
      <c r="C85" s="0" t="n">
        <f aca="false">VLOOKUP(B85,'Team Data'!$A$2:$V$140,2,FALSE())</f>
        <v>1</v>
      </c>
      <c r="D85" s="0" t="n">
        <f aca="false">VLOOKUP(B85,'Team Data'!$A$2:$V$140,3,FALSE())</f>
        <v>1</v>
      </c>
      <c r="E85" s="2" t="n">
        <f aca="false">VLOOKUP(B85,'Team Data'!$A$2:$V$140,22,FALSE())</f>
        <v>34.0948312708693</v>
      </c>
      <c r="F85" s="2" t="n">
        <f aca="false">IFERROR(E85/(C85+D85),0)</f>
        <v>17.0474156354347</v>
      </c>
    </row>
    <row r="86" customFormat="false" ht="15" hidden="false" customHeight="false" outlineLevel="0" collapsed="false">
      <c r="A86" s="0" t="n">
        <f aca="false">RANK(E86,E$2:E$139)</f>
        <v>52</v>
      </c>
      <c r="B86" s="0" t="s">
        <v>90</v>
      </c>
      <c r="C86" s="0" t="n">
        <f aca="false">VLOOKUP(B86,'Team Data'!$A$2:$V$140,2,FALSE())</f>
        <v>1</v>
      </c>
      <c r="D86" s="0" t="n">
        <f aca="false">VLOOKUP(B86,'Team Data'!$A$2:$V$140,3,FALSE())</f>
        <v>1</v>
      </c>
      <c r="E86" s="2" t="n">
        <f aca="false">VLOOKUP(B86,'Team Data'!$A$2:$V$140,22,FALSE())</f>
        <v>34.5472260892908</v>
      </c>
      <c r="F86" s="2" t="n">
        <f aca="false">IFERROR(E86/(C86+D86),0)</f>
        <v>17.2736130446454</v>
      </c>
    </row>
    <row r="87" customFormat="false" ht="15" hidden="false" customHeight="false" outlineLevel="0" collapsed="false">
      <c r="A87" s="0" t="n">
        <f aca="false">RANK(E87,E$2:E$139)</f>
        <v>110</v>
      </c>
      <c r="B87" s="0" t="s">
        <v>91</v>
      </c>
      <c r="C87" s="0" t="n">
        <f aca="false">VLOOKUP(B87,'Team Data'!$A$2:$V$140,2,FALSE())</f>
        <v>1</v>
      </c>
      <c r="D87" s="0" t="n">
        <f aca="false">VLOOKUP(B87,'Team Data'!$A$2:$V$140,3,FALSE())</f>
        <v>1</v>
      </c>
      <c r="E87" s="2" t="n">
        <f aca="false">VLOOKUP(B87,'Team Data'!$A$2:$V$140,22,FALSE())</f>
        <v>11.0811532237751</v>
      </c>
      <c r="F87" s="2" t="n">
        <f aca="false">IFERROR(E87/(C87+D87),0)</f>
        <v>5.54057661188755</v>
      </c>
    </row>
    <row r="88" customFormat="false" ht="15" hidden="false" customHeight="false" outlineLevel="0" collapsed="false">
      <c r="A88" s="0" t="n">
        <f aca="false">RANK(E88,E$2:E$139)</f>
        <v>67</v>
      </c>
      <c r="B88" s="0" t="s">
        <v>92</v>
      </c>
      <c r="C88" s="0" t="n">
        <f aca="false">VLOOKUP(B88,'Team Data'!$A$2:$V$140,2,FALSE())</f>
        <v>2</v>
      </c>
      <c r="D88" s="0" t="n">
        <f aca="false">VLOOKUP(B88,'Team Data'!$A$2:$V$140,3,FALSE())</f>
        <v>0</v>
      </c>
      <c r="E88" s="2" t="n">
        <f aca="false">VLOOKUP(B88,'Team Data'!$A$2:$V$140,22,FALSE())</f>
        <v>26.4681315872422</v>
      </c>
      <c r="F88" s="2" t="n">
        <f aca="false">IFERROR(E88/(C88+D88),0)</f>
        <v>13.2340657936211</v>
      </c>
    </row>
    <row r="89" customFormat="false" ht="15" hidden="false" customHeight="false" outlineLevel="0" collapsed="false">
      <c r="A89" s="0" t="n">
        <f aca="false">RANK(E89,E$2:E$139)</f>
        <v>76</v>
      </c>
      <c r="B89" s="0" t="s">
        <v>93</v>
      </c>
      <c r="C89" s="0" t="n">
        <f aca="false">VLOOKUP(B89,'Team Data'!$A$2:$V$140,2,FALSE())</f>
        <v>1</v>
      </c>
      <c r="D89" s="0" t="n">
        <f aca="false">VLOOKUP(B89,'Team Data'!$A$2:$V$140,3,FALSE())</f>
        <v>1</v>
      </c>
      <c r="E89" s="2" t="n">
        <f aca="false">VLOOKUP(B89,'Team Data'!$A$2:$V$140,22,FALSE())</f>
        <v>23.2749778015014</v>
      </c>
      <c r="F89" s="2" t="n">
        <f aca="false">IFERROR(E89/(C89+D89),0)</f>
        <v>11.6374889007507</v>
      </c>
    </row>
    <row r="90" customFormat="false" ht="15" hidden="false" customHeight="false" outlineLevel="0" collapsed="false">
      <c r="A90" s="0" t="n">
        <f aca="false">RANK(E90,E$2:E$139)</f>
        <v>96</v>
      </c>
      <c r="B90" s="0" t="s">
        <v>94</v>
      </c>
      <c r="C90" s="0" t="n">
        <f aca="false">VLOOKUP(B90,'Team Data'!$A$2:$V$140,2,FALSE())</f>
        <v>0</v>
      </c>
      <c r="D90" s="0" t="n">
        <f aca="false">VLOOKUP(B90,'Team Data'!$A$2:$V$140,3,FALSE())</f>
        <v>2</v>
      </c>
      <c r="E90" s="2" t="n">
        <f aca="false">VLOOKUP(B90,'Team Data'!$A$2:$V$140,22,FALSE())</f>
        <v>16.8275924454092</v>
      </c>
      <c r="F90" s="2" t="n">
        <f aca="false">IFERROR(E90/(C90+D90),0)</f>
        <v>8.41379622270461</v>
      </c>
    </row>
    <row r="91" customFormat="false" ht="15" hidden="false" customHeight="false" outlineLevel="0" collapsed="false">
      <c r="A91" s="0" t="n">
        <f aca="false">RANK(E91,E$2:E$139)</f>
        <v>3</v>
      </c>
      <c r="B91" s="0" t="s">
        <v>95</v>
      </c>
      <c r="C91" s="0" t="n">
        <f aca="false">VLOOKUP(B91,'Team Data'!$A$2:$V$140,2,FALSE())</f>
        <v>2</v>
      </c>
      <c r="D91" s="0" t="n">
        <f aca="false">VLOOKUP(B91,'Team Data'!$A$2:$V$140,3,FALSE())</f>
        <v>0</v>
      </c>
      <c r="E91" s="2" t="n">
        <f aca="false">VLOOKUP(B91,'Team Data'!$A$2:$V$140,22,FALSE())</f>
        <v>67.0584624240987</v>
      </c>
      <c r="F91" s="2" t="n">
        <f aca="false">IFERROR(E91/(C91+D91),0)</f>
        <v>33.5292312120493</v>
      </c>
    </row>
    <row r="92" customFormat="false" ht="15" hidden="false" customHeight="false" outlineLevel="0" collapsed="false">
      <c r="A92" s="0" t="n">
        <f aca="false">RANK(E92,E$2:E$139)</f>
        <v>18</v>
      </c>
      <c r="B92" s="0" t="s">
        <v>96</v>
      </c>
      <c r="C92" s="0" t="n">
        <f aca="false">VLOOKUP(B92,'Team Data'!$A$2:$V$140,2,FALSE())</f>
        <v>2</v>
      </c>
      <c r="D92" s="0" t="n">
        <f aca="false">VLOOKUP(B92,'Team Data'!$A$2:$V$140,3,FALSE())</f>
        <v>0</v>
      </c>
      <c r="E92" s="2" t="n">
        <f aca="false">VLOOKUP(B92,'Team Data'!$A$2:$V$140,22,FALSE())</f>
        <v>51.392709885911</v>
      </c>
      <c r="F92" s="2" t="n">
        <f aca="false">IFERROR(E92/(C92+D92),0)</f>
        <v>25.6963549429555</v>
      </c>
    </row>
    <row r="93" customFormat="false" ht="15" hidden="false" customHeight="false" outlineLevel="0" collapsed="false">
      <c r="A93" s="0" t="n">
        <f aca="false">RANK(E93,E$2:E$139)</f>
        <v>68</v>
      </c>
      <c r="B93" s="0" t="s">
        <v>97</v>
      </c>
      <c r="C93" s="0" t="n">
        <f aca="false">VLOOKUP(B93,'Team Data'!$A$2:$V$140,2,FALSE())</f>
        <v>1</v>
      </c>
      <c r="D93" s="0" t="n">
        <f aca="false">VLOOKUP(B93,'Team Data'!$A$2:$V$140,3,FALSE())</f>
        <v>1</v>
      </c>
      <c r="E93" s="2" t="n">
        <f aca="false">VLOOKUP(B93,'Team Data'!$A$2:$V$140,22,FALSE())</f>
        <v>26.0333165475496</v>
      </c>
      <c r="F93" s="2" t="n">
        <f aca="false">IFERROR(E93/(C93+D93),0)</f>
        <v>13.0166582737748</v>
      </c>
    </row>
    <row r="94" customFormat="false" ht="15" hidden="false" customHeight="false" outlineLevel="0" collapsed="false">
      <c r="A94" s="0" t="n">
        <f aca="false">RANK(E94,E$2:E$139)</f>
        <v>117</v>
      </c>
      <c r="B94" s="0" t="s">
        <v>98</v>
      </c>
      <c r="C94" s="0" t="n">
        <f aca="false">VLOOKUP(B94,'Team Data'!$A$2:$V$140,2,FALSE())</f>
        <v>1</v>
      </c>
      <c r="D94" s="0" t="n">
        <f aca="false">VLOOKUP(B94,'Team Data'!$A$2:$V$140,3,FALSE())</f>
        <v>1</v>
      </c>
      <c r="E94" s="2" t="n">
        <f aca="false">VLOOKUP(B94,'Team Data'!$A$2:$V$140,22,FALSE())</f>
        <v>7.0847130108098</v>
      </c>
      <c r="F94" s="2" t="n">
        <f aca="false">IFERROR(E94/(C94+D94),0)</f>
        <v>3.5423565054049</v>
      </c>
    </row>
    <row r="95" customFormat="false" ht="15" hidden="false" customHeight="false" outlineLevel="0" collapsed="false">
      <c r="A95" s="0" t="n">
        <f aca="false">RANK(E95,E$2:E$139)</f>
        <v>126</v>
      </c>
      <c r="B95" s="0" t="s">
        <v>99</v>
      </c>
      <c r="C95" s="0" t="n">
        <f aca="false">VLOOKUP(B95,'Team Data'!$A$2:$V$140,2,FALSE())</f>
        <v>0</v>
      </c>
      <c r="D95" s="0" t="n">
        <f aca="false">VLOOKUP(B95,'Team Data'!$A$2:$V$140,3,FALSE())</f>
        <v>2</v>
      </c>
      <c r="E95" s="2" t="n">
        <f aca="false">VLOOKUP(B95,'Team Data'!$A$2:$V$140,22,FALSE())</f>
        <v>0.29719639579749</v>
      </c>
      <c r="F95" s="2" t="n">
        <f aca="false">IFERROR(E95/(C95+D95),0)</f>
        <v>0.148598197898745</v>
      </c>
    </row>
    <row r="96" customFormat="false" ht="15" hidden="false" customHeight="false" outlineLevel="0" collapsed="false">
      <c r="A96" s="0" t="n">
        <f aca="false">RANK(E96,E$2:E$139)</f>
        <v>27</v>
      </c>
      <c r="B96" s="0" t="s">
        <v>100</v>
      </c>
      <c r="C96" s="0" t="n">
        <f aca="false">VLOOKUP(B96,'Team Data'!$A$2:$V$140,2,FALSE())</f>
        <v>2</v>
      </c>
      <c r="D96" s="0" t="n">
        <f aca="false">VLOOKUP(B96,'Team Data'!$A$2:$V$140,3,FALSE())</f>
        <v>0</v>
      </c>
      <c r="E96" s="2" t="n">
        <f aca="false">VLOOKUP(B96,'Team Data'!$A$2:$V$140,22,FALSE())</f>
        <v>47.8688001165717</v>
      </c>
      <c r="F96" s="2" t="n">
        <f aca="false">IFERROR(E96/(C96+D96),0)</f>
        <v>23.9344000582859</v>
      </c>
    </row>
    <row r="97" customFormat="false" ht="15" hidden="false" customHeight="false" outlineLevel="0" collapsed="false">
      <c r="A97" s="0" t="n">
        <f aca="false">RANK(E97,E$2:E$139)</f>
        <v>131</v>
      </c>
      <c r="B97" s="0" t="s">
        <v>101</v>
      </c>
      <c r="C97" s="0" t="n">
        <f aca="false">VLOOKUP(B97,'Team Data'!$A$2:$V$140,2,FALSE())</f>
        <v>1</v>
      </c>
      <c r="D97" s="0" t="n">
        <f aca="false">VLOOKUP(B97,'Team Data'!$A$2:$V$140,3,FALSE())</f>
        <v>2</v>
      </c>
      <c r="E97" s="2" t="n">
        <f aca="false">VLOOKUP(B97,'Team Data'!$A$2:$V$140,22,FALSE())</f>
        <v>-2.23288913251895</v>
      </c>
      <c r="F97" s="2" t="n">
        <f aca="false">IFERROR(E97/(C97+D97),0)</f>
        <v>-0.744296377506317</v>
      </c>
    </row>
    <row r="98" customFormat="false" ht="15" hidden="false" customHeight="false" outlineLevel="0" collapsed="false">
      <c r="A98" s="0" t="n">
        <f aca="false">RANK(E98,E$2:E$139)</f>
        <v>98</v>
      </c>
      <c r="B98" s="0" t="s">
        <v>102</v>
      </c>
      <c r="C98" s="0" t="n">
        <f aca="false">VLOOKUP(B98,'Team Data'!$A$2:$V$140,2,FALSE())</f>
        <v>0</v>
      </c>
      <c r="D98" s="0" t="n">
        <f aca="false">VLOOKUP(B98,'Team Data'!$A$2:$V$140,3,FALSE())</f>
        <v>2</v>
      </c>
      <c r="E98" s="2" t="n">
        <f aca="false">VLOOKUP(B98,'Team Data'!$A$2:$V$140,22,FALSE())</f>
        <v>16.223515556254</v>
      </c>
      <c r="F98" s="2" t="n">
        <f aca="false">IFERROR(E98/(C98+D98),0)</f>
        <v>8.11175777812698</v>
      </c>
    </row>
    <row r="99" customFormat="false" ht="15" hidden="false" customHeight="false" outlineLevel="0" collapsed="false">
      <c r="A99" s="0" t="n">
        <f aca="false">RANK(E99,E$2:E$139)</f>
        <v>112</v>
      </c>
      <c r="B99" s="0" t="s">
        <v>103</v>
      </c>
      <c r="C99" s="0" t="n">
        <f aca="false">VLOOKUP(B99,'Team Data'!$A$2:$V$140,2,FALSE())</f>
        <v>1</v>
      </c>
      <c r="D99" s="0" t="n">
        <f aca="false">VLOOKUP(B99,'Team Data'!$A$2:$V$140,3,FALSE())</f>
        <v>1</v>
      </c>
      <c r="E99" s="2" t="n">
        <f aca="false">VLOOKUP(B99,'Team Data'!$A$2:$V$140,22,FALSE())</f>
        <v>9.20599030666216</v>
      </c>
      <c r="F99" s="2" t="n">
        <f aca="false">IFERROR(E99/(C99+D99),0)</f>
        <v>4.60299515333108</v>
      </c>
    </row>
    <row r="100" customFormat="false" ht="15" hidden="false" customHeight="false" outlineLevel="0" collapsed="false">
      <c r="A100" s="0" t="n">
        <f aca="false">RANK(E100,E$2:E$139)</f>
        <v>72</v>
      </c>
      <c r="B100" s="0" t="s">
        <v>104</v>
      </c>
      <c r="C100" s="0" t="n">
        <f aca="false">VLOOKUP(B100,'Team Data'!$A$2:$V$140,2,FALSE())</f>
        <v>2</v>
      </c>
      <c r="D100" s="0" t="n">
        <f aca="false">VLOOKUP(B100,'Team Data'!$A$2:$V$140,3,FALSE())</f>
        <v>1</v>
      </c>
      <c r="E100" s="2" t="n">
        <f aca="false">VLOOKUP(B100,'Team Data'!$A$2:$V$140,22,FALSE())</f>
        <v>24.3692790209908</v>
      </c>
      <c r="F100" s="2" t="n">
        <f aca="false">IFERROR(E100/(C100+D100),0)</f>
        <v>8.12309300699694</v>
      </c>
    </row>
    <row r="101" customFormat="false" ht="15" hidden="false" customHeight="false" outlineLevel="0" collapsed="false">
      <c r="A101" s="0" t="n">
        <f aca="false">RANK(E101,E$2:E$139)</f>
        <v>70</v>
      </c>
      <c r="B101" s="0" t="s">
        <v>105</v>
      </c>
      <c r="C101" s="0" t="n">
        <f aca="false">VLOOKUP(B101,'Team Data'!$A$2:$V$140,2,FALSE())</f>
        <v>1</v>
      </c>
      <c r="D101" s="0" t="n">
        <f aca="false">VLOOKUP(B101,'Team Data'!$A$2:$V$140,3,FALSE())</f>
        <v>1</v>
      </c>
      <c r="E101" s="2" t="n">
        <f aca="false">VLOOKUP(B101,'Team Data'!$A$2:$V$140,22,FALSE())</f>
        <v>24.9790060363247</v>
      </c>
      <c r="F101" s="2" t="n">
        <f aca="false">IFERROR(E101/(C101+D101),0)</f>
        <v>12.4895030181623</v>
      </c>
    </row>
    <row r="102" customFormat="false" ht="15" hidden="false" customHeight="false" outlineLevel="0" collapsed="false">
      <c r="A102" s="0" t="n">
        <f aca="false">RANK(E102,E$2:E$139)</f>
        <v>13</v>
      </c>
      <c r="B102" s="0" t="s">
        <v>106</v>
      </c>
      <c r="C102" s="0" t="n">
        <f aca="false">VLOOKUP(B102,'Team Data'!$A$2:$V$140,2,FALSE())</f>
        <v>2</v>
      </c>
      <c r="D102" s="0" t="n">
        <f aca="false">VLOOKUP(B102,'Team Data'!$A$2:$V$140,3,FALSE())</f>
        <v>0</v>
      </c>
      <c r="E102" s="2" t="n">
        <f aca="false">VLOOKUP(B102,'Team Data'!$A$2:$V$140,22,FALSE())</f>
        <v>55.4298173127944</v>
      </c>
      <c r="F102" s="2" t="n">
        <f aca="false">IFERROR(E102/(C102+D102),0)</f>
        <v>27.7149086563972</v>
      </c>
    </row>
    <row r="103" customFormat="false" ht="15" hidden="false" customHeight="false" outlineLevel="0" collapsed="false">
      <c r="A103" s="0" t="n">
        <f aca="false">RANK(E103,E$2:E$139)</f>
        <v>102</v>
      </c>
      <c r="B103" s="0" t="s">
        <v>107</v>
      </c>
      <c r="C103" s="0" t="n">
        <f aca="false">VLOOKUP(B103,'Team Data'!$A$2:$V$140,2,FALSE())</f>
        <v>1</v>
      </c>
      <c r="D103" s="0" t="n">
        <f aca="false">VLOOKUP(B103,'Team Data'!$A$2:$V$140,3,FALSE())</f>
        <v>1</v>
      </c>
      <c r="E103" s="2" t="n">
        <f aca="false">VLOOKUP(B103,'Team Data'!$A$2:$V$140,22,FALSE())</f>
        <v>14.5084449905236</v>
      </c>
      <c r="F103" s="2" t="n">
        <f aca="false">IFERROR(E103/(C103+D103),0)</f>
        <v>7.25422249526182</v>
      </c>
    </row>
    <row r="104" customFormat="false" ht="15" hidden="false" customHeight="false" outlineLevel="0" collapsed="false">
      <c r="A104" s="0" t="n">
        <f aca="false">RANK(E104,E$2:E$139)</f>
        <v>85</v>
      </c>
      <c r="B104" s="0" t="s">
        <v>108</v>
      </c>
      <c r="C104" s="0" t="n">
        <f aca="false">VLOOKUP(B104,'Team Data'!$A$2:$V$140,2,FALSE())</f>
        <v>1</v>
      </c>
      <c r="D104" s="0" t="n">
        <f aca="false">VLOOKUP(B104,'Team Data'!$A$2:$V$140,3,FALSE())</f>
        <v>1</v>
      </c>
      <c r="E104" s="2" t="n">
        <f aca="false">VLOOKUP(B104,'Team Data'!$A$2:$V$140,22,FALSE())</f>
        <v>19.1079567673738</v>
      </c>
      <c r="F104" s="2" t="n">
        <f aca="false">IFERROR(E104/(C104+D104),0)</f>
        <v>9.55397838368691</v>
      </c>
    </row>
    <row r="105" customFormat="false" ht="15" hidden="false" customHeight="false" outlineLevel="0" collapsed="false">
      <c r="A105" s="0" t="n">
        <f aca="false">RANK(E105,E$2:E$139)</f>
        <v>48</v>
      </c>
      <c r="B105" s="0" t="s">
        <v>109</v>
      </c>
      <c r="C105" s="0" t="n">
        <f aca="false">VLOOKUP(B105,'Team Data'!$A$2:$V$140,2,FALSE())</f>
        <v>1</v>
      </c>
      <c r="D105" s="0" t="n">
        <f aca="false">VLOOKUP(B105,'Team Data'!$A$2:$V$140,3,FALSE())</f>
        <v>1</v>
      </c>
      <c r="E105" s="2" t="n">
        <f aca="false">VLOOKUP(B105,'Team Data'!$A$2:$V$140,22,FALSE())</f>
        <v>35.3259802583203</v>
      </c>
      <c r="F105" s="2" t="n">
        <f aca="false">IFERROR(E105/(C105+D105),0)</f>
        <v>17.6629901291602</v>
      </c>
    </row>
    <row r="106" customFormat="false" ht="15" hidden="false" customHeight="false" outlineLevel="0" collapsed="false">
      <c r="A106" s="0" t="n">
        <f aca="false">RANK(E106,E$2:E$139)</f>
        <v>62</v>
      </c>
      <c r="B106" s="0" t="s">
        <v>110</v>
      </c>
      <c r="C106" s="0" t="n">
        <f aca="false">VLOOKUP(B106,'Team Data'!$A$2:$V$140,2,FALSE())</f>
        <v>1</v>
      </c>
      <c r="D106" s="0" t="n">
        <f aca="false">VLOOKUP(B106,'Team Data'!$A$2:$V$140,3,FALSE())</f>
        <v>1</v>
      </c>
      <c r="E106" s="2" t="n">
        <f aca="false">VLOOKUP(B106,'Team Data'!$A$2:$V$140,22,FALSE())</f>
        <v>31.4133035804413</v>
      </c>
      <c r="F106" s="2" t="n">
        <f aca="false">IFERROR(E106/(C106+D106),0)</f>
        <v>15.7066517902206</v>
      </c>
    </row>
    <row r="107" customFormat="false" ht="15" hidden="false" customHeight="false" outlineLevel="0" collapsed="false">
      <c r="A107" s="0" t="n">
        <f aca="false">RANK(E107,E$2:E$139)</f>
        <v>104</v>
      </c>
      <c r="B107" s="0" t="s">
        <v>111</v>
      </c>
      <c r="C107" s="0" t="n">
        <f aca="false">VLOOKUP(B107,'Team Data'!$A$2:$V$140,2,FALSE())</f>
        <v>1</v>
      </c>
      <c r="D107" s="0" t="n">
        <f aca="false">VLOOKUP(B107,'Team Data'!$A$2:$V$140,3,FALSE())</f>
        <v>1</v>
      </c>
      <c r="E107" s="2" t="n">
        <f aca="false">VLOOKUP(B107,'Team Data'!$A$2:$V$140,22,FALSE())</f>
        <v>13.7853388788626</v>
      </c>
      <c r="F107" s="2" t="n">
        <f aca="false">IFERROR(E107/(C107+D107),0)</f>
        <v>6.89266943943131</v>
      </c>
    </row>
    <row r="108" customFormat="false" ht="15" hidden="false" customHeight="false" outlineLevel="0" collapsed="false">
      <c r="A108" s="0" t="n">
        <f aca="false">RANK(E108,E$2:E$139)</f>
        <v>29</v>
      </c>
      <c r="B108" s="0" t="s">
        <v>112</v>
      </c>
      <c r="C108" s="0" t="n">
        <f aca="false">VLOOKUP(B108,'Team Data'!$A$2:$V$140,2,FALSE())</f>
        <v>2</v>
      </c>
      <c r="D108" s="0" t="n">
        <f aca="false">VLOOKUP(B108,'Team Data'!$A$2:$V$140,3,FALSE())</f>
        <v>0</v>
      </c>
      <c r="E108" s="2" t="n">
        <f aca="false">VLOOKUP(B108,'Team Data'!$A$2:$V$140,22,FALSE())</f>
        <v>46.8199304500216</v>
      </c>
      <c r="F108" s="2" t="n">
        <f aca="false">IFERROR(E108/(C108+D108),0)</f>
        <v>23.4099652250108</v>
      </c>
    </row>
    <row r="109" customFormat="false" ht="15" hidden="false" customHeight="false" outlineLevel="0" collapsed="false">
      <c r="A109" s="0" t="n">
        <f aca="false">RANK(E109,E$2:E$139)</f>
        <v>40</v>
      </c>
      <c r="B109" s="0" t="s">
        <v>113</v>
      </c>
      <c r="C109" s="0" t="n">
        <f aca="false">VLOOKUP(B109,'Team Data'!$A$2:$V$140,2,FALSE())</f>
        <v>2</v>
      </c>
      <c r="D109" s="0" t="n">
        <f aca="false">VLOOKUP(B109,'Team Data'!$A$2:$V$140,3,FALSE())</f>
        <v>0</v>
      </c>
      <c r="E109" s="2" t="n">
        <f aca="false">VLOOKUP(B109,'Team Data'!$A$2:$V$140,22,FALSE())</f>
        <v>39.1869340009113</v>
      </c>
      <c r="F109" s="2" t="n">
        <f aca="false">IFERROR(E109/(C109+D109),0)</f>
        <v>19.5934670004557</v>
      </c>
    </row>
    <row r="110" customFormat="false" ht="15" hidden="false" customHeight="false" outlineLevel="0" collapsed="false">
      <c r="A110" s="0" t="n">
        <f aca="false">RANK(E110,E$2:E$139)</f>
        <v>14</v>
      </c>
      <c r="B110" s="0" t="s">
        <v>114</v>
      </c>
      <c r="C110" s="0" t="n">
        <f aca="false">VLOOKUP(B110,'Team Data'!$A$2:$V$140,2,FALSE())</f>
        <v>2</v>
      </c>
      <c r="D110" s="0" t="n">
        <f aca="false">VLOOKUP(B110,'Team Data'!$A$2:$V$140,3,FALSE())</f>
        <v>0</v>
      </c>
      <c r="E110" s="2" t="n">
        <f aca="false">VLOOKUP(B110,'Team Data'!$A$2:$V$140,22,FALSE())</f>
        <v>52.7418343519076</v>
      </c>
      <c r="F110" s="2" t="n">
        <f aca="false">IFERROR(E110/(C110+D110),0)</f>
        <v>26.3709171759538</v>
      </c>
    </row>
    <row r="111" customFormat="false" ht="15" hidden="false" customHeight="false" outlineLevel="0" collapsed="false">
      <c r="A111" s="0" t="n">
        <f aca="false">RANK(E111,E$2:E$139)</f>
        <v>121</v>
      </c>
      <c r="B111" s="0" t="s">
        <v>115</v>
      </c>
      <c r="C111" s="0" t="n">
        <f aca="false">VLOOKUP(B111,'Team Data'!$A$2:$V$140,2,FALSE())</f>
        <v>0</v>
      </c>
      <c r="D111" s="0" t="n">
        <f aca="false">VLOOKUP(B111,'Team Data'!$A$2:$V$140,3,FALSE())</f>
        <v>2</v>
      </c>
      <c r="E111" s="2" t="n">
        <f aca="false">VLOOKUP(B111,'Team Data'!$A$2:$V$140,22,FALSE())</f>
        <v>6.23874066006651</v>
      </c>
      <c r="F111" s="2" t="n">
        <f aca="false">IFERROR(E111/(C111+D111),0)</f>
        <v>3.11937033003325</v>
      </c>
    </row>
    <row r="112" customFormat="false" ht="15" hidden="false" customHeight="false" outlineLevel="0" collapsed="false">
      <c r="A112" s="0" t="n">
        <f aca="false">RANK(E112,E$2:E$139)</f>
        <v>56</v>
      </c>
      <c r="B112" s="0" t="s">
        <v>116</v>
      </c>
      <c r="C112" s="0" t="n">
        <f aca="false">VLOOKUP(B112,'Team Data'!$A$2:$V$140,2,FALSE())</f>
        <v>2</v>
      </c>
      <c r="D112" s="0" t="n">
        <f aca="false">VLOOKUP(B112,'Team Data'!$A$2:$V$140,3,FALSE())</f>
        <v>0</v>
      </c>
      <c r="E112" s="2" t="n">
        <f aca="false">VLOOKUP(B112,'Team Data'!$A$2:$V$140,22,FALSE())</f>
        <v>32.7977749264036</v>
      </c>
      <c r="F112" s="2" t="n">
        <f aca="false">IFERROR(E112/(C112+D112),0)</f>
        <v>16.3988874632018</v>
      </c>
    </row>
    <row r="113" customFormat="false" ht="15" hidden="false" customHeight="false" outlineLevel="0" collapsed="false">
      <c r="A113" s="0" t="n">
        <f aca="false">RANK(E113,E$2:E$139)</f>
        <v>74</v>
      </c>
      <c r="B113" s="0" t="s">
        <v>117</v>
      </c>
      <c r="C113" s="0" t="n">
        <f aca="false">VLOOKUP(B113,'Team Data'!$A$2:$V$140,2,FALSE())</f>
        <v>1</v>
      </c>
      <c r="D113" s="0" t="n">
        <f aca="false">VLOOKUP(B113,'Team Data'!$A$2:$V$140,3,FALSE())</f>
        <v>1</v>
      </c>
      <c r="E113" s="2" t="n">
        <f aca="false">VLOOKUP(B113,'Team Data'!$A$2:$V$140,22,FALSE())</f>
        <v>24.0360490340242</v>
      </c>
      <c r="F113" s="2" t="n">
        <f aca="false">IFERROR(E113/(C113+D113),0)</f>
        <v>12.0180245170121</v>
      </c>
    </row>
    <row r="114" customFormat="false" ht="15" hidden="false" customHeight="false" outlineLevel="0" collapsed="false">
      <c r="A114" s="0" t="n">
        <f aca="false">RANK(E114,E$2:E$139)</f>
        <v>43</v>
      </c>
      <c r="B114" s="0" t="s">
        <v>118</v>
      </c>
      <c r="C114" s="0" t="n">
        <f aca="false">VLOOKUP(B114,'Team Data'!$A$2:$V$140,2,FALSE())</f>
        <v>2</v>
      </c>
      <c r="D114" s="0" t="n">
        <f aca="false">VLOOKUP(B114,'Team Data'!$A$2:$V$140,3,FALSE())</f>
        <v>0</v>
      </c>
      <c r="E114" s="2" t="n">
        <f aca="false">VLOOKUP(B114,'Team Data'!$A$2:$V$140,22,FALSE())</f>
        <v>36.2263671974067</v>
      </c>
      <c r="F114" s="2" t="n">
        <f aca="false">IFERROR(E114/(C114+D114),0)</f>
        <v>18.1131835987033</v>
      </c>
    </row>
    <row r="115" customFormat="false" ht="15" hidden="false" customHeight="false" outlineLevel="0" collapsed="false">
      <c r="A115" s="0" t="n">
        <f aca="false">RANK(E115,E$2:E$139)</f>
        <v>92</v>
      </c>
      <c r="B115" s="0" t="s">
        <v>119</v>
      </c>
      <c r="C115" s="0" t="n">
        <f aca="false">VLOOKUP(B115,'Team Data'!$A$2:$V$140,2,FALSE())</f>
        <v>1</v>
      </c>
      <c r="D115" s="0" t="n">
        <f aca="false">VLOOKUP(B115,'Team Data'!$A$2:$V$140,3,FALSE())</f>
        <v>1</v>
      </c>
      <c r="E115" s="2" t="n">
        <f aca="false">VLOOKUP(B115,'Team Data'!$A$2:$V$140,22,FALSE())</f>
        <v>17.7239982067584</v>
      </c>
      <c r="F115" s="2" t="n">
        <f aca="false">IFERROR(E115/(C115+D115),0)</f>
        <v>8.86199910337918</v>
      </c>
    </row>
    <row r="116" customFormat="false" ht="15" hidden="false" customHeight="false" outlineLevel="0" collapsed="false">
      <c r="A116" s="0" t="n">
        <f aca="false">RANK(E116,E$2:E$139)</f>
        <v>37</v>
      </c>
      <c r="B116" s="0" t="s">
        <v>120</v>
      </c>
      <c r="C116" s="0" t="n">
        <f aca="false">VLOOKUP(B116,'Team Data'!$A$2:$V$140,2,FALSE())</f>
        <v>2</v>
      </c>
      <c r="D116" s="0" t="n">
        <f aca="false">VLOOKUP(B116,'Team Data'!$A$2:$V$140,3,FALSE())</f>
        <v>0</v>
      </c>
      <c r="E116" s="2" t="n">
        <f aca="false">VLOOKUP(B116,'Team Data'!$A$2:$V$140,22,FALSE())</f>
        <v>42.9318886520003</v>
      </c>
      <c r="F116" s="2" t="n">
        <f aca="false">IFERROR(E116/(C116+D116),0)</f>
        <v>21.4659443260001</v>
      </c>
    </row>
    <row r="117" customFormat="false" ht="15" hidden="false" customHeight="false" outlineLevel="0" collapsed="false">
      <c r="A117" s="0" t="n">
        <f aca="false">RANK(E117,E$2:E$139)</f>
        <v>77</v>
      </c>
      <c r="B117" s="0" t="s">
        <v>121</v>
      </c>
      <c r="C117" s="0" t="n">
        <f aca="false">VLOOKUP(B117,'Team Data'!$A$2:$V$140,2,FALSE())</f>
        <v>1</v>
      </c>
      <c r="D117" s="0" t="n">
        <f aca="false">VLOOKUP(B117,'Team Data'!$A$2:$V$140,3,FALSE())</f>
        <v>1</v>
      </c>
      <c r="E117" s="2" t="n">
        <f aca="false">VLOOKUP(B117,'Team Data'!$A$2:$V$140,22,FALSE())</f>
        <v>22.894797518126</v>
      </c>
      <c r="F117" s="2" t="n">
        <f aca="false">IFERROR(E117/(C117+D117),0)</f>
        <v>11.447398759063</v>
      </c>
    </row>
    <row r="118" customFormat="false" ht="15" hidden="false" customHeight="false" outlineLevel="0" collapsed="false">
      <c r="A118" s="0" t="n">
        <f aca="false">RANK(E118,E$2:E$139)</f>
        <v>66</v>
      </c>
      <c r="B118" s="0" t="s">
        <v>122</v>
      </c>
      <c r="C118" s="0" t="n">
        <f aca="false">VLOOKUP(B118,'Team Data'!$A$2:$V$140,2,FALSE())</f>
        <v>1</v>
      </c>
      <c r="D118" s="0" t="n">
        <f aca="false">VLOOKUP(B118,'Team Data'!$A$2:$V$140,3,FALSE())</f>
        <v>1</v>
      </c>
      <c r="E118" s="2" t="n">
        <f aca="false">VLOOKUP(B118,'Team Data'!$A$2:$V$140,22,FALSE())</f>
        <v>27.1533161870566</v>
      </c>
      <c r="F118" s="2" t="n">
        <f aca="false">IFERROR(E118/(C118+D118),0)</f>
        <v>13.5766580935283</v>
      </c>
    </row>
    <row r="119" customFormat="false" ht="15" hidden="false" customHeight="false" outlineLevel="0" collapsed="false">
      <c r="A119" s="0" t="n">
        <f aca="false">RANK(E119,E$2:E$139)</f>
        <v>15</v>
      </c>
      <c r="B119" s="0" t="s">
        <v>123</v>
      </c>
      <c r="C119" s="0" t="n">
        <f aca="false">VLOOKUP(B119,'Team Data'!$A$2:$V$140,2,FALSE())</f>
        <v>2</v>
      </c>
      <c r="D119" s="0" t="n">
        <f aca="false">VLOOKUP(B119,'Team Data'!$A$2:$V$140,3,FALSE())</f>
        <v>0</v>
      </c>
      <c r="E119" s="2" t="n">
        <f aca="false">VLOOKUP(B119,'Team Data'!$A$2:$V$140,22,FALSE())</f>
        <v>51.8205793491483</v>
      </c>
      <c r="F119" s="2" t="n">
        <f aca="false">IFERROR(E119/(C119+D119),0)</f>
        <v>25.9102896745742</v>
      </c>
    </row>
    <row r="120" customFormat="false" ht="15" hidden="false" customHeight="false" outlineLevel="0" collapsed="false">
      <c r="A120" s="0" t="n">
        <f aca="false">RANK(E120,E$2:E$139)</f>
        <v>100</v>
      </c>
      <c r="B120" s="0" t="s">
        <v>124</v>
      </c>
      <c r="C120" s="0" t="n">
        <f aca="false">VLOOKUP(B120,'Team Data'!$A$2:$V$140,2,FALSE())</f>
        <v>1</v>
      </c>
      <c r="D120" s="0" t="n">
        <f aca="false">VLOOKUP(B120,'Team Data'!$A$2:$V$140,3,FALSE())</f>
        <v>1</v>
      </c>
      <c r="E120" s="2" t="n">
        <f aca="false">VLOOKUP(B120,'Team Data'!$A$2:$V$140,22,FALSE())</f>
        <v>15.3451998963396</v>
      </c>
      <c r="F120" s="2" t="n">
        <f aca="false">IFERROR(E120/(C120+D120),0)</f>
        <v>7.67259994816979</v>
      </c>
    </row>
    <row r="121" customFormat="false" ht="15" hidden="false" customHeight="false" outlineLevel="0" collapsed="false">
      <c r="A121" s="0" t="n">
        <f aca="false">RANK(E121,E$2:E$139)</f>
        <v>46</v>
      </c>
      <c r="B121" s="0" t="s">
        <v>125</v>
      </c>
      <c r="C121" s="0" t="n">
        <f aca="false">VLOOKUP(B121,'Team Data'!$A$2:$V$140,2,FALSE())</f>
        <v>2</v>
      </c>
      <c r="D121" s="0" t="n">
        <f aca="false">VLOOKUP(B121,'Team Data'!$A$2:$V$140,3,FALSE())</f>
        <v>0</v>
      </c>
      <c r="E121" s="2" t="n">
        <f aca="false">VLOOKUP(B121,'Team Data'!$A$2:$V$140,22,FALSE())</f>
        <v>35.7062654085179</v>
      </c>
      <c r="F121" s="2" t="n">
        <f aca="false">IFERROR(E121/(C121+D121),0)</f>
        <v>17.853132704259</v>
      </c>
    </row>
    <row r="122" customFormat="false" ht="15" hidden="false" customHeight="false" outlineLevel="0" collapsed="false">
      <c r="A122" s="0" t="n">
        <f aca="false">RANK(E122,E$2:E$139)</f>
        <v>113</v>
      </c>
      <c r="B122" s="0" t="s">
        <v>126</v>
      </c>
      <c r="C122" s="0" t="n">
        <f aca="false">VLOOKUP(B122,'Team Data'!$A$2:$V$140,2,FALSE())</f>
        <v>1</v>
      </c>
      <c r="D122" s="0" t="n">
        <f aca="false">VLOOKUP(B122,'Team Data'!$A$2:$V$140,3,FALSE())</f>
        <v>2</v>
      </c>
      <c r="E122" s="2" t="n">
        <f aca="false">VLOOKUP(B122,'Team Data'!$A$2:$V$140,22,FALSE())</f>
        <v>8.94262132746217</v>
      </c>
      <c r="F122" s="2" t="n">
        <f aca="false">IFERROR(E122/(C122+D122),0)</f>
        <v>2.98087377582072</v>
      </c>
    </row>
    <row r="123" customFormat="false" ht="15" hidden="false" customHeight="false" outlineLevel="0" collapsed="false">
      <c r="A123" s="0" t="n">
        <f aca="false">RANK(E123,E$2:E$139)</f>
        <v>5</v>
      </c>
      <c r="B123" s="0" t="s">
        <v>127</v>
      </c>
      <c r="C123" s="0" t="n">
        <f aca="false">VLOOKUP(B123,'Team Data'!$A$2:$V$140,2,FALSE())</f>
        <v>3</v>
      </c>
      <c r="D123" s="0" t="n">
        <f aca="false">VLOOKUP(B123,'Team Data'!$A$2:$V$140,3,FALSE())</f>
        <v>0</v>
      </c>
      <c r="E123" s="2" t="n">
        <f aca="false">VLOOKUP(B123,'Team Data'!$A$2:$V$140,22,FALSE())</f>
        <v>62.608396578416</v>
      </c>
      <c r="F123" s="2" t="n">
        <f aca="false">IFERROR(E123/(C123+D123),0)</f>
        <v>20.8694655261387</v>
      </c>
    </row>
    <row r="124" customFormat="false" ht="15" hidden="false" customHeight="false" outlineLevel="0" collapsed="false">
      <c r="A124" s="0" t="n">
        <f aca="false">RANK(E124,E$2:E$139)</f>
        <v>51</v>
      </c>
      <c r="B124" s="0" t="s">
        <v>128</v>
      </c>
      <c r="C124" s="0" t="n">
        <f aca="false">VLOOKUP(B124,'Team Data'!$A$2:$V$140,2,FALSE())</f>
        <v>2</v>
      </c>
      <c r="D124" s="0" t="n">
        <f aca="false">VLOOKUP(B124,'Team Data'!$A$2:$V$140,3,FALSE())</f>
        <v>0</v>
      </c>
      <c r="E124" s="2" t="n">
        <f aca="false">VLOOKUP(B124,'Team Data'!$A$2:$V$140,22,FALSE())</f>
        <v>34.9763946195586</v>
      </c>
      <c r="F124" s="2" t="n">
        <f aca="false">IFERROR(E124/(C124+D124),0)</f>
        <v>17.4881973097793</v>
      </c>
    </row>
    <row r="125" customFormat="false" ht="15" hidden="false" customHeight="false" outlineLevel="0" collapsed="false">
      <c r="A125" s="0" t="n">
        <f aca="false">RANK(E125,E$2:E$139)</f>
        <v>103</v>
      </c>
      <c r="B125" s="0" t="s">
        <v>129</v>
      </c>
      <c r="C125" s="0" t="n">
        <f aca="false">VLOOKUP(B125,'Team Data'!$A$2:$V$140,2,FALSE())</f>
        <v>1</v>
      </c>
      <c r="D125" s="0" t="n">
        <f aca="false">VLOOKUP(B125,'Team Data'!$A$2:$V$140,3,FALSE())</f>
        <v>1</v>
      </c>
      <c r="E125" s="2" t="n">
        <f aca="false">VLOOKUP(B125,'Team Data'!$A$2:$V$140,22,FALSE())</f>
        <v>14.270650103597</v>
      </c>
      <c r="F125" s="2" t="n">
        <f aca="false">IFERROR(E125/(C125+D125),0)</f>
        <v>7.13532505179851</v>
      </c>
    </row>
    <row r="126" customFormat="false" ht="15" hidden="false" customHeight="false" outlineLevel="0" collapsed="false">
      <c r="A126" s="0" t="n">
        <f aca="false">RANK(E126,E$2:E$139)</f>
        <v>55</v>
      </c>
      <c r="B126" s="0" t="s">
        <v>130</v>
      </c>
      <c r="C126" s="0" t="n">
        <f aca="false">VLOOKUP(B126,'Team Data'!$A$2:$V$140,2,FALSE())</f>
        <v>2</v>
      </c>
      <c r="D126" s="0" t="n">
        <f aca="false">VLOOKUP(B126,'Team Data'!$A$2:$V$140,3,FALSE())</f>
        <v>0</v>
      </c>
      <c r="E126" s="2" t="n">
        <f aca="false">VLOOKUP(B126,'Team Data'!$A$2:$V$140,22,FALSE())</f>
        <v>33.2258918739196</v>
      </c>
      <c r="F126" s="2" t="n">
        <f aca="false">IFERROR(E126/(C126+D126),0)</f>
        <v>16.6129459369598</v>
      </c>
    </row>
    <row r="127" customFormat="false" ht="15" hidden="false" customHeight="false" outlineLevel="0" collapsed="false">
      <c r="A127" s="0" t="n">
        <f aca="false">RANK(E127,E$2:E$139)</f>
        <v>24</v>
      </c>
      <c r="B127" s="0" t="s">
        <v>131</v>
      </c>
      <c r="C127" s="0" t="n">
        <f aca="false">VLOOKUP(B127,'Team Data'!$A$2:$V$140,2,FALSE())</f>
        <v>2</v>
      </c>
      <c r="D127" s="0" t="n">
        <f aca="false">VLOOKUP(B127,'Team Data'!$A$2:$V$140,3,FALSE())</f>
        <v>0</v>
      </c>
      <c r="E127" s="2" t="n">
        <f aca="false">VLOOKUP(B127,'Team Data'!$A$2:$V$140,22,FALSE())</f>
        <v>49.9782632835887</v>
      </c>
      <c r="F127" s="2" t="n">
        <f aca="false">IFERROR(E127/(C127+D127),0)</f>
        <v>24.9891316417944</v>
      </c>
    </row>
    <row r="128" customFormat="false" ht="15" hidden="false" customHeight="false" outlineLevel="0" collapsed="false">
      <c r="A128" s="0" t="n">
        <f aca="false">RANK(E128,E$2:E$139)</f>
        <v>134</v>
      </c>
      <c r="B128" s="0" t="s">
        <v>132</v>
      </c>
      <c r="C128" s="0" t="n">
        <f aca="false">VLOOKUP(B128,'Team Data'!$A$2:$V$140,2,FALSE())</f>
        <v>0</v>
      </c>
      <c r="D128" s="0" t="n">
        <f aca="false">VLOOKUP(B128,'Team Data'!$A$2:$V$140,3,FALSE())</f>
        <v>2</v>
      </c>
      <c r="E128" s="2" t="n">
        <f aca="false">VLOOKUP(B128,'Team Data'!$A$2:$V$140,22,FALSE())</f>
        <v>-7.82876758539226</v>
      </c>
      <c r="F128" s="2" t="n">
        <f aca="false">IFERROR(E128/(C128+D128),0)</f>
        <v>-3.91438379269613</v>
      </c>
    </row>
    <row r="129" customFormat="false" ht="15" hidden="false" customHeight="false" outlineLevel="0" collapsed="false">
      <c r="A129" s="0" t="n">
        <f aca="false">RANK(E129,E$2:E$139)</f>
        <v>47</v>
      </c>
      <c r="B129" s="0" t="s">
        <v>133</v>
      </c>
      <c r="C129" s="0" t="n">
        <f aca="false">VLOOKUP(B129,'Team Data'!$A$2:$V$140,2,FALSE())</f>
        <v>2</v>
      </c>
      <c r="D129" s="0" t="n">
        <f aca="false">VLOOKUP(B129,'Team Data'!$A$2:$V$140,3,FALSE())</f>
        <v>0</v>
      </c>
      <c r="E129" s="2" t="n">
        <f aca="false">VLOOKUP(B129,'Team Data'!$A$2:$V$140,22,FALSE())</f>
        <v>35.330583770939</v>
      </c>
      <c r="F129" s="2" t="n">
        <f aca="false">IFERROR(E129/(C129+D129),0)</f>
        <v>17.6652918854695</v>
      </c>
    </row>
    <row r="130" customFormat="false" ht="15" hidden="false" customHeight="false" outlineLevel="0" collapsed="false">
      <c r="A130" s="0" t="n">
        <f aca="false">RANK(E130,E$2:E$139)</f>
        <v>21</v>
      </c>
      <c r="B130" s="0" t="s">
        <v>134</v>
      </c>
      <c r="C130" s="0" t="n">
        <f aca="false">VLOOKUP(B130,'Team Data'!$A$2:$V$140,2,FALSE())</f>
        <v>2</v>
      </c>
      <c r="D130" s="0" t="n">
        <f aca="false">VLOOKUP(B130,'Team Data'!$A$2:$V$140,3,FALSE())</f>
        <v>0</v>
      </c>
      <c r="E130" s="2" t="n">
        <f aca="false">VLOOKUP(B130,'Team Data'!$A$2:$V$140,22,FALSE())</f>
        <v>50.8535759433398</v>
      </c>
      <c r="F130" s="2" t="n">
        <f aca="false">IFERROR(E130/(C130+D130),0)</f>
        <v>25.4267879716699</v>
      </c>
    </row>
    <row r="131" customFormat="false" ht="15" hidden="false" customHeight="false" outlineLevel="0" collapsed="false">
      <c r="A131" s="0" t="n">
        <f aca="false">RANK(E131,E$2:E$139)</f>
        <v>22</v>
      </c>
      <c r="B131" s="0" t="s">
        <v>135</v>
      </c>
      <c r="C131" s="0" t="n">
        <f aca="false">VLOOKUP(B131,'Team Data'!$A$2:$V$140,2,FALSE())</f>
        <v>2</v>
      </c>
      <c r="D131" s="0" t="n">
        <f aca="false">VLOOKUP(B131,'Team Data'!$A$2:$V$140,3,FALSE())</f>
        <v>0</v>
      </c>
      <c r="E131" s="2" t="n">
        <f aca="false">VLOOKUP(B131,'Team Data'!$A$2:$V$140,22,FALSE())</f>
        <v>50.7691320154701</v>
      </c>
      <c r="F131" s="2" t="n">
        <f aca="false">IFERROR(E131/(C131+D131),0)</f>
        <v>25.384566007735</v>
      </c>
    </row>
    <row r="132" customFormat="false" ht="15" hidden="false" customHeight="false" outlineLevel="0" collapsed="false">
      <c r="A132" s="0" t="n">
        <f aca="false">RANK(E132,E$2:E$139)</f>
        <v>39</v>
      </c>
      <c r="B132" s="0" t="s">
        <v>136</v>
      </c>
      <c r="C132" s="0" t="n">
        <f aca="false">VLOOKUP(B132,'Team Data'!$A$2:$V$140,2,FALSE())</f>
        <v>2</v>
      </c>
      <c r="D132" s="0" t="n">
        <f aca="false">VLOOKUP(B132,'Team Data'!$A$2:$V$140,3,FALSE())</f>
        <v>0</v>
      </c>
      <c r="E132" s="2" t="n">
        <f aca="false">VLOOKUP(B132,'Team Data'!$A$2:$V$140,22,FALSE())</f>
        <v>40.8958274868162</v>
      </c>
      <c r="F132" s="2" t="n">
        <f aca="false">IFERROR(E132/(C132+D132),0)</f>
        <v>20.4479137434081</v>
      </c>
    </row>
    <row r="133" customFormat="false" ht="15" hidden="false" customHeight="false" outlineLevel="0" collapsed="false">
      <c r="A133" s="0" t="n">
        <f aca="false">RANK(E133,E$2:E$139)</f>
        <v>45</v>
      </c>
      <c r="B133" s="0" t="s">
        <v>137</v>
      </c>
      <c r="C133" s="0" t="n">
        <f aca="false">VLOOKUP(B133,'Team Data'!$A$2:$V$140,2,FALSE())</f>
        <v>2</v>
      </c>
      <c r="D133" s="0" t="n">
        <f aca="false">VLOOKUP(B133,'Team Data'!$A$2:$V$140,3,FALSE())</f>
        <v>0</v>
      </c>
      <c r="E133" s="2" t="n">
        <f aca="false">VLOOKUP(B133,'Team Data'!$A$2:$V$140,22,FALSE())</f>
        <v>35.884073866451</v>
      </c>
      <c r="F133" s="2" t="n">
        <f aca="false">IFERROR(E133/(C133+D133),0)</f>
        <v>17.9420369332255</v>
      </c>
    </row>
    <row r="134" customFormat="false" ht="15" hidden="false" customHeight="false" outlineLevel="0" collapsed="false">
      <c r="A134" s="0" t="n">
        <f aca="false">RANK(E134,E$2:E$139)</f>
        <v>133</v>
      </c>
      <c r="B134" s="0" t="s">
        <v>138</v>
      </c>
      <c r="C134" s="0" t="n">
        <f aca="false">VLOOKUP(B134,'Team Data'!$A$2:$V$140,2,FALSE())</f>
        <v>0</v>
      </c>
      <c r="D134" s="0" t="n">
        <f aca="false">VLOOKUP(B134,'Team Data'!$A$2:$V$140,3,FALSE())</f>
        <v>2</v>
      </c>
      <c r="E134" s="2" t="n">
        <f aca="false">VLOOKUP(B134,'Team Data'!$A$2:$V$140,22,FALSE())</f>
        <v>-5.48173161495381</v>
      </c>
      <c r="F134" s="2" t="n">
        <f aca="false">IFERROR(E134/(C134+D134),0)</f>
        <v>-2.74086580747691</v>
      </c>
    </row>
    <row r="135" customFormat="false" ht="15" hidden="false" customHeight="false" outlineLevel="0" collapsed="false">
      <c r="A135" s="0" t="n">
        <f aca="false">RANK(E135,E$2:E$139)</f>
        <v>44</v>
      </c>
      <c r="B135" s="0" t="s">
        <v>139</v>
      </c>
      <c r="C135" s="0" t="n">
        <f aca="false">VLOOKUP(B135,'Team Data'!$A$2:$V$140,2,FALSE())</f>
        <v>2</v>
      </c>
      <c r="D135" s="0" t="n">
        <f aca="false">VLOOKUP(B135,'Team Data'!$A$2:$V$140,3,FALSE())</f>
        <v>0</v>
      </c>
      <c r="E135" s="2" t="n">
        <f aca="false">VLOOKUP(B135,'Team Data'!$A$2:$V$140,22,FALSE())</f>
        <v>36.0319613977514</v>
      </c>
      <c r="F135" s="2" t="n">
        <f aca="false">IFERROR(E135/(C135+D135),0)</f>
        <v>18.0159806988757</v>
      </c>
    </row>
    <row r="136" customFormat="false" ht="15" hidden="false" customHeight="false" outlineLevel="0" collapsed="false">
      <c r="A136" s="0" t="n">
        <f aca="false">RANK(E136,E$2:E$139)</f>
        <v>138</v>
      </c>
      <c r="B136" s="0" t="s">
        <v>140</v>
      </c>
      <c r="C136" s="0" t="n">
        <f aca="false">VLOOKUP(B136,'Team Data'!$A$2:$V$140,2,FALSE())</f>
        <v>0</v>
      </c>
      <c r="D136" s="0" t="n">
        <f aca="false">VLOOKUP(B136,'Team Data'!$A$2:$V$140,3,FALSE())</f>
        <v>2</v>
      </c>
      <c r="E136" s="2" t="n">
        <f aca="false">VLOOKUP(B136,'Team Data'!$A$2:$V$140,22,FALSE())</f>
        <v>-25.7635335901255</v>
      </c>
      <c r="F136" s="2" t="n">
        <f aca="false">IFERROR(E136/(C136+D136),0)</f>
        <v>-12.8817667950627</v>
      </c>
    </row>
    <row r="137" customFormat="false" ht="15" hidden="false" customHeight="false" outlineLevel="0" collapsed="false">
      <c r="A137" s="0" t="n">
        <f aca="false">RANK(E137,E$2:E$139)</f>
        <v>88</v>
      </c>
      <c r="B137" s="0" t="s">
        <v>141</v>
      </c>
      <c r="C137" s="0" t="n">
        <f aca="false">VLOOKUP(B137,'Team Data'!$A$2:$V$140,2,FALSE())</f>
        <v>1</v>
      </c>
      <c r="D137" s="0" t="n">
        <f aca="false">VLOOKUP(B137,'Team Data'!$A$2:$V$140,3,FALSE())</f>
        <v>1</v>
      </c>
      <c r="E137" s="2" t="n">
        <f aca="false">VLOOKUP(B137,'Team Data'!$A$2:$V$140,22,FALSE())</f>
        <v>18.898255717751</v>
      </c>
      <c r="F137" s="2" t="n">
        <f aca="false">IFERROR(E137/(C137+D137),0)</f>
        <v>9.44912785887549</v>
      </c>
    </row>
    <row r="138" customFormat="false" ht="15" hidden="false" customHeight="false" outlineLevel="0" collapsed="false">
      <c r="A138" s="0" t="n">
        <f aca="false">RANK(E138,E$2:E$139)</f>
        <v>106</v>
      </c>
      <c r="B138" s="0" t="s">
        <v>142</v>
      </c>
      <c r="C138" s="0" t="n">
        <f aca="false">VLOOKUP(B138,'Team Data'!$A$2:$V$140,2,FALSE())</f>
        <v>1</v>
      </c>
      <c r="D138" s="0" t="n">
        <f aca="false">VLOOKUP(B138,'Team Data'!$A$2:$V$140,3,FALSE())</f>
        <v>1</v>
      </c>
      <c r="E138" s="2" t="n">
        <f aca="false">VLOOKUP(B138,'Team Data'!$A$2:$V$140,22,FALSE())</f>
        <v>13.0005840604923</v>
      </c>
      <c r="F138" s="2" t="n">
        <f aca="false">IFERROR(E138/(C138+D138),0)</f>
        <v>6.50029203024614</v>
      </c>
    </row>
    <row r="139" customFormat="false" ht="15" hidden="false" customHeight="false" outlineLevel="0" collapsed="false">
      <c r="A139" s="0" t="n">
        <f aca="false">RANK(E139,E$2:E$139)</f>
        <v>129</v>
      </c>
      <c r="B139" s="0" t="s">
        <v>143</v>
      </c>
      <c r="C139" s="0" t="n">
        <f aca="false">VLOOKUP(B139,'Team Data'!$A$2:$V$140,2,FALSE())</f>
        <v>1</v>
      </c>
      <c r="D139" s="0" t="n">
        <f aca="false">VLOOKUP(B139,'Team Data'!$A$2:$V$140,3,FALSE())</f>
        <v>1</v>
      </c>
      <c r="E139" s="2" t="n">
        <f aca="false">VLOOKUP(B139,'Team Data'!$A$2:$V$140,22,FALSE())</f>
        <v>-0.117305501792182</v>
      </c>
      <c r="F139" s="2" t="n">
        <f aca="false">IFERROR(E139/(C139+D139),0)</f>
        <v>-0.058652750896091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7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</row>
    <row r="2" customFormat="false" ht="15" hidden="false" customHeight="false" outlineLevel="0" collapsed="false">
      <c r="A2" s="0" t="n">
        <v>1</v>
      </c>
      <c r="B2" s="0" t="s">
        <v>47</v>
      </c>
      <c r="C2" s="0" t="s">
        <v>149</v>
      </c>
      <c r="D2" s="3" t="n">
        <v>34.56</v>
      </c>
      <c r="E2" s="3" t="n">
        <v>0.72</v>
      </c>
      <c r="F2" s="0" t="n">
        <v>11</v>
      </c>
      <c r="G2" s="0" t="n">
        <v>2</v>
      </c>
    </row>
    <row r="3" customFormat="false" ht="15" hidden="false" customHeight="false" outlineLevel="0" collapsed="false">
      <c r="A3" s="0" t="n">
        <v>2</v>
      </c>
      <c r="B3" s="0" t="s">
        <v>88</v>
      </c>
      <c r="C3" s="0" t="s">
        <v>149</v>
      </c>
      <c r="D3" s="3" t="n">
        <v>32.72</v>
      </c>
      <c r="E3" s="3" t="n">
        <v>0.01</v>
      </c>
      <c r="F3" s="0" t="n">
        <v>68</v>
      </c>
      <c r="G3" s="0" t="n">
        <v>2</v>
      </c>
    </row>
    <row r="4" customFormat="false" ht="15" hidden="false" customHeight="false" outlineLevel="0" collapsed="false">
      <c r="A4" s="0" t="n">
        <v>3</v>
      </c>
      <c r="B4" s="0" t="s">
        <v>86</v>
      </c>
      <c r="C4" s="0" t="s">
        <v>150</v>
      </c>
      <c r="D4" s="3" t="n">
        <v>32.33</v>
      </c>
      <c r="E4" s="3" t="n">
        <v>0.55</v>
      </c>
      <c r="F4" s="0" t="n">
        <v>25</v>
      </c>
      <c r="G4" s="0" t="n">
        <v>2</v>
      </c>
    </row>
    <row r="5" customFormat="false" ht="15" hidden="false" customHeight="false" outlineLevel="0" collapsed="false">
      <c r="A5" s="0" t="n">
        <v>4</v>
      </c>
      <c r="B5" s="0" t="s">
        <v>66</v>
      </c>
      <c r="C5" s="0" t="s">
        <v>151</v>
      </c>
      <c r="D5" s="3" t="n">
        <v>28.2</v>
      </c>
      <c r="E5" s="3" t="n">
        <v>0.33</v>
      </c>
      <c r="F5" s="0" t="n">
        <v>38</v>
      </c>
      <c r="G5" s="0" t="n">
        <v>2</v>
      </c>
    </row>
    <row r="6" customFormat="false" ht="15" hidden="false" customHeight="false" outlineLevel="0" collapsed="false">
      <c r="A6" s="0" t="n">
        <v>5</v>
      </c>
      <c r="B6" s="0" t="s">
        <v>8</v>
      </c>
      <c r="C6" s="0" t="s">
        <v>152</v>
      </c>
      <c r="D6" s="3" t="n">
        <v>27.52</v>
      </c>
      <c r="E6" s="3" t="n">
        <v>0.96</v>
      </c>
      <c r="F6" s="0" t="n">
        <v>4</v>
      </c>
      <c r="G6" s="0" t="n">
        <v>2</v>
      </c>
    </row>
    <row r="7" customFormat="false" ht="15" hidden="false" customHeight="false" outlineLevel="0" collapsed="false">
      <c r="A7" s="0" t="n">
        <v>6</v>
      </c>
      <c r="B7" s="0" t="s">
        <v>131</v>
      </c>
      <c r="C7" s="0" t="s">
        <v>153</v>
      </c>
      <c r="D7" s="3" t="n">
        <v>26.44</v>
      </c>
      <c r="E7" s="3" t="n">
        <v>0.53</v>
      </c>
      <c r="F7" s="0" t="n">
        <v>26</v>
      </c>
      <c r="G7" s="0" t="n">
        <v>2</v>
      </c>
    </row>
    <row r="8" customFormat="false" ht="15" hidden="false" customHeight="false" outlineLevel="0" collapsed="false">
      <c r="A8" s="0" t="n">
        <v>7</v>
      </c>
      <c r="B8" s="0" t="s">
        <v>40</v>
      </c>
      <c r="C8" s="0" t="s">
        <v>152</v>
      </c>
      <c r="D8" s="3" t="n">
        <v>25.56</v>
      </c>
      <c r="E8" s="3" t="n">
        <v>0.08</v>
      </c>
      <c r="F8" s="0" t="n">
        <v>57</v>
      </c>
      <c r="G8" s="0" t="n">
        <v>2</v>
      </c>
    </row>
    <row r="9" customFormat="false" ht="15" hidden="false" customHeight="false" outlineLevel="0" collapsed="false">
      <c r="A9" s="0" t="n">
        <v>8</v>
      </c>
      <c r="B9" s="0" t="s">
        <v>114</v>
      </c>
      <c r="C9" s="0" t="s">
        <v>152</v>
      </c>
      <c r="D9" s="3" t="n">
        <v>25.29</v>
      </c>
      <c r="E9" s="3" t="n">
        <v>0.68</v>
      </c>
      <c r="F9" s="0" t="n">
        <v>18</v>
      </c>
      <c r="G9" s="0" t="n">
        <v>2</v>
      </c>
    </row>
    <row r="10" customFormat="false" ht="15" hidden="false" customHeight="false" outlineLevel="0" collapsed="false">
      <c r="A10" s="0" t="n">
        <v>9</v>
      </c>
      <c r="B10" s="0" t="s">
        <v>113</v>
      </c>
      <c r="C10" s="0" t="s">
        <v>152</v>
      </c>
      <c r="D10" s="3" t="n">
        <v>24.56</v>
      </c>
      <c r="E10" s="3" t="n">
        <v>1.22</v>
      </c>
      <c r="F10" s="0" t="n">
        <v>3</v>
      </c>
      <c r="G10" s="0" t="n">
        <v>2</v>
      </c>
    </row>
    <row r="11" customFormat="false" ht="15" hidden="false" customHeight="false" outlineLevel="0" collapsed="false">
      <c r="A11" s="0" t="n">
        <v>10</v>
      </c>
      <c r="B11" s="0" t="s">
        <v>95</v>
      </c>
      <c r="C11" s="0" t="s">
        <v>149</v>
      </c>
      <c r="D11" s="3" t="n">
        <v>22.07</v>
      </c>
      <c r="E11" s="3" t="n">
        <v>0.42</v>
      </c>
      <c r="F11" s="0" t="n">
        <v>32</v>
      </c>
      <c r="G11" s="0" t="n">
        <v>2</v>
      </c>
    </row>
    <row r="12" customFormat="false" ht="15" hidden="false" customHeight="false" outlineLevel="0" collapsed="false">
      <c r="A12" s="0" t="n">
        <v>11</v>
      </c>
      <c r="B12" s="0" t="s">
        <v>116</v>
      </c>
      <c r="C12" s="0" t="s">
        <v>153</v>
      </c>
      <c r="D12" s="3" t="n">
        <v>20.32</v>
      </c>
      <c r="E12" s="3" t="n">
        <v>0.32</v>
      </c>
      <c r="F12" s="0" t="n">
        <v>40</v>
      </c>
      <c r="G12" s="0" t="n">
        <v>2</v>
      </c>
    </row>
    <row r="13" customFormat="false" ht="15" hidden="false" customHeight="false" outlineLevel="0" collapsed="false">
      <c r="A13" s="0" t="n">
        <v>12</v>
      </c>
      <c r="B13" s="0" t="s">
        <v>93</v>
      </c>
      <c r="C13" s="0" t="s">
        <v>149</v>
      </c>
      <c r="D13" s="3" t="n">
        <v>20.13</v>
      </c>
      <c r="E13" s="3" t="n">
        <v>0.02</v>
      </c>
      <c r="F13" s="0" t="n">
        <v>67</v>
      </c>
      <c r="G13" s="0" t="n">
        <v>2</v>
      </c>
    </row>
    <row r="14" customFormat="false" ht="15" hidden="false" customHeight="false" outlineLevel="0" collapsed="false">
      <c r="A14" s="0" t="n">
        <v>13</v>
      </c>
      <c r="B14" s="0" t="s">
        <v>92</v>
      </c>
      <c r="C14" s="0" t="s">
        <v>152</v>
      </c>
      <c r="D14" s="3" t="n">
        <v>20.13</v>
      </c>
      <c r="E14" s="3" t="n">
        <v>0.88</v>
      </c>
      <c r="F14" s="0" t="n">
        <v>5</v>
      </c>
      <c r="G14" s="0" t="n">
        <v>2</v>
      </c>
    </row>
    <row r="15" customFormat="false" ht="15" hidden="false" customHeight="false" outlineLevel="0" collapsed="false">
      <c r="A15" s="0" t="n">
        <v>14</v>
      </c>
      <c r="B15" s="0" t="s">
        <v>112</v>
      </c>
      <c r="C15" s="0" t="s">
        <v>152</v>
      </c>
      <c r="D15" s="3" t="n">
        <v>19.7</v>
      </c>
      <c r="E15" s="3" t="n">
        <v>0.69</v>
      </c>
      <c r="F15" s="0" t="n">
        <v>16</v>
      </c>
      <c r="G15" s="0" t="n">
        <v>2</v>
      </c>
    </row>
    <row r="16" customFormat="false" ht="15" hidden="false" customHeight="false" outlineLevel="0" collapsed="false">
      <c r="A16" s="0" t="n">
        <v>15</v>
      </c>
      <c r="B16" s="0" t="s">
        <v>16</v>
      </c>
      <c r="C16" s="0" t="s">
        <v>153</v>
      </c>
      <c r="D16" s="3" t="n">
        <v>19.27</v>
      </c>
      <c r="E16" s="3" t="n">
        <v>0.71</v>
      </c>
      <c r="F16" s="0" t="n">
        <v>14</v>
      </c>
      <c r="G16" s="0" t="n">
        <v>2</v>
      </c>
    </row>
    <row r="17" customFormat="false" ht="15" hidden="false" customHeight="false" outlineLevel="0" collapsed="false">
      <c r="A17" s="0" t="n">
        <v>16</v>
      </c>
      <c r="B17" s="0" t="s">
        <v>57</v>
      </c>
      <c r="C17" s="0" t="s">
        <v>152</v>
      </c>
      <c r="D17" s="3" t="n">
        <v>18.78</v>
      </c>
      <c r="E17" s="3" t="n">
        <v>0.72</v>
      </c>
      <c r="F17" s="0" t="n">
        <v>12</v>
      </c>
      <c r="G17" s="0" t="n">
        <v>2</v>
      </c>
    </row>
    <row r="18" customFormat="false" ht="15" hidden="false" customHeight="false" outlineLevel="0" collapsed="false">
      <c r="A18" s="0" t="n">
        <v>17</v>
      </c>
      <c r="B18" s="0" t="s">
        <v>127</v>
      </c>
      <c r="C18" s="0" t="s">
        <v>149</v>
      </c>
      <c r="D18" s="3" t="n">
        <v>18.57</v>
      </c>
      <c r="E18" s="3" t="n">
        <v>0.64</v>
      </c>
      <c r="F18" s="0" t="n">
        <v>20</v>
      </c>
      <c r="G18" s="0" t="n">
        <v>3</v>
      </c>
    </row>
    <row r="19" customFormat="false" ht="15" hidden="false" customHeight="false" outlineLevel="0" collapsed="false">
      <c r="A19" s="0" t="n">
        <v>18</v>
      </c>
      <c r="B19" s="0" t="s">
        <v>48</v>
      </c>
      <c r="C19" s="0" t="s">
        <v>149</v>
      </c>
      <c r="D19" s="3" t="n">
        <v>17.43</v>
      </c>
      <c r="E19" s="3" t="n">
        <v>0.74</v>
      </c>
      <c r="F19" s="0" t="n">
        <v>9</v>
      </c>
      <c r="G19" s="0" t="n">
        <v>2</v>
      </c>
    </row>
    <row r="20" customFormat="false" ht="15" hidden="false" customHeight="false" outlineLevel="0" collapsed="false">
      <c r="A20" s="0" t="n">
        <v>19</v>
      </c>
      <c r="B20" s="0" t="s">
        <v>100</v>
      </c>
      <c r="C20" s="0" t="s">
        <v>151</v>
      </c>
      <c r="D20" s="3" t="n">
        <v>16.86</v>
      </c>
      <c r="E20" s="3" t="n">
        <v>0.79</v>
      </c>
      <c r="F20" s="0" t="n">
        <v>6</v>
      </c>
      <c r="G20" s="0" t="n">
        <v>2</v>
      </c>
    </row>
    <row r="21" customFormat="false" ht="15" hidden="false" customHeight="false" outlineLevel="0" collapsed="false">
      <c r="A21" s="0" t="n">
        <v>20</v>
      </c>
      <c r="B21" s="0" t="s">
        <v>89</v>
      </c>
      <c r="C21" s="0" t="s">
        <v>152</v>
      </c>
      <c r="D21" s="3" t="n">
        <v>16.84</v>
      </c>
      <c r="E21" s="3" t="n">
        <v>-0.07</v>
      </c>
      <c r="F21" s="0" t="n">
        <v>98</v>
      </c>
      <c r="G21" s="0" t="n">
        <v>2</v>
      </c>
    </row>
    <row r="22" customFormat="false" ht="15" hidden="false" customHeight="false" outlineLevel="0" collapsed="false">
      <c r="A22" s="0" t="n">
        <v>21</v>
      </c>
      <c r="B22" s="0" t="s">
        <v>73</v>
      </c>
      <c r="C22" s="0" t="s">
        <v>152</v>
      </c>
      <c r="D22" s="3" t="n">
        <v>15.97</v>
      </c>
      <c r="E22" s="3" t="n">
        <v>0.68</v>
      </c>
      <c r="F22" s="0" t="n">
        <v>19</v>
      </c>
      <c r="G22" s="0" t="n">
        <v>2</v>
      </c>
    </row>
    <row r="23" customFormat="false" ht="15" hidden="false" customHeight="false" outlineLevel="0" collapsed="false">
      <c r="A23" s="0" t="n">
        <v>22</v>
      </c>
      <c r="B23" s="0" t="s">
        <v>53</v>
      </c>
      <c r="C23" s="0" t="s">
        <v>153</v>
      </c>
      <c r="D23" s="3" t="n">
        <v>14.66</v>
      </c>
      <c r="E23" s="3" t="n">
        <v>0.41</v>
      </c>
      <c r="F23" s="0" t="n">
        <v>33</v>
      </c>
      <c r="G23" s="0" t="n">
        <v>2</v>
      </c>
    </row>
    <row r="24" customFormat="false" ht="15" hidden="false" customHeight="false" outlineLevel="0" collapsed="false">
      <c r="A24" s="0" t="n">
        <v>23</v>
      </c>
      <c r="B24" s="0" t="s">
        <v>62</v>
      </c>
      <c r="C24" s="0" t="s">
        <v>151</v>
      </c>
      <c r="D24" s="3" t="n">
        <v>14.43</v>
      </c>
      <c r="E24" s="3" t="n">
        <v>-0.05</v>
      </c>
      <c r="F24" s="0" t="n">
        <v>91</v>
      </c>
      <c r="G24" s="0" t="n">
        <v>2</v>
      </c>
    </row>
    <row r="25" customFormat="false" ht="15" hidden="false" customHeight="false" outlineLevel="0" collapsed="false">
      <c r="A25" s="0" t="n">
        <v>24</v>
      </c>
      <c r="B25" s="0" t="s">
        <v>134</v>
      </c>
      <c r="C25" s="0" t="s">
        <v>151</v>
      </c>
      <c r="D25" s="3" t="n">
        <v>12.89</v>
      </c>
      <c r="E25" s="3" t="n">
        <v>0.51</v>
      </c>
      <c r="F25" s="0" t="n">
        <v>27</v>
      </c>
      <c r="G25" s="0" t="n">
        <v>2</v>
      </c>
    </row>
    <row r="26" customFormat="false" ht="15" hidden="false" customHeight="false" outlineLevel="0" collapsed="false">
      <c r="A26" s="0" t="n">
        <v>25</v>
      </c>
      <c r="B26" s="0" t="s">
        <v>133</v>
      </c>
      <c r="C26" s="0" t="s">
        <v>152</v>
      </c>
      <c r="D26" s="3" t="n">
        <v>12.81</v>
      </c>
      <c r="E26" s="3" t="n">
        <v>0.24</v>
      </c>
      <c r="F26" s="0" t="n">
        <v>42</v>
      </c>
      <c r="G26" s="0" t="n">
        <v>2</v>
      </c>
    </row>
    <row r="27" customFormat="false" ht="15" hidden="false" customHeight="false" outlineLevel="0" collapsed="false">
      <c r="A27" s="0" t="n">
        <v>26</v>
      </c>
      <c r="B27" s="0" t="s">
        <v>68</v>
      </c>
      <c r="C27" s="0" t="s">
        <v>149</v>
      </c>
      <c r="D27" s="3" t="n">
        <v>12.59</v>
      </c>
      <c r="E27" s="3" t="n">
        <v>1.28</v>
      </c>
      <c r="F27" s="0" t="n">
        <v>1</v>
      </c>
      <c r="G27" s="0" t="n">
        <v>2</v>
      </c>
    </row>
    <row r="28" customFormat="false" ht="15" hidden="false" customHeight="false" outlineLevel="0" collapsed="false">
      <c r="A28" s="0" t="n">
        <v>27</v>
      </c>
      <c r="B28" s="0" t="s">
        <v>137</v>
      </c>
      <c r="C28" s="0" t="s">
        <v>149</v>
      </c>
      <c r="D28" s="3" t="n">
        <v>12.31</v>
      </c>
      <c r="E28" s="3" t="n">
        <v>0.57</v>
      </c>
      <c r="F28" s="0" t="n">
        <v>24</v>
      </c>
      <c r="G28" s="0" t="n">
        <v>2</v>
      </c>
    </row>
    <row r="29" customFormat="false" ht="15" hidden="false" customHeight="false" outlineLevel="0" collapsed="false">
      <c r="A29" s="0" t="n">
        <v>28</v>
      </c>
      <c r="B29" s="0" t="s">
        <v>96</v>
      </c>
      <c r="C29" s="0" t="s">
        <v>151</v>
      </c>
      <c r="D29" s="3" t="n">
        <v>12.09</v>
      </c>
      <c r="E29" s="3" t="n">
        <v>0.69</v>
      </c>
      <c r="F29" s="0" t="n">
        <v>17</v>
      </c>
      <c r="G29" s="0" t="n">
        <v>2</v>
      </c>
    </row>
    <row r="30" customFormat="false" ht="15" hidden="false" customHeight="false" outlineLevel="0" collapsed="false">
      <c r="A30" s="0" t="n">
        <v>29</v>
      </c>
      <c r="B30" s="0" t="s">
        <v>83</v>
      </c>
      <c r="C30" s="0" t="s">
        <v>154</v>
      </c>
      <c r="D30" s="3" t="n">
        <v>11.77</v>
      </c>
      <c r="E30" s="3" t="n">
        <v>0.31</v>
      </c>
      <c r="F30" s="0" t="n">
        <v>41</v>
      </c>
      <c r="G30" s="0" t="n">
        <v>2</v>
      </c>
    </row>
    <row r="31" customFormat="false" ht="15" hidden="false" customHeight="false" outlineLevel="0" collapsed="false">
      <c r="A31" s="0" t="n">
        <v>30</v>
      </c>
      <c r="B31" s="0" t="s">
        <v>49</v>
      </c>
      <c r="C31" s="0" t="s">
        <v>153</v>
      </c>
      <c r="D31" s="3" t="n">
        <v>11.4</v>
      </c>
      <c r="E31" s="3" t="n">
        <v>-0.04</v>
      </c>
      <c r="F31" s="0" t="n">
        <v>89</v>
      </c>
      <c r="G31" s="0" t="n">
        <v>2</v>
      </c>
    </row>
    <row r="32" customFormat="false" ht="15" hidden="false" customHeight="false" outlineLevel="0" collapsed="false">
      <c r="A32" s="0" t="n">
        <v>31</v>
      </c>
      <c r="B32" s="0" t="s">
        <v>32</v>
      </c>
      <c r="C32" s="0" t="s">
        <v>151</v>
      </c>
      <c r="D32" s="3" t="n">
        <v>11.13</v>
      </c>
      <c r="E32" s="3" t="n">
        <v>1.27</v>
      </c>
      <c r="F32" s="0" t="n">
        <v>2</v>
      </c>
      <c r="G32" s="0" t="n">
        <v>2</v>
      </c>
    </row>
    <row r="33" customFormat="false" ht="15" hidden="false" customHeight="false" outlineLevel="0" collapsed="false">
      <c r="A33" s="0" t="n">
        <v>32</v>
      </c>
      <c r="B33" s="0" t="s">
        <v>15</v>
      </c>
      <c r="C33" s="0" t="s">
        <v>152</v>
      </c>
      <c r="D33" s="3" t="n">
        <v>10.98</v>
      </c>
      <c r="E33" s="3" t="n">
        <v>0.71</v>
      </c>
      <c r="F33" s="0" t="n">
        <v>13</v>
      </c>
      <c r="G33" s="0" t="n">
        <v>2</v>
      </c>
    </row>
    <row r="34" customFormat="false" ht="15" hidden="false" customHeight="false" outlineLevel="0" collapsed="false">
      <c r="A34" s="0" t="n">
        <v>33</v>
      </c>
      <c r="B34" s="0" t="s">
        <v>36</v>
      </c>
      <c r="C34" s="0" t="s">
        <v>152</v>
      </c>
      <c r="D34" s="3" t="n">
        <v>10.97</v>
      </c>
      <c r="E34" s="3" t="n">
        <v>0.07</v>
      </c>
      <c r="F34" s="0" t="n">
        <v>59</v>
      </c>
      <c r="G34" s="0" t="n">
        <v>2</v>
      </c>
    </row>
    <row r="35" customFormat="false" ht="15" hidden="false" customHeight="false" outlineLevel="0" collapsed="false">
      <c r="A35" s="0" t="n">
        <v>34</v>
      </c>
      <c r="B35" s="0" t="s">
        <v>19</v>
      </c>
      <c r="C35" s="0" t="s">
        <v>155</v>
      </c>
      <c r="D35" s="3" t="n">
        <v>10.93</v>
      </c>
      <c r="E35" s="3" t="n">
        <v>0.49</v>
      </c>
      <c r="F35" s="0" t="n">
        <v>29</v>
      </c>
      <c r="G35" s="0" t="n">
        <v>2</v>
      </c>
    </row>
    <row r="36" customFormat="false" ht="15" hidden="false" customHeight="false" outlineLevel="0" collapsed="false">
      <c r="A36" s="0" t="n">
        <v>35</v>
      </c>
      <c r="B36" s="0" t="s">
        <v>10</v>
      </c>
      <c r="C36" s="0" t="s">
        <v>153</v>
      </c>
      <c r="D36" s="3" t="n">
        <v>10.91</v>
      </c>
      <c r="E36" s="3" t="n">
        <v>-0.01</v>
      </c>
      <c r="F36" s="0" t="n">
        <v>81</v>
      </c>
      <c r="G36" s="0" t="n">
        <v>2</v>
      </c>
    </row>
    <row r="37" customFormat="false" ht="15" hidden="false" customHeight="false" outlineLevel="0" collapsed="false">
      <c r="A37" s="0" t="n">
        <v>36</v>
      </c>
      <c r="B37" s="0" t="s">
        <v>72</v>
      </c>
      <c r="C37" s="0" t="s">
        <v>152</v>
      </c>
      <c r="D37" s="3" t="n">
        <v>10.43</v>
      </c>
      <c r="E37" s="3" t="n">
        <v>0.59</v>
      </c>
      <c r="F37" s="0" t="n">
        <v>22</v>
      </c>
      <c r="G37" s="0" t="n">
        <v>2</v>
      </c>
    </row>
    <row r="38" customFormat="false" ht="15" hidden="false" customHeight="false" outlineLevel="0" collapsed="false">
      <c r="A38" s="0" t="n">
        <v>37</v>
      </c>
      <c r="B38" s="0" t="s">
        <v>106</v>
      </c>
      <c r="C38" s="0" t="s">
        <v>152</v>
      </c>
      <c r="D38" s="3" t="n">
        <v>10.42</v>
      </c>
      <c r="E38" s="3" t="n">
        <v>0.02</v>
      </c>
      <c r="F38" s="0" t="n">
        <v>66</v>
      </c>
      <c r="G38" s="0" t="n">
        <v>2</v>
      </c>
    </row>
    <row r="39" customFormat="false" ht="15" hidden="false" customHeight="false" outlineLevel="0" collapsed="false">
      <c r="A39" s="0" t="n">
        <v>38</v>
      </c>
      <c r="B39" s="0" t="s">
        <v>77</v>
      </c>
      <c r="C39" s="0" t="s">
        <v>149</v>
      </c>
      <c r="D39" s="3" t="n">
        <v>10.34</v>
      </c>
      <c r="E39" s="3" t="n">
        <v>0.24</v>
      </c>
      <c r="F39" s="0" t="n">
        <v>44</v>
      </c>
      <c r="G39" s="0" t="n">
        <v>2</v>
      </c>
    </row>
    <row r="40" customFormat="false" ht="15" hidden="false" customHeight="false" outlineLevel="0" collapsed="false">
      <c r="A40" s="0" t="n">
        <v>39</v>
      </c>
      <c r="B40" s="0" t="s">
        <v>51</v>
      </c>
      <c r="C40" s="0" t="s">
        <v>156</v>
      </c>
      <c r="D40" s="3" t="n">
        <v>9.35</v>
      </c>
      <c r="E40" s="3" t="n">
        <v>0.11</v>
      </c>
      <c r="F40" s="0" t="n">
        <v>53</v>
      </c>
      <c r="G40" s="0" t="n">
        <v>2</v>
      </c>
    </row>
    <row r="41" customFormat="false" ht="15" hidden="false" customHeight="false" outlineLevel="0" collapsed="false">
      <c r="A41" s="0" t="n">
        <v>40</v>
      </c>
      <c r="B41" s="0" t="s">
        <v>128</v>
      </c>
      <c r="C41" s="0" t="s">
        <v>154</v>
      </c>
      <c r="D41" s="3" t="n">
        <v>8.85</v>
      </c>
      <c r="E41" s="3" t="n">
        <v>0.78</v>
      </c>
      <c r="F41" s="0" t="n">
        <v>7</v>
      </c>
      <c r="G41" s="0" t="n">
        <v>2</v>
      </c>
    </row>
    <row r="42" customFormat="false" ht="15" hidden="false" customHeight="false" outlineLevel="0" collapsed="false">
      <c r="A42" s="0" t="n">
        <v>41</v>
      </c>
      <c r="B42" s="0" t="s">
        <v>46</v>
      </c>
      <c r="C42" s="0" t="s">
        <v>149</v>
      </c>
      <c r="D42" s="3" t="n">
        <v>8.04</v>
      </c>
      <c r="E42" s="3" t="n">
        <v>-0.26</v>
      </c>
      <c r="F42" s="0" t="n">
        <v>129</v>
      </c>
      <c r="G42" s="0" t="n">
        <v>2</v>
      </c>
    </row>
    <row r="43" customFormat="false" ht="15" hidden="false" customHeight="false" outlineLevel="0" collapsed="false">
      <c r="A43" s="0" t="n">
        <v>42</v>
      </c>
      <c r="B43" s="0" t="s">
        <v>110</v>
      </c>
      <c r="C43" s="0" t="s">
        <v>153</v>
      </c>
      <c r="D43" s="3" t="n">
        <v>8</v>
      </c>
      <c r="E43" s="3" t="n">
        <v>-0.55</v>
      </c>
      <c r="F43" s="0" t="n">
        <v>162</v>
      </c>
      <c r="G43" s="0" t="n">
        <v>2</v>
      </c>
    </row>
    <row r="44" customFormat="false" ht="15" hidden="false" customHeight="false" outlineLevel="0" collapsed="false">
      <c r="A44" s="0" t="n">
        <v>43</v>
      </c>
      <c r="B44" s="0" t="s">
        <v>64</v>
      </c>
      <c r="C44" s="0" t="s">
        <v>149</v>
      </c>
      <c r="D44" s="3" t="n">
        <v>7.47</v>
      </c>
      <c r="E44" s="3" t="n">
        <v>0.41</v>
      </c>
      <c r="F44" s="0" t="n">
        <v>34</v>
      </c>
      <c r="G44" s="0" t="n">
        <v>2</v>
      </c>
    </row>
    <row r="45" customFormat="false" ht="15" hidden="false" customHeight="false" outlineLevel="0" collapsed="false">
      <c r="A45" s="0" t="n">
        <v>44</v>
      </c>
      <c r="B45" s="0" t="s">
        <v>11</v>
      </c>
      <c r="C45" s="0" t="s">
        <v>153</v>
      </c>
      <c r="D45" s="3" t="n">
        <v>7</v>
      </c>
      <c r="E45" s="3" t="n">
        <v>-0.01</v>
      </c>
      <c r="F45" s="0" t="n">
        <v>80</v>
      </c>
      <c r="G45" s="0" t="n">
        <v>2</v>
      </c>
    </row>
    <row r="46" customFormat="false" ht="15" hidden="false" customHeight="false" outlineLevel="0" collapsed="false">
      <c r="A46" s="0" t="n">
        <v>45</v>
      </c>
      <c r="B46" s="0" t="s">
        <v>26</v>
      </c>
      <c r="C46" s="0" t="s">
        <v>153</v>
      </c>
      <c r="D46" s="3" t="n">
        <v>5.87</v>
      </c>
      <c r="E46" s="3" t="n">
        <v>0.19</v>
      </c>
      <c r="F46" s="0" t="n">
        <v>48</v>
      </c>
      <c r="G46" s="0" t="n">
        <v>2</v>
      </c>
    </row>
    <row r="47" customFormat="false" ht="15" hidden="false" customHeight="false" outlineLevel="0" collapsed="false">
      <c r="A47" s="0" t="n">
        <v>46</v>
      </c>
      <c r="B47" s="0" t="s">
        <v>45</v>
      </c>
      <c r="C47" s="0" t="s">
        <v>153</v>
      </c>
      <c r="D47" s="3" t="n">
        <v>5.83</v>
      </c>
      <c r="E47" s="3" t="n">
        <v>0.11</v>
      </c>
      <c r="F47" s="0" t="n">
        <v>52</v>
      </c>
      <c r="G47" s="0" t="n">
        <v>2</v>
      </c>
    </row>
    <row r="48" customFormat="false" ht="15" hidden="false" customHeight="false" outlineLevel="0" collapsed="false">
      <c r="A48" s="0" t="n">
        <v>47</v>
      </c>
      <c r="B48" s="0" t="s">
        <v>123</v>
      </c>
      <c r="C48" s="0" t="s">
        <v>149</v>
      </c>
      <c r="D48" s="3" t="n">
        <v>5.68</v>
      </c>
      <c r="E48" s="3" t="n">
        <v>0.76</v>
      </c>
      <c r="F48" s="0" t="n">
        <v>8</v>
      </c>
      <c r="G48" s="0" t="n">
        <v>2</v>
      </c>
    </row>
    <row r="49" customFormat="false" ht="15" hidden="false" customHeight="false" outlineLevel="0" collapsed="false">
      <c r="A49" s="0" t="n">
        <v>48</v>
      </c>
      <c r="B49" s="0" t="s">
        <v>27</v>
      </c>
      <c r="C49" s="0" t="s">
        <v>151</v>
      </c>
      <c r="D49" s="3" t="n">
        <v>5.43</v>
      </c>
      <c r="E49" s="3" t="n">
        <v>0.13</v>
      </c>
      <c r="F49" s="0" t="n">
        <v>50</v>
      </c>
      <c r="G49" s="0" t="n">
        <v>2</v>
      </c>
    </row>
    <row r="50" customFormat="false" ht="15" hidden="false" customHeight="false" outlineLevel="0" collapsed="false">
      <c r="A50" s="0" t="n">
        <v>49</v>
      </c>
      <c r="B50" s="0" t="s">
        <v>38</v>
      </c>
      <c r="C50" s="0" t="s">
        <v>151</v>
      </c>
      <c r="D50" s="3" t="n">
        <v>5.34</v>
      </c>
      <c r="E50" s="3" t="n">
        <v>-0.11</v>
      </c>
      <c r="F50" s="0" t="n">
        <v>106</v>
      </c>
      <c r="G50" s="0" t="n">
        <v>2</v>
      </c>
    </row>
    <row r="51" customFormat="false" ht="15" hidden="false" customHeight="false" outlineLevel="0" collapsed="false">
      <c r="A51" s="0" t="n">
        <v>50</v>
      </c>
      <c r="B51" s="0" t="s">
        <v>65</v>
      </c>
      <c r="C51" s="0" t="s">
        <v>154</v>
      </c>
      <c r="D51" s="3" t="n">
        <v>4.93</v>
      </c>
      <c r="E51" s="3" t="n">
        <v>0.6</v>
      </c>
      <c r="F51" s="0" t="n">
        <v>21</v>
      </c>
      <c r="G51" s="0" t="n">
        <v>3</v>
      </c>
    </row>
    <row r="52" customFormat="false" ht="15" hidden="false" customHeight="false" outlineLevel="0" collapsed="false">
      <c r="A52" s="0" t="n">
        <v>51</v>
      </c>
      <c r="B52" s="0" t="s">
        <v>18</v>
      </c>
      <c r="C52" s="0" t="s">
        <v>153</v>
      </c>
      <c r="D52" s="3" t="n">
        <v>4.41</v>
      </c>
      <c r="E52" s="3" t="n">
        <v>-0.2</v>
      </c>
      <c r="F52" s="0" t="n">
        <v>121</v>
      </c>
      <c r="G52" s="0" t="n">
        <v>2</v>
      </c>
    </row>
    <row r="53" customFormat="false" ht="15" hidden="false" customHeight="false" outlineLevel="0" collapsed="false">
      <c r="A53" s="0" t="n">
        <v>52</v>
      </c>
      <c r="B53" s="0" t="s">
        <v>75</v>
      </c>
      <c r="C53" s="0" t="s">
        <v>151</v>
      </c>
      <c r="D53" s="3" t="n">
        <v>4.38</v>
      </c>
      <c r="E53" s="3" t="n">
        <v>-0.09</v>
      </c>
      <c r="F53" s="0" t="n">
        <v>102</v>
      </c>
      <c r="G53" s="0" t="n">
        <v>2</v>
      </c>
    </row>
    <row r="54" customFormat="false" ht="15" hidden="false" customHeight="false" outlineLevel="0" collapsed="false">
      <c r="A54" s="0" t="n">
        <v>53</v>
      </c>
      <c r="B54" s="0" t="s">
        <v>135</v>
      </c>
      <c r="C54" s="0" t="s">
        <v>151</v>
      </c>
      <c r="D54" s="3" t="n">
        <v>3.39</v>
      </c>
      <c r="E54" s="3" t="n">
        <v>0.33</v>
      </c>
      <c r="F54" s="0" t="n">
        <v>39</v>
      </c>
      <c r="G54" s="0" t="n">
        <v>2</v>
      </c>
    </row>
    <row r="55" customFormat="false" ht="15" hidden="false" customHeight="false" outlineLevel="0" collapsed="false">
      <c r="A55" s="0" t="n">
        <v>54</v>
      </c>
      <c r="B55" s="0" t="s">
        <v>117</v>
      </c>
      <c r="C55" s="0" t="s">
        <v>157</v>
      </c>
      <c r="D55" s="3" t="n">
        <v>3.37</v>
      </c>
      <c r="E55" s="3" t="n">
        <v>-0.32</v>
      </c>
      <c r="F55" s="0" t="n">
        <v>141</v>
      </c>
      <c r="G55" s="0" t="n">
        <v>2</v>
      </c>
    </row>
    <row r="56" customFormat="false" ht="15" hidden="false" customHeight="false" outlineLevel="0" collapsed="false">
      <c r="A56" s="0" t="n">
        <v>55</v>
      </c>
      <c r="B56" s="0" t="s">
        <v>130</v>
      </c>
      <c r="C56" s="0" t="s">
        <v>154</v>
      </c>
      <c r="D56" s="3" t="n">
        <v>3.34</v>
      </c>
      <c r="E56" s="3" t="n">
        <v>0.48</v>
      </c>
      <c r="F56" s="0" t="n">
        <v>30</v>
      </c>
      <c r="G56" s="0" t="n">
        <v>2</v>
      </c>
    </row>
    <row r="57" customFormat="false" ht="15" hidden="false" customHeight="false" outlineLevel="0" collapsed="false">
      <c r="A57" s="0" t="n">
        <v>56</v>
      </c>
      <c r="B57" s="0" t="s">
        <v>122</v>
      </c>
      <c r="C57" s="0" t="s">
        <v>153</v>
      </c>
      <c r="D57" s="3" t="n">
        <v>3.3</v>
      </c>
      <c r="E57" s="3" t="n">
        <v>-0.1</v>
      </c>
      <c r="F57" s="0" t="n">
        <v>105</v>
      </c>
      <c r="G57" s="0" t="n">
        <v>2</v>
      </c>
    </row>
    <row r="58" customFormat="false" ht="15" hidden="false" customHeight="false" outlineLevel="0" collapsed="false">
      <c r="A58" s="0" t="n">
        <v>57</v>
      </c>
      <c r="B58" s="0" t="s">
        <v>141</v>
      </c>
      <c r="C58" s="0" t="s">
        <v>157</v>
      </c>
      <c r="D58" s="3" t="n">
        <v>2.54</v>
      </c>
      <c r="E58" s="3" t="n">
        <v>-0.09</v>
      </c>
      <c r="F58" s="0" t="n">
        <v>101</v>
      </c>
      <c r="G58" s="0" t="n">
        <v>2</v>
      </c>
    </row>
    <row r="59" customFormat="false" ht="15" hidden="false" customHeight="false" outlineLevel="0" collapsed="false">
      <c r="A59" s="0" t="n">
        <v>58</v>
      </c>
      <c r="B59" s="0" t="s">
        <v>136</v>
      </c>
      <c r="C59" s="0" t="s">
        <v>151</v>
      </c>
      <c r="D59" s="3" t="n">
        <v>2.46</v>
      </c>
      <c r="E59" s="3" t="n">
        <v>0.43</v>
      </c>
      <c r="F59" s="0" t="n">
        <v>31</v>
      </c>
      <c r="G59" s="0" t="n">
        <v>2</v>
      </c>
    </row>
    <row r="60" customFormat="false" ht="15" hidden="false" customHeight="false" outlineLevel="0" collapsed="false">
      <c r="A60" s="0" t="n">
        <v>59</v>
      </c>
      <c r="B60" s="0" t="s">
        <v>119</v>
      </c>
      <c r="C60" s="0" t="s">
        <v>154</v>
      </c>
      <c r="D60" s="3" t="n">
        <v>2.24</v>
      </c>
      <c r="E60" s="3" t="n">
        <v>0.05</v>
      </c>
      <c r="F60" s="0" t="n">
        <v>60</v>
      </c>
      <c r="G60" s="0" t="n">
        <v>2</v>
      </c>
    </row>
    <row r="61" customFormat="false" ht="15" hidden="false" customHeight="false" outlineLevel="0" collapsed="false">
      <c r="A61" s="0" t="n">
        <v>60</v>
      </c>
      <c r="B61" s="0" t="s">
        <v>85</v>
      </c>
      <c r="C61" s="0" t="s">
        <v>149</v>
      </c>
      <c r="D61" s="3" t="n">
        <v>1.86</v>
      </c>
      <c r="E61" s="3" t="n">
        <v>0.02</v>
      </c>
      <c r="F61" s="0" t="n">
        <v>65</v>
      </c>
      <c r="G61" s="0" t="n">
        <v>1</v>
      </c>
    </row>
    <row r="62" customFormat="false" ht="15" hidden="false" customHeight="false" outlineLevel="0" collapsed="false">
      <c r="A62" s="0" t="n">
        <v>61</v>
      </c>
      <c r="B62" s="0" t="s">
        <v>69</v>
      </c>
      <c r="C62" s="0" t="s">
        <v>149</v>
      </c>
      <c r="D62" s="3" t="n">
        <v>1.82</v>
      </c>
      <c r="E62" s="3" t="n">
        <v>0.5</v>
      </c>
      <c r="F62" s="0" t="n">
        <v>28</v>
      </c>
      <c r="G62" s="0" t="n">
        <v>2</v>
      </c>
    </row>
    <row r="63" customFormat="false" ht="15" hidden="false" customHeight="false" outlineLevel="0" collapsed="false">
      <c r="A63" s="0" t="n">
        <v>62</v>
      </c>
      <c r="B63" s="0" t="s">
        <v>43</v>
      </c>
      <c r="C63" s="0" t="s">
        <v>151</v>
      </c>
      <c r="D63" s="3" t="n">
        <v>1.78</v>
      </c>
      <c r="E63" s="3" t="n">
        <v>-0.69</v>
      </c>
      <c r="F63" s="0" t="n">
        <v>177</v>
      </c>
      <c r="G63" s="0" t="n">
        <v>2</v>
      </c>
    </row>
    <row r="64" customFormat="false" ht="15" hidden="false" customHeight="false" outlineLevel="0" collapsed="false">
      <c r="A64" s="0" t="n">
        <v>63</v>
      </c>
      <c r="B64" s="0" t="s">
        <v>52</v>
      </c>
      <c r="C64" s="0" t="s">
        <v>153</v>
      </c>
      <c r="D64" s="3" t="n">
        <v>1.76</v>
      </c>
      <c r="E64" s="3" t="n">
        <v>-0.18</v>
      </c>
      <c r="F64" s="0" t="n">
        <v>118</v>
      </c>
      <c r="G64" s="0" t="n">
        <v>2</v>
      </c>
    </row>
    <row r="65" customFormat="false" ht="15" hidden="false" customHeight="false" outlineLevel="0" collapsed="false">
      <c r="A65" s="0" t="n">
        <v>64</v>
      </c>
      <c r="B65" s="0" t="s">
        <v>29</v>
      </c>
      <c r="C65" s="0" t="s">
        <v>153</v>
      </c>
      <c r="D65" s="3" t="n">
        <v>1.69</v>
      </c>
      <c r="E65" s="3" t="n">
        <v>0.7</v>
      </c>
      <c r="F65" s="0" t="n">
        <v>15</v>
      </c>
      <c r="G65" s="0" t="n">
        <v>2</v>
      </c>
    </row>
    <row r="66" customFormat="false" ht="15" hidden="false" customHeight="false" outlineLevel="0" collapsed="false">
      <c r="A66" s="0" t="n">
        <v>65</v>
      </c>
      <c r="B66" s="0" t="s">
        <v>79</v>
      </c>
      <c r="C66" s="0" t="s">
        <v>158</v>
      </c>
      <c r="D66" s="3" t="n">
        <v>1.44</v>
      </c>
      <c r="E66" s="3" t="n">
        <v>0.03</v>
      </c>
      <c r="F66" s="0" t="n">
        <v>63</v>
      </c>
      <c r="G66" s="0" t="n">
        <v>2</v>
      </c>
    </row>
    <row r="67" customFormat="false" ht="15" hidden="false" customHeight="false" outlineLevel="0" collapsed="false">
      <c r="A67" s="0" t="n">
        <v>66</v>
      </c>
      <c r="B67" s="0" t="s">
        <v>138</v>
      </c>
      <c r="C67" s="0" t="s">
        <v>155</v>
      </c>
      <c r="D67" s="3" t="n">
        <v>1.04</v>
      </c>
      <c r="E67" s="3" t="n">
        <v>-0.17</v>
      </c>
      <c r="F67" s="0" t="n">
        <v>116</v>
      </c>
      <c r="G67" s="0" t="n">
        <v>2</v>
      </c>
    </row>
    <row r="68" customFormat="false" ht="15" hidden="false" customHeight="false" outlineLevel="0" collapsed="false">
      <c r="A68" s="0" t="n">
        <v>67</v>
      </c>
      <c r="B68" s="0" t="s">
        <v>14</v>
      </c>
      <c r="C68" s="0" t="s">
        <v>154</v>
      </c>
      <c r="D68" s="3" t="n">
        <v>0.99</v>
      </c>
      <c r="E68" s="3" t="n">
        <v>-0.36</v>
      </c>
      <c r="F68" s="0" t="n">
        <v>148</v>
      </c>
      <c r="G68" s="0" t="n">
        <v>2</v>
      </c>
    </row>
    <row r="69" customFormat="false" ht="15" hidden="false" customHeight="false" outlineLevel="0" collapsed="false">
      <c r="A69" s="0" t="n">
        <v>68</v>
      </c>
      <c r="B69" s="0" t="s">
        <v>12</v>
      </c>
      <c r="C69" s="0" t="s">
        <v>152</v>
      </c>
      <c r="D69" s="3" t="n">
        <v>0.56</v>
      </c>
      <c r="E69" s="3" t="n">
        <v>0</v>
      </c>
      <c r="F69" s="0" t="n">
        <v>75</v>
      </c>
      <c r="G69" s="0" t="n">
        <v>2</v>
      </c>
    </row>
    <row r="70" customFormat="false" ht="15" hidden="false" customHeight="false" outlineLevel="0" collapsed="false">
      <c r="A70" s="0" t="n">
        <v>69</v>
      </c>
      <c r="B70" s="0" t="s">
        <v>56</v>
      </c>
      <c r="C70" s="0" t="s">
        <v>152</v>
      </c>
      <c r="D70" s="3" t="n">
        <v>0.27</v>
      </c>
      <c r="E70" s="3" t="n">
        <v>-0.03</v>
      </c>
      <c r="F70" s="0" t="n">
        <v>83</v>
      </c>
      <c r="G70" s="0" t="n">
        <v>2</v>
      </c>
    </row>
    <row r="71" customFormat="false" ht="15" hidden="false" customHeight="false" outlineLevel="0" collapsed="false">
      <c r="A71" s="0" t="n">
        <v>70</v>
      </c>
      <c r="B71" s="0" t="s">
        <v>142</v>
      </c>
      <c r="C71" s="0" t="s">
        <v>149</v>
      </c>
      <c r="D71" s="3" t="n">
        <v>-0.08</v>
      </c>
      <c r="E71" s="3" t="n">
        <v>0</v>
      </c>
      <c r="F71" s="0" t="n">
        <v>74</v>
      </c>
      <c r="G71" s="0" t="n">
        <v>2</v>
      </c>
    </row>
    <row r="72" customFormat="false" ht="15" hidden="false" customHeight="false" outlineLevel="0" collapsed="false">
      <c r="A72" s="0" t="n">
        <v>71</v>
      </c>
      <c r="B72" s="0" t="s">
        <v>39</v>
      </c>
      <c r="C72" s="0" t="s">
        <v>155</v>
      </c>
      <c r="D72" s="3" t="n">
        <v>-0.43</v>
      </c>
      <c r="E72" s="3" t="n">
        <v>0.01</v>
      </c>
      <c r="F72" s="0" t="n">
        <v>69</v>
      </c>
      <c r="G72" s="0" t="n">
        <v>2</v>
      </c>
    </row>
    <row r="73" customFormat="false" ht="15" hidden="false" customHeight="false" outlineLevel="0" collapsed="false">
      <c r="A73" s="0" t="n">
        <v>72</v>
      </c>
      <c r="B73" s="0" t="s">
        <v>76</v>
      </c>
      <c r="C73" s="0" t="s">
        <v>154</v>
      </c>
      <c r="D73" s="3" t="n">
        <v>-1.29</v>
      </c>
      <c r="E73" s="3" t="n">
        <v>-0.8</v>
      </c>
      <c r="F73" s="0" t="n">
        <v>187</v>
      </c>
      <c r="G73" s="0" t="n">
        <v>2</v>
      </c>
    </row>
    <row r="74" customFormat="false" ht="15" hidden="false" customHeight="false" outlineLevel="0" collapsed="false">
      <c r="A74" s="0" t="n">
        <v>73</v>
      </c>
      <c r="B74" s="0" t="s">
        <v>91</v>
      </c>
      <c r="C74" s="0" t="s">
        <v>156</v>
      </c>
      <c r="D74" s="3" t="n">
        <v>-1.45</v>
      </c>
      <c r="E74" s="3" t="n">
        <v>-0.28</v>
      </c>
      <c r="F74" s="0" t="n">
        <v>130</v>
      </c>
      <c r="G74" s="0" t="n">
        <v>2</v>
      </c>
    </row>
    <row r="75" customFormat="false" ht="15" hidden="false" customHeight="false" outlineLevel="0" collapsed="false">
      <c r="A75" s="0" t="n">
        <v>74</v>
      </c>
      <c r="B75" s="0" t="s">
        <v>103</v>
      </c>
      <c r="C75" s="0" t="s">
        <v>155</v>
      </c>
      <c r="D75" s="3" t="n">
        <v>-1.51</v>
      </c>
      <c r="E75" s="3" t="n">
        <v>-0.22</v>
      </c>
      <c r="F75" s="0" t="n">
        <v>122</v>
      </c>
      <c r="G75" s="0" t="n">
        <v>2</v>
      </c>
    </row>
    <row r="76" customFormat="false" ht="15" hidden="false" customHeight="false" outlineLevel="0" collapsed="false">
      <c r="A76" s="0" t="n">
        <v>75</v>
      </c>
      <c r="B76" s="0" t="s">
        <v>33</v>
      </c>
      <c r="C76" s="0" t="s">
        <v>154</v>
      </c>
      <c r="D76" s="3" t="n">
        <v>-1.58</v>
      </c>
      <c r="E76" s="3" t="n">
        <v>-0.81</v>
      </c>
      <c r="F76" s="0" t="n">
        <v>189</v>
      </c>
      <c r="G76" s="0" t="n">
        <v>2</v>
      </c>
    </row>
    <row r="77" customFormat="false" ht="15" hidden="false" customHeight="false" outlineLevel="0" collapsed="false">
      <c r="A77" s="0" t="n">
        <v>76</v>
      </c>
      <c r="B77" s="0" t="s">
        <v>71</v>
      </c>
      <c r="C77" s="0" t="s">
        <v>149</v>
      </c>
      <c r="D77" s="3" t="n">
        <v>-1.74</v>
      </c>
      <c r="E77" s="3" t="n">
        <v>-0.31</v>
      </c>
      <c r="F77" s="0" t="n">
        <v>139</v>
      </c>
      <c r="G77" s="0" t="n">
        <v>2</v>
      </c>
    </row>
    <row r="78" customFormat="false" ht="15" hidden="false" customHeight="false" outlineLevel="0" collapsed="false">
      <c r="A78" s="0" t="n">
        <v>77</v>
      </c>
      <c r="B78" s="0" t="s">
        <v>81</v>
      </c>
      <c r="C78" s="0" t="s">
        <v>151</v>
      </c>
      <c r="D78" s="3" t="n">
        <v>-1.81</v>
      </c>
      <c r="E78" s="3" t="n">
        <v>0.74</v>
      </c>
      <c r="F78" s="0" t="n">
        <v>10</v>
      </c>
      <c r="G78" s="0" t="n">
        <v>2</v>
      </c>
    </row>
    <row r="79" customFormat="false" ht="15" hidden="false" customHeight="false" outlineLevel="0" collapsed="false">
      <c r="A79" s="0" t="n">
        <v>78</v>
      </c>
      <c r="B79" s="0" t="s">
        <v>126</v>
      </c>
      <c r="C79" s="0" t="s">
        <v>158</v>
      </c>
      <c r="D79" s="3" t="n">
        <v>-2</v>
      </c>
      <c r="E79" s="3" t="n">
        <v>-0.3</v>
      </c>
      <c r="F79" s="0" t="n">
        <v>137</v>
      </c>
      <c r="G79" s="0" t="n">
        <v>3</v>
      </c>
    </row>
    <row r="80" customFormat="false" ht="15" hidden="false" customHeight="false" outlineLevel="0" collapsed="false">
      <c r="A80" s="0" t="n">
        <v>79</v>
      </c>
      <c r="B80" s="0" t="s">
        <v>139</v>
      </c>
      <c r="C80" s="0" t="s">
        <v>153</v>
      </c>
      <c r="D80" s="3" t="n">
        <v>-2.63</v>
      </c>
      <c r="E80" s="3" t="n">
        <v>0.13</v>
      </c>
      <c r="F80" s="0" t="n">
        <v>49</v>
      </c>
      <c r="G80" s="0" t="n">
        <v>2</v>
      </c>
    </row>
    <row r="81" customFormat="false" ht="15" hidden="false" customHeight="false" outlineLevel="0" collapsed="false">
      <c r="A81" s="0" t="n">
        <v>80</v>
      </c>
      <c r="B81" s="0" t="s">
        <v>115</v>
      </c>
      <c r="C81" s="0" t="s">
        <v>155</v>
      </c>
      <c r="D81" s="3" t="n">
        <v>-5.26</v>
      </c>
      <c r="E81" s="3" t="n">
        <v>-0.54</v>
      </c>
      <c r="F81" s="0" t="n">
        <v>159</v>
      </c>
      <c r="G81" s="0" t="n">
        <v>2</v>
      </c>
    </row>
    <row r="82" customFormat="false" ht="15" hidden="false" customHeight="false" outlineLevel="0" collapsed="false">
      <c r="A82" s="0" t="n">
        <v>81</v>
      </c>
      <c r="B82" s="0" t="s">
        <v>67</v>
      </c>
      <c r="C82" s="0" t="s">
        <v>157</v>
      </c>
      <c r="D82" s="3" t="n">
        <v>-5.88</v>
      </c>
      <c r="E82" s="3" t="n">
        <v>-0.08</v>
      </c>
      <c r="F82" s="0" t="n">
        <v>100</v>
      </c>
      <c r="G82" s="0" t="n">
        <v>2</v>
      </c>
    </row>
    <row r="83" customFormat="false" ht="15" hidden="false" customHeight="false" outlineLevel="0" collapsed="false">
      <c r="A83" s="0" t="n">
        <v>82</v>
      </c>
      <c r="B83" s="0" t="s">
        <v>87</v>
      </c>
      <c r="C83" s="0" t="s">
        <v>157</v>
      </c>
      <c r="D83" s="3" t="n">
        <v>-6.09</v>
      </c>
      <c r="E83" s="3" t="n">
        <v>-0.01</v>
      </c>
      <c r="F83" s="0" t="n">
        <v>76</v>
      </c>
      <c r="G83" s="0" t="n">
        <v>2</v>
      </c>
    </row>
    <row r="84" customFormat="false" ht="15" hidden="false" customHeight="false" outlineLevel="0" collapsed="false">
      <c r="A84" s="0" t="n">
        <v>83</v>
      </c>
      <c r="B84" s="0" t="s">
        <v>23</v>
      </c>
      <c r="C84" s="0" t="s">
        <v>151</v>
      </c>
      <c r="D84" s="3" t="n">
        <v>-6.5</v>
      </c>
      <c r="E84" s="3" t="n">
        <v>-0.03</v>
      </c>
      <c r="F84" s="0" t="n">
        <v>84</v>
      </c>
      <c r="G84" s="0" t="n">
        <v>2</v>
      </c>
    </row>
    <row r="85" customFormat="false" ht="15" hidden="false" customHeight="false" outlineLevel="0" collapsed="false">
      <c r="A85" s="0" t="n">
        <v>84</v>
      </c>
      <c r="B85" s="0" t="s">
        <v>109</v>
      </c>
      <c r="C85" s="0" t="s">
        <v>151</v>
      </c>
      <c r="D85" s="3" t="n">
        <v>-6.57</v>
      </c>
      <c r="E85" s="3" t="n">
        <v>-0.8</v>
      </c>
      <c r="F85" s="0" t="n">
        <v>186</v>
      </c>
      <c r="G85" s="0" t="n">
        <v>2</v>
      </c>
    </row>
    <row r="86" customFormat="false" ht="15" hidden="false" customHeight="false" outlineLevel="0" collapsed="false">
      <c r="A86" s="0" t="n">
        <v>85</v>
      </c>
      <c r="B86" s="0" t="s">
        <v>9</v>
      </c>
      <c r="C86" s="0" t="s">
        <v>156</v>
      </c>
      <c r="D86" s="3" t="n">
        <v>-6.96</v>
      </c>
      <c r="E86" s="3" t="n">
        <v>0.58</v>
      </c>
      <c r="F86" s="0" t="n">
        <v>23</v>
      </c>
      <c r="G86" s="0" t="n">
        <v>2</v>
      </c>
    </row>
    <row r="87" customFormat="false" ht="15" hidden="false" customHeight="false" outlineLevel="0" collapsed="false">
      <c r="A87" s="0" t="n">
        <v>86</v>
      </c>
      <c r="B87" s="0" t="s">
        <v>20</v>
      </c>
      <c r="C87" s="0" t="s">
        <v>151</v>
      </c>
      <c r="D87" s="3" t="n">
        <v>-7.28</v>
      </c>
      <c r="E87" s="3" t="n">
        <v>-0.06</v>
      </c>
      <c r="F87" s="0" t="n">
        <v>95</v>
      </c>
      <c r="G87" s="0" t="n">
        <v>2</v>
      </c>
    </row>
    <row r="88" customFormat="false" ht="15" hidden="false" customHeight="false" outlineLevel="0" collapsed="false">
      <c r="A88" s="0" t="n">
        <v>87</v>
      </c>
      <c r="B88" s="0" t="s">
        <v>60</v>
      </c>
      <c r="C88" s="0" t="s">
        <v>156</v>
      </c>
      <c r="D88" s="3" t="n">
        <v>-7.54</v>
      </c>
      <c r="E88" s="3" t="n">
        <v>-0.04</v>
      </c>
      <c r="F88" s="0" t="n">
        <v>90</v>
      </c>
      <c r="G88" s="0" t="n">
        <v>2</v>
      </c>
    </row>
    <row r="89" customFormat="false" ht="15" hidden="false" customHeight="false" outlineLevel="0" collapsed="false">
      <c r="A89" s="0" t="n">
        <v>88</v>
      </c>
      <c r="B89" s="0" t="s">
        <v>124</v>
      </c>
      <c r="C89" s="0" t="s">
        <v>150</v>
      </c>
      <c r="D89" s="3" t="n">
        <v>-7.6</v>
      </c>
      <c r="E89" s="3" t="n">
        <v>-0.4</v>
      </c>
      <c r="F89" s="0" t="n">
        <v>151</v>
      </c>
      <c r="G89" s="0" t="n">
        <v>2</v>
      </c>
    </row>
    <row r="90" customFormat="false" ht="15" hidden="false" customHeight="false" outlineLevel="0" collapsed="false">
      <c r="A90" s="0" t="n">
        <v>89</v>
      </c>
      <c r="B90" s="0" t="s">
        <v>59</v>
      </c>
      <c r="C90" s="0" t="s">
        <v>156</v>
      </c>
      <c r="D90" s="3" t="n">
        <v>-7.63</v>
      </c>
      <c r="E90" s="3" t="n">
        <v>-0.04</v>
      </c>
      <c r="F90" s="0" t="n">
        <v>88</v>
      </c>
      <c r="G90" s="0" t="n">
        <v>2</v>
      </c>
    </row>
    <row r="91" customFormat="false" ht="15" hidden="false" customHeight="false" outlineLevel="0" collapsed="false">
      <c r="A91" s="0" t="n">
        <v>90</v>
      </c>
      <c r="B91" s="0" t="s">
        <v>97</v>
      </c>
      <c r="C91" s="0" t="s">
        <v>149</v>
      </c>
      <c r="D91" s="3" t="n">
        <v>-7.92</v>
      </c>
      <c r="E91" s="3" t="n">
        <v>-0.55</v>
      </c>
      <c r="F91" s="0" t="n">
        <v>161</v>
      </c>
      <c r="G91" s="0" t="n">
        <v>2</v>
      </c>
    </row>
    <row r="92" customFormat="false" ht="15" hidden="false" customHeight="false" outlineLevel="0" collapsed="false">
      <c r="A92" s="0" t="n">
        <v>91</v>
      </c>
      <c r="B92" s="0" t="s">
        <v>132</v>
      </c>
      <c r="C92" s="0" t="s">
        <v>155</v>
      </c>
      <c r="D92" s="3" t="n">
        <v>-7.99</v>
      </c>
      <c r="E92" s="3" t="n">
        <v>-1.05</v>
      </c>
      <c r="F92" s="0" t="n">
        <v>208</v>
      </c>
      <c r="G92" s="0" t="n">
        <v>2</v>
      </c>
    </row>
    <row r="93" customFormat="false" ht="15" hidden="false" customHeight="false" outlineLevel="0" collapsed="false">
      <c r="A93" s="0" t="n">
        <v>92</v>
      </c>
      <c r="B93" s="0" t="s">
        <v>105</v>
      </c>
      <c r="C93" s="0" t="s">
        <v>156</v>
      </c>
      <c r="D93" s="3" t="n">
        <v>-8.18</v>
      </c>
      <c r="E93" s="3" t="n">
        <v>-0.31</v>
      </c>
      <c r="F93" s="0" t="n">
        <v>138</v>
      </c>
      <c r="G93" s="0" t="n">
        <v>2</v>
      </c>
    </row>
    <row r="94" customFormat="false" ht="15" hidden="false" customHeight="false" outlineLevel="0" collapsed="false">
      <c r="A94" s="0" t="n">
        <v>93</v>
      </c>
      <c r="B94" s="0" t="s">
        <v>41</v>
      </c>
      <c r="C94" s="0" t="s">
        <v>156</v>
      </c>
      <c r="D94" s="3" t="n">
        <v>-8.28</v>
      </c>
      <c r="E94" s="3" t="n">
        <v>-0.22</v>
      </c>
      <c r="F94" s="0" t="n">
        <v>125</v>
      </c>
      <c r="G94" s="0" t="n">
        <v>2</v>
      </c>
    </row>
    <row r="95" customFormat="false" ht="15" hidden="false" customHeight="false" outlineLevel="0" collapsed="false">
      <c r="A95" s="0" t="n">
        <v>94</v>
      </c>
      <c r="B95" s="0" t="s">
        <v>99</v>
      </c>
      <c r="C95" s="0" t="s">
        <v>149</v>
      </c>
      <c r="D95" s="3" t="n">
        <v>-8.91</v>
      </c>
      <c r="E95" s="3" t="n">
        <v>-1.57</v>
      </c>
      <c r="F95" s="0" t="n">
        <v>217</v>
      </c>
      <c r="G95" s="0" t="n">
        <v>2</v>
      </c>
    </row>
    <row r="96" customFormat="false" ht="15" hidden="false" customHeight="false" outlineLevel="0" collapsed="false">
      <c r="A96" s="0" t="n">
        <v>95</v>
      </c>
      <c r="B96" s="0" t="s">
        <v>13</v>
      </c>
      <c r="C96" s="0" t="s">
        <v>156</v>
      </c>
      <c r="D96" s="3" t="n">
        <v>-9.36</v>
      </c>
      <c r="E96" s="3" t="n">
        <v>-0.24</v>
      </c>
      <c r="F96" s="0" t="n">
        <v>126</v>
      </c>
      <c r="G96" s="0" t="n">
        <v>2</v>
      </c>
    </row>
    <row r="97" customFormat="false" ht="15" hidden="false" customHeight="false" outlineLevel="0" collapsed="false">
      <c r="A97" s="0" t="n">
        <v>96</v>
      </c>
      <c r="B97" s="0" t="s">
        <v>108</v>
      </c>
      <c r="C97" s="0" t="s">
        <v>151</v>
      </c>
      <c r="D97" s="3" t="n">
        <v>-9.84</v>
      </c>
      <c r="E97" s="3" t="n">
        <v>0.08</v>
      </c>
      <c r="F97" s="0" t="n">
        <v>58</v>
      </c>
      <c r="G97" s="0" t="n">
        <v>2</v>
      </c>
    </row>
    <row r="98" customFormat="false" ht="15" hidden="false" customHeight="false" outlineLevel="0" collapsed="false">
      <c r="A98" s="0" t="n">
        <v>97</v>
      </c>
      <c r="B98" s="0" t="s">
        <v>30</v>
      </c>
      <c r="C98" s="0" t="s">
        <v>155</v>
      </c>
      <c r="D98" s="3" t="n">
        <v>-10.18</v>
      </c>
      <c r="E98" s="3" t="n">
        <v>0.04</v>
      </c>
      <c r="F98" s="0" t="n">
        <v>61</v>
      </c>
      <c r="G98" s="0" t="n">
        <v>2</v>
      </c>
    </row>
    <row r="99" customFormat="false" ht="15" hidden="false" customHeight="false" outlineLevel="0" collapsed="false">
      <c r="A99" s="0" t="n">
        <v>98</v>
      </c>
      <c r="B99" s="0" t="s">
        <v>90</v>
      </c>
      <c r="C99" s="0" t="s">
        <v>153</v>
      </c>
      <c r="D99" s="3" t="n">
        <v>-10.34</v>
      </c>
      <c r="E99" s="3" t="n">
        <v>0.12</v>
      </c>
      <c r="F99" s="0" t="n">
        <v>51</v>
      </c>
      <c r="G99" s="0" t="n">
        <v>2</v>
      </c>
    </row>
    <row r="100" customFormat="false" ht="15" hidden="false" customHeight="false" outlineLevel="0" collapsed="false">
      <c r="A100" s="0" t="n">
        <v>99</v>
      </c>
      <c r="B100" s="0" t="s">
        <v>82</v>
      </c>
      <c r="C100" s="0" t="s">
        <v>158</v>
      </c>
      <c r="D100" s="3" t="n">
        <v>-10.38</v>
      </c>
      <c r="E100" s="3" t="n">
        <v>0.39</v>
      </c>
      <c r="F100" s="0" t="n">
        <v>35</v>
      </c>
      <c r="G100" s="0" t="n">
        <v>3</v>
      </c>
    </row>
    <row r="101" customFormat="false" ht="15" hidden="false" customHeight="false" outlineLevel="0" collapsed="false">
      <c r="A101" s="0" t="n">
        <v>100</v>
      </c>
      <c r="B101" s="0" t="s">
        <v>28</v>
      </c>
      <c r="C101" s="0" t="s">
        <v>156</v>
      </c>
      <c r="D101" s="3" t="n">
        <v>-10.46</v>
      </c>
      <c r="E101" s="3" t="n">
        <v>-0.45</v>
      </c>
      <c r="F101" s="0" t="n">
        <v>155</v>
      </c>
      <c r="G101" s="0" t="n">
        <v>2</v>
      </c>
    </row>
    <row r="102" customFormat="false" ht="15" hidden="false" customHeight="false" outlineLevel="0" collapsed="false">
      <c r="A102" s="0" t="n">
        <v>101</v>
      </c>
      <c r="B102" s="0" t="s">
        <v>31</v>
      </c>
      <c r="C102" s="0" t="s">
        <v>159</v>
      </c>
      <c r="D102" s="3" t="n">
        <v>-10.49</v>
      </c>
      <c r="E102" s="3" t="n">
        <v>-0.09</v>
      </c>
      <c r="F102" s="0" t="n">
        <v>103</v>
      </c>
      <c r="G102" s="0" t="n">
        <v>2</v>
      </c>
    </row>
    <row r="103" customFormat="false" ht="15" hidden="false" customHeight="false" outlineLevel="0" collapsed="false">
      <c r="A103" s="0" t="n">
        <v>102</v>
      </c>
      <c r="B103" s="0" t="s">
        <v>63</v>
      </c>
      <c r="C103" s="0" t="s">
        <v>156</v>
      </c>
      <c r="D103" s="3" t="n">
        <v>-10.63</v>
      </c>
      <c r="E103" s="3" t="n">
        <v>0.01</v>
      </c>
      <c r="F103" s="0" t="n">
        <v>70</v>
      </c>
      <c r="G103" s="0" t="n">
        <v>2</v>
      </c>
    </row>
    <row r="104" customFormat="false" ht="15" hidden="false" customHeight="false" outlineLevel="0" collapsed="false">
      <c r="A104" s="0" t="n">
        <v>103</v>
      </c>
      <c r="B104" s="0" t="s">
        <v>50</v>
      </c>
      <c r="C104" s="0" t="s">
        <v>159</v>
      </c>
      <c r="D104" s="3" t="n">
        <v>-10.68</v>
      </c>
      <c r="E104" s="3" t="n">
        <v>-1.24</v>
      </c>
      <c r="F104" s="0" t="n">
        <v>212</v>
      </c>
      <c r="G104" s="0" t="n">
        <v>3</v>
      </c>
    </row>
    <row r="105" customFormat="false" ht="15" hidden="false" customHeight="false" outlineLevel="0" collapsed="false">
      <c r="A105" s="0" t="n">
        <v>104</v>
      </c>
      <c r="B105" s="0" t="s">
        <v>35</v>
      </c>
      <c r="C105" s="0" t="s">
        <v>159</v>
      </c>
      <c r="D105" s="3" t="n">
        <v>-10.71</v>
      </c>
      <c r="E105" s="3" t="n">
        <v>-0.11</v>
      </c>
      <c r="F105" s="0" t="n">
        <v>108</v>
      </c>
      <c r="G105" s="0" t="n">
        <v>2</v>
      </c>
    </row>
    <row r="106" customFormat="false" ht="15" hidden="false" customHeight="false" outlineLevel="0" collapsed="false">
      <c r="A106" s="0" t="n">
        <v>105</v>
      </c>
      <c r="B106" s="0" t="s">
        <v>111</v>
      </c>
      <c r="C106" s="0" t="s">
        <v>154</v>
      </c>
      <c r="D106" s="3" t="n">
        <v>-11.1</v>
      </c>
      <c r="E106" s="3" t="n">
        <v>-0.08</v>
      </c>
      <c r="F106" s="0" t="n">
        <v>99</v>
      </c>
      <c r="G106" s="0" t="n">
        <v>2</v>
      </c>
    </row>
    <row r="107" customFormat="false" ht="15" hidden="false" customHeight="false" outlineLevel="0" collapsed="false">
      <c r="A107" s="0" t="n">
        <v>106</v>
      </c>
      <c r="B107" s="0" t="s">
        <v>118</v>
      </c>
      <c r="C107" s="0" t="s">
        <v>156</v>
      </c>
      <c r="D107" s="3" t="n">
        <v>-11.14</v>
      </c>
      <c r="E107" s="3" t="n">
        <v>0.02</v>
      </c>
      <c r="F107" s="0" t="n">
        <v>64</v>
      </c>
      <c r="G107" s="0" t="n">
        <v>2</v>
      </c>
    </row>
    <row r="108" customFormat="false" ht="15" hidden="false" customHeight="false" outlineLevel="0" collapsed="false">
      <c r="A108" s="0" t="n">
        <v>107</v>
      </c>
      <c r="B108" s="0" t="s">
        <v>94</v>
      </c>
      <c r="C108" s="0" t="s">
        <v>155</v>
      </c>
      <c r="D108" s="3" t="n">
        <v>-11.46</v>
      </c>
      <c r="E108" s="3" t="n">
        <v>-0.32</v>
      </c>
      <c r="F108" s="0" t="n">
        <v>144</v>
      </c>
      <c r="G108" s="0" t="n">
        <v>2</v>
      </c>
    </row>
    <row r="109" customFormat="false" ht="15" hidden="false" customHeight="false" outlineLevel="0" collapsed="false">
      <c r="A109" s="0" t="n">
        <v>108</v>
      </c>
      <c r="B109" s="0" t="s">
        <v>44</v>
      </c>
      <c r="C109" s="0" t="s">
        <v>158</v>
      </c>
      <c r="D109" s="3" t="n">
        <v>-11.6</v>
      </c>
      <c r="E109" s="3" t="n">
        <v>-1.3</v>
      </c>
      <c r="F109" s="0" t="n">
        <v>214</v>
      </c>
      <c r="G109" s="0" t="n">
        <v>3</v>
      </c>
    </row>
    <row r="110" customFormat="false" ht="15" hidden="false" customHeight="false" outlineLevel="0" collapsed="false">
      <c r="A110" s="0" t="n">
        <v>109</v>
      </c>
      <c r="B110" s="0" t="s">
        <v>58</v>
      </c>
      <c r="C110" s="0" t="s">
        <v>159</v>
      </c>
      <c r="D110" s="3" t="n">
        <v>-11.6</v>
      </c>
      <c r="E110" s="3" t="n">
        <v>-0.11</v>
      </c>
      <c r="F110" s="0" t="n">
        <v>107</v>
      </c>
      <c r="G110" s="0" t="n">
        <v>2</v>
      </c>
    </row>
    <row r="111" customFormat="false" ht="15" hidden="false" customHeight="false" outlineLevel="0" collapsed="false">
      <c r="A111" s="0" t="n">
        <v>110</v>
      </c>
      <c r="B111" s="0" t="s">
        <v>42</v>
      </c>
      <c r="C111" s="0" t="s">
        <v>156</v>
      </c>
      <c r="D111" s="3" t="n">
        <v>-12.06</v>
      </c>
      <c r="E111" s="3" t="n">
        <v>0.24</v>
      </c>
      <c r="F111" s="0" t="n">
        <v>43</v>
      </c>
      <c r="G111" s="0" t="n">
        <v>2</v>
      </c>
    </row>
    <row r="112" customFormat="false" ht="15" hidden="false" customHeight="false" outlineLevel="0" collapsed="false">
      <c r="A112" s="0" t="n">
        <v>111</v>
      </c>
      <c r="B112" s="0" t="s">
        <v>104</v>
      </c>
      <c r="C112" s="0" t="s">
        <v>158</v>
      </c>
      <c r="D112" s="3" t="n">
        <v>-12.2</v>
      </c>
      <c r="E112" s="3" t="n">
        <v>0.08</v>
      </c>
      <c r="F112" s="0" t="n">
        <v>56</v>
      </c>
      <c r="G112" s="0" t="n">
        <v>3</v>
      </c>
    </row>
    <row r="113" customFormat="false" ht="15" hidden="false" customHeight="false" outlineLevel="0" collapsed="false">
      <c r="A113" s="0" t="n">
        <v>112</v>
      </c>
      <c r="B113" s="0" t="s">
        <v>6</v>
      </c>
      <c r="C113" s="0" t="s">
        <v>158</v>
      </c>
      <c r="D113" s="3" t="n">
        <v>-12.28</v>
      </c>
      <c r="E113" s="3" t="n">
        <v>-0.87</v>
      </c>
      <c r="F113" s="0" t="n">
        <v>196</v>
      </c>
      <c r="G113" s="0" t="n">
        <v>2</v>
      </c>
    </row>
    <row r="114" customFormat="false" ht="15" hidden="false" customHeight="false" outlineLevel="0" collapsed="false">
      <c r="A114" s="0" t="n">
        <v>113</v>
      </c>
      <c r="B114" s="0" t="s">
        <v>74</v>
      </c>
      <c r="C114" s="0" t="s">
        <v>159</v>
      </c>
      <c r="D114" s="3" t="n">
        <v>-12.39</v>
      </c>
      <c r="E114" s="3" t="n">
        <v>-0.01</v>
      </c>
      <c r="F114" s="0" t="n">
        <v>79</v>
      </c>
      <c r="G114" s="0" t="n">
        <v>2</v>
      </c>
    </row>
    <row r="115" customFormat="false" ht="15" hidden="false" customHeight="false" outlineLevel="0" collapsed="false">
      <c r="A115" s="0" t="n">
        <v>114</v>
      </c>
      <c r="B115" s="0" t="s">
        <v>54</v>
      </c>
      <c r="C115" s="0" t="s">
        <v>159</v>
      </c>
      <c r="D115" s="3" t="n">
        <v>-13.41</v>
      </c>
      <c r="E115" s="3" t="n">
        <v>-0.89</v>
      </c>
      <c r="F115" s="0" t="n">
        <v>199</v>
      </c>
      <c r="G115" s="0" t="n">
        <v>2</v>
      </c>
    </row>
    <row r="116" customFormat="false" ht="15" hidden="false" customHeight="false" outlineLevel="0" collapsed="false">
      <c r="A116" s="0" t="n">
        <v>115</v>
      </c>
      <c r="B116" s="0" t="s">
        <v>107</v>
      </c>
      <c r="C116" s="0" t="s">
        <v>156</v>
      </c>
      <c r="D116" s="3" t="n">
        <v>-13.81</v>
      </c>
      <c r="E116" s="3" t="n">
        <v>-0.12</v>
      </c>
      <c r="F116" s="0" t="n">
        <v>110</v>
      </c>
      <c r="G116" s="0" t="n">
        <v>2</v>
      </c>
    </row>
    <row r="117" customFormat="false" ht="15" hidden="false" customHeight="false" outlineLevel="0" collapsed="false">
      <c r="A117" s="0" t="n">
        <v>116</v>
      </c>
      <c r="B117" s="0" t="s">
        <v>120</v>
      </c>
      <c r="C117" s="0" t="s">
        <v>154</v>
      </c>
      <c r="D117" s="3" t="n">
        <v>-13.9</v>
      </c>
      <c r="E117" s="3" t="n">
        <v>0.19</v>
      </c>
      <c r="F117" s="0" t="n">
        <v>47</v>
      </c>
      <c r="G117" s="0" t="n">
        <v>2</v>
      </c>
    </row>
    <row r="118" customFormat="false" ht="15" hidden="false" customHeight="false" outlineLevel="0" collapsed="false">
      <c r="A118" s="0" t="n">
        <v>117</v>
      </c>
      <c r="B118" s="0" t="s">
        <v>78</v>
      </c>
      <c r="C118" s="0" t="s">
        <v>158</v>
      </c>
      <c r="D118" s="3" t="n">
        <v>-15.16</v>
      </c>
      <c r="E118" s="3" t="n">
        <v>-0.85</v>
      </c>
      <c r="F118" s="0" t="n">
        <v>192</v>
      </c>
      <c r="G118" s="0" t="n">
        <v>2</v>
      </c>
    </row>
    <row r="119" customFormat="false" ht="15" hidden="false" customHeight="false" outlineLevel="0" collapsed="false">
      <c r="A119" s="0" t="n">
        <v>118</v>
      </c>
      <c r="B119" s="0" t="s">
        <v>37</v>
      </c>
      <c r="C119" s="0" t="s">
        <v>154</v>
      </c>
      <c r="D119" s="3" t="n">
        <v>-15.45</v>
      </c>
      <c r="E119" s="3" t="n">
        <v>0.21</v>
      </c>
      <c r="F119" s="0" t="n">
        <v>45</v>
      </c>
      <c r="G119" s="0" t="n">
        <v>2</v>
      </c>
    </row>
    <row r="120" customFormat="false" ht="15" hidden="false" customHeight="false" outlineLevel="0" collapsed="false">
      <c r="A120" s="0" t="n">
        <v>119</v>
      </c>
      <c r="B120" s="0" t="s">
        <v>140</v>
      </c>
      <c r="C120" s="0" t="s">
        <v>159</v>
      </c>
      <c r="D120" s="3" t="n">
        <v>-15.51</v>
      </c>
      <c r="E120" s="3" t="n">
        <v>-0.81</v>
      </c>
      <c r="F120" s="0" t="n">
        <v>188</v>
      </c>
      <c r="G120" s="0" t="n">
        <v>2</v>
      </c>
    </row>
    <row r="121" customFormat="false" ht="15" hidden="false" customHeight="false" outlineLevel="0" collapsed="false">
      <c r="A121" s="0" t="n">
        <v>120</v>
      </c>
      <c r="B121" s="0" t="s">
        <v>80</v>
      </c>
      <c r="C121" s="0" t="s">
        <v>159</v>
      </c>
      <c r="D121" s="3" t="n">
        <v>-16.37</v>
      </c>
      <c r="E121" s="3" t="n">
        <v>-0.94</v>
      </c>
      <c r="F121" s="0" t="n">
        <v>203</v>
      </c>
      <c r="G121" s="0" t="n">
        <v>3</v>
      </c>
    </row>
    <row r="122" customFormat="false" ht="15" hidden="false" customHeight="false" outlineLevel="0" collapsed="false">
      <c r="A122" s="0" t="n">
        <v>121</v>
      </c>
      <c r="B122" s="0" t="s">
        <v>98</v>
      </c>
      <c r="C122" s="0" t="s">
        <v>154</v>
      </c>
      <c r="D122" s="3" t="n">
        <v>-17.08</v>
      </c>
      <c r="E122" s="3" t="n">
        <v>0</v>
      </c>
      <c r="F122" s="0" t="n">
        <v>73</v>
      </c>
      <c r="G122" s="0" t="n">
        <v>2</v>
      </c>
    </row>
    <row r="123" customFormat="false" ht="15" hidden="false" customHeight="false" outlineLevel="0" collapsed="false">
      <c r="A123" s="0" t="n">
        <v>122</v>
      </c>
      <c r="B123" s="0" t="s">
        <v>101</v>
      </c>
      <c r="C123" s="0" t="s">
        <v>157</v>
      </c>
      <c r="D123" s="3" t="n">
        <v>-17.18</v>
      </c>
      <c r="E123" s="3" t="n">
        <v>-1.27</v>
      </c>
      <c r="F123" s="0" t="n">
        <v>213</v>
      </c>
      <c r="G123" s="0" t="n">
        <v>3</v>
      </c>
    </row>
    <row r="124" customFormat="false" ht="15" hidden="false" customHeight="false" outlineLevel="0" collapsed="false">
      <c r="A124" s="0" t="n">
        <v>123</v>
      </c>
      <c r="B124" s="0" t="s">
        <v>22</v>
      </c>
      <c r="C124" s="0" t="s">
        <v>157</v>
      </c>
      <c r="D124" s="3" t="n">
        <v>-17.92</v>
      </c>
      <c r="E124" s="3" t="n">
        <v>-0.68</v>
      </c>
      <c r="F124" s="0" t="n">
        <v>172</v>
      </c>
      <c r="G124" s="0" t="n">
        <v>2</v>
      </c>
    </row>
    <row r="125" customFormat="false" ht="15" hidden="false" customHeight="false" outlineLevel="0" collapsed="false">
      <c r="A125" s="0" t="n">
        <v>124</v>
      </c>
      <c r="B125" s="0" t="s">
        <v>7</v>
      </c>
      <c r="C125" s="0" t="s">
        <v>157</v>
      </c>
      <c r="D125" s="3" t="n">
        <v>-18.14</v>
      </c>
      <c r="E125" s="3" t="n">
        <v>-0.3</v>
      </c>
      <c r="F125" s="0" t="n">
        <v>136</v>
      </c>
      <c r="G125" s="0" t="n">
        <v>2</v>
      </c>
    </row>
    <row r="126" customFormat="false" ht="15" hidden="false" customHeight="false" outlineLevel="0" collapsed="false">
      <c r="A126" s="0" t="n">
        <v>125</v>
      </c>
      <c r="B126" s="0" t="s">
        <v>121</v>
      </c>
      <c r="C126" s="0" t="s">
        <v>154</v>
      </c>
      <c r="D126" s="3" t="n">
        <v>-18.72</v>
      </c>
      <c r="E126" s="3" t="n">
        <v>-0.16</v>
      </c>
      <c r="F126" s="0" t="n">
        <v>115</v>
      </c>
      <c r="G126" s="0" t="n">
        <v>2</v>
      </c>
    </row>
    <row r="127" customFormat="false" ht="15" hidden="false" customHeight="false" outlineLevel="0" collapsed="false">
      <c r="A127" s="0" t="n">
        <v>126</v>
      </c>
      <c r="B127" s="0" t="s">
        <v>143</v>
      </c>
      <c r="C127" s="0" t="s">
        <v>158</v>
      </c>
      <c r="D127" s="3" t="n">
        <v>-18.78</v>
      </c>
      <c r="E127" s="3" t="n">
        <v>-0.67</v>
      </c>
      <c r="F127" s="0" t="n">
        <v>171</v>
      </c>
      <c r="G127" s="0" t="n">
        <v>2</v>
      </c>
    </row>
    <row r="128" customFormat="false" ht="15" hidden="false" customHeight="false" outlineLevel="0" collapsed="false">
      <c r="A128" s="0" t="n">
        <v>127</v>
      </c>
      <c r="B128" s="0" t="s">
        <v>34</v>
      </c>
      <c r="C128" s="0" t="s">
        <v>157</v>
      </c>
      <c r="D128" s="3" t="n">
        <v>-19.73</v>
      </c>
      <c r="E128" s="3" t="n">
        <v>-1.17</v>
      </c>
      <c r="F128" s="0" t="n">
        <v>211</v>
      </c>
      <c r="G128" s="0" t="n">
        <v>3</v>
      </c>
    </row>
    <row r="129" customFormat="false" ht="15" hidden="false" customHeight="false" outlineLevel="0" collapsed="false">
      <c r="A129" s="0" t="n">
        <v>128</v>
      </c>
      <c r="B129" s="0" t="s">
        <v>70</v>
      </c>
      <c r="C129" s="0" t="s">
        <v>159</v>
      </c>
      <c r="D129" s="3" t="n">
        <v>-20.05</v>
      </c>
      <c r="E129" s="3" t="n">
        <v>-0.69</v>
      </c>
      <c r="F129" s="0" t="n">
        <v>175</v>
      </c>
      <c r="G129" s="0" t="n">
        <v>2</v>
      </c>
    </row>
    <row r="130" customFormat="false" ht="15" hidden="false" customHeight="false" outlineLevel="0" collapsed="false">
      <c r="A130" s="0" t="n">
        <v>129</v>
      </c>
      <c r="B130" s="0" t="s">
        <v>84</v>
      </c>
      <c r="C130" s="0" t="s">
        <v>158</v>
      </c>
      <c r="D130" s="3" t="n">
        <v>-20.17</v>
      </c>
      <c r="E130" s="3" t="n">
        <v>-1.02</v>
      </c>
      <c r="F130" s="0" t="n">
        <v>206</v>
      </c>
      <c r="G130" s="0" t="n">
        <v>2</v>
      </c>
    </row>
    <row r="131" customFormat="false" ht="15" hidden="false" customHeight="false" outlineLevel="0" collapsed="false">
      <c r="A131" s="0" t="n">
        <v>130</v>
      </c>
      <c r="B131" s="0" t="s">
        <v>24</v>
      </c>
      <c r="C131" s="0" t="s">
        <v>157</v>
      </c>
      <c r="D131" s="3" t="n">
        <v>-20.27</v>
      </c>
      <c r="E131" s="3" t="n">
        <v>-0.33</v>
      </c>
      <c r="F131" s="0" t="n">
        <v>145</v>
      </c>
      <c r="G131" s="0" t="n">
        <v>2</v>
      </c>
    </row>
    <row r="132" customFormat="false" ht="15" hidden="false" customHeight="false" outlineLevel="0" collapsed="false">
      <c r="A132" s="0" t="n">
        <v>131</v>
      </c>
      <c r="B132" s="0" t="s">
        <v>17</v>
      </c>
      <c r="C132" s="0" t="s">
        <v>157</v>
      </c>
      <c r="D132" s="3" t="n">
        <v>-20.54</v>
      </c>
      <c r="E132" s="3" t="n">
        <v>0</v>
      </c>
      <c r="F132" s="0" t="n">
        <v>72</v>
      </c>
      <c r="G132" s="0" t="n">
        <v>2</v>
      </c>
    </row>
    <row r="133" customFormat="false" ht="15" hidden="false" customHeight="false" outlineLevel="0" collapsed="false">
      <c r="A133" s="0" t="n">
        <v>132</v>
      </c>
      <c r="B133" s="0" t="s">
        <v>21</v>
      </c>
      <c r="C133" s="0" t="s">
        <v>157</v>
      </c>
      <c r="D133" s="3" t="n">
        <v>-21.03</v>
      </c>
      <c r="E133" s="3" t="n">
        <v>-1.08</v>
      </c>
      <c r="F133" s="0" t="n">
        <v>209</v>
      </c>
      <c r="G133" s="0" t="n">
        <v>2</v>
      </c>
    </row>
    <row r="134" customFormat="false" ht="15" hidden="false" customHeight="false" outlineLevel="0" collapsed="false">
      <c r="A134" s="0" t="n">
        <v>133</v>
      </c>
      <c r="B134" s="0" t="s">
        <v>129</v>
      </c>
      <c r="C134" s="0" t="s">
        <v>158</v>
      </c>
      <c r="D134" s="3" t="n">
        <v>-21.79</v>
      </c>
      <c r="E134" s="3" t="n">
        <v>-0.05</v>
      </c>
      <c r="F134" s="0" t="n">
        <v>93</v>
      </c>
      <c r="G134" s="0" t="n">
        <v>2</v>
      </c>
    </row>
    <row r="135" customFormat="false" ht="15" hidden="false" customHeight="false" outlineLevel="0" collapsed="false">
      <c r="A135" s="0" t="n">
        <v>134</v>
      </c>
      <c r="B135" s="0" t="s">
        <v>125</v>
      </c>
      <c r="C135" s="0" t="s">
        <v>157</v>
      </c>
      <c r="D135" s="3" t="n">
        <v>-22.39</v>
      </c>
      <c r="E135" s="3" t="n">
        <v>0.36</v>
      </c>
      <c r="F135" s="0" t="n">
        <v>37</v>
      </c>
      <c r="G135" s="0" t="n">
        <v>2</v>
      </c>
    </row>
    <row r="136" customFormat="false" ht="15" hidden="false" customHeight="false" outlineLevel="0" collapsed="false">
      <c r="A136" s="0" t="n">
        <v>135</v>
      </c>
      <c r="B136" s="0" t="s">
        <v>61</v>
      </c>
      <c r="C136" s="0" t="s">
        <v>156</v>
      </c>
      <c r="D136" s="3" t="n">
        <v>-23.71</v>
      </c>
      <c r="E136" s="3" t="n">
        <v>-1</v>
      </c>
      <c r="F136" s="0" t="n">
        <v>205</v>
      </c>
      <c r="G136" s="0" t="n">
        <v>2</v>
      </c>
    </row>
    <row r="137" customFormat="false" ht="15" hidden="false" customHeight="false" outlineLevel="0" collapsed="false">
      <c r="A137" s="0" t="n">
        <v>136</v>
      </c>
      <c r="B137" s="0" t="s">
        <v>102</v>
      </c>
      <c r="C137" s="0" t="s">
        <v>159</v>
      </c>
      <c r="D137" s="3" t="n">
        <v>-24.23</v>
      </c>
      <c r="E137" s="3" t="n">
        <v>-1.62</v>
      </c>
      <c r="F137" s="0" t="n">
        <v>218</v>
      </c>
      <c r="G137" s="0" t="n">
        <v>2</v>
      </c>
    </row>
    <row r="138" customFormat="false" ht="15" hidden="false" customHeight="false" outlineLevel="0" collapsed="false">
      <c r="A138" s="0" t="n">
        <v>137</v>
      </c>
      <c r="B138" s="0" t="s">
        <v>55</v>
      </c>
      <c r="C138" s="0" t="s">
        <v>157</v>
      </c>
      <c r="D138" s="3" t="n">
        <v>-24.74</v>
      </c>
      <c r="E138" s="3" t="n">
        <v>-0.13</v>
      </c>
      <c r="F138" s="0" t="n">
        <v>113</v>
      </c>
      <c r="G138" s="0" t="n">
        <v>2</v>
      </c>
    </row>
    <row r="139" customFormat="false" ht="15" hidden="false" customHeight="false" outlineLevel="0" collapsed="false">
      <c r="A139" s="0" t="n">
        <v>138</v>
      </c>
      <c r="B139" s="0" t="s">
        <v>25</v>
      </c>
      <c r="C139" s="0" t="s">
        <v>154</v>
      </c>
      <c r="D139" s="3" t="n">
        <v>-26.66</v>
      </c>
      <c r="E139" s="3" t="n">
        <v>-1.02</v>
      </c>
      <c r="F139" s="0" t="n">
        <v>207</v>
      </c>
      <c r="G139" s="0" t="n">
        <v>2</v>
      </c>
    </row>
    <row r="141" customFormat="false" ht="15" hidden="false" customHeight="false" outlineLevel="0" collapsed="false">
      <c r="A141" s="4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5" t="s">
        <v>161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6" t="s">
        <v>162</v>
      </c>
    </row>
    <row r="4" customFormat="false" ht="15" hidden="false" customHeight="false" outlineLevel="0" collapsed="false">
      <c r="A4" s="6"/>
    </row>
    <row r="5" customFormat="false" ht="15" hidden="false" customHeight="false" outlineLevel="0" collapsed="false">
      <c r="A5" s="7" t="s">
        <v>163</v>
      </c>
    </row>
    <row r="6" customFormat="false" ht="15" hidden="false" customHeight="false" outlineLevel="0" collapsed="false">
      <c r="A6" s="6" t="s">
        <v>164</v>
      </c>
    </row>
    <row r="7" customFormat="false" ht="15" hidden="false" customHeight="false" outlineLevel="0" collapsed="false">
      <c r="A7" s="6" t="s">
        <v>165</v>
      </c>
    </row>
    <row r="8" customFormat="false" ht="15" hidden="false" customHeight="false" outlineLevel="0" collapsed="false">
      <c r="A8" s="6" t="s">
        <v>166</v>
      </c>
    </row>
    <row r="9" customFormat="false" ht="15" hidden="false" customHeight="false" outlineLevel="0" collapsed="false">
      <c r="A9" s="6"/>
    </row>
    <row r="10" customFormat="false" ht="15" hidden="false" customHeight="false" outlineLevel="0" collapsed="false">
      <c r="A10" s="8" t="s">
        <v>167</v>
      </c>
    </row>
    <row r="11" customFormat="false" ht="15" hidden="false" customHeight="false" outlineLevel="0" collapsed="false">
      <c r="A11" s="9" t="s">
        <v>168</v>
      </c>
    </row>
    <row r="12" customFormat="false" ht="15" hidden="false" customHeight="false" outlineLevel="0" collapsed="false">
      <c r="A12" s="6" t="s">
        <v>169</v>
      </c>
    </row>
    <row r="13" customFormat="false" ht="15" hidden="false" customHeight="false" outlineLevel="0" collapsed="false">
      <c r="A13" s="6" t="s">
        <v>170</v>
      </c>
    </row>
    <row r="14" customFormat="false" ht="15" hidden="false" customHeight="false" outlineLevel="0" collapsed="false">
      <c r="A14" s="6" t="s">
        <v>171</v>
      </c>
    </row>
    <row r="15" customFormat="false" ht="15" hidden="false" customHeight="false" outlineLevel="0" collapsed="false">
      <c r="A15" s="6"/>
    </row>
    <row r="16" customFormat="false" ht="15" hidden="false" customHeight="false" outlineLevel="0" collapsed="false">
      <c r="A16" s="8" t="s">
        <v>172</v>
      </c>
    </row>
    <row r="17" customFormat="false" ht="15" hidden="false" customHeight="false" outlineLevel="0" collapsed="false">
      <c r="A17" s="6" t="s">
        <v>173</v>
      </c>
    </row>
    <row r="18" customFormat="false" ht="15" hidden="false" customHeight="false" outlineLevel="0" collapsed="false">
      <c r="A18" s="6" t="s">
        <v>174</v>
      </c>
    </row>
    <row r="19" customFormat="false" ht="15" hidden="false" customHeight="false" outlineLevel="0" collapsed="false">
      <c r="A19" s="6"/>
    </row>
    <row r="20" customFormat="false" ht="15" hidden="false" customHeight="false" outlineLevel="0" collapsed="false">
      <c r="A20" s="6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2" min="3" style="0" width="9"/>
  </cols>
  <sheetData>
    <row r="1" customFormat="false" ht="15" hidden="false" customHeight="false" outlineLevel="0" collapsed="false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197</v>
      </c>
    </row>
    <row r="2" customFormat="false" ht="15" hidden="false" customHeight="false" outlineLevel="0" collapsed="false">
      <c r="A2" s="0" t="s">
        <v>33</v>
      </c>
      <c r="B2" s="0" t="s">
        <v>8</v>
      </c>
      <c r="C2" s="0" t="n">
        <v>10</v>
      </c>
      <c r="D2" s="0" t="n">
        <v>48</v>
      </c>
      <c r="E2" s="0" t="n">
        <v>2</v>
      </c>
      <c r="F2" s="0" t="n">
        <v>227</v>
      </c>
      <c r="G2" s="0" t="n">
        <v>160</v>
      </c>
      <c r="H2" s="0" t="n">
        <v>260</v>
      </c>
      <c r="I2" s="0" t="n">
        <v>1</v>
      </c>
      <c r="J2" s="0" t="n">
        <v>1</v>
      </c>
      <c r="K2" s="0" t="n">
        <v>0</v>
      </c>
      <c r="L2" s="0" t="n">
        <v>1</v>
      </c>
      <c r="M2" s="0" t="n">
        <f aca="false">VLOOKUP(A2,'Team Data'!$A$1:$P$140,2,FALSE())</f>
        <v>0</v>
      </c>
      <c r="N2" s="0" t="n">
        <f aca="false">VLOOKUP(A2,'Team Data'!$A$1:$P$140,3,FALSE())</f>
        <v>2</v>
      </c>
      <c r="O2" s="0" t="n">
        <f aca="false">VLOOKUP(B2,'Team Data'!$A$1:$P$140,2,FALSE())</f>
        <v>2</v>
      </c>
      <c r="P2" s="0" t="n">
        <f aca="false">VLOOKUP(B2,'Team Data'!$A$1:$P$140,3,FALSE())</f>
        <v>0</v>
      </c>
      <c r="Q2" s="0" t="n">
        <f aca="false">VLOOKUP(A2,'Team Data'!$A$1:$P$140,4,FALSE())</f>
        <v>4</v>
      </c>
      <c r="R2" s="0" t="n">
        <f aca="false">VLOOKUP(A2,'Team Data'!$A$1:$P$140,5,FALSE())</f>
        <v>0</v>
      </c>
      <c r="S2" s="0" t="n">
        <f aca="false">VLOOKUP(B2,'Team Data'!$A$1:$P$140,4,FALSE())</f>
        <v>1</v>
      </c>
      <c r="T2" s="0" t="n">
        <f aca="false">VLOOKUP(B2,'Team Data'!$A$1:$P$140,5,FALSE())</f>
        <v>3</v>
      </c>
      <c r="U2" s="0" t="n">
        <f aca="false">IF(K2=1,(MIN(35,(C2-D2)))*(O2/(O2+P2))*(S2/(S2+T2)),(MAX(-35,(C2-D2)))*(IF(P2=0,0.1,(P2/(O2+P2))))*(T2/(S2+T2)))</f>
        <v>-2.625</v>
      </c>
      <c r="V2" s="0" t="n">
        <f aca="false">IF(L2=1,(MIN(35,(D2-C2)))*(M2/(M2+N2))*(Q2/(Q2+R2)),(MAX(-35,(D2-C2)))*(IF(N2=0,0.1,(N2/(M2+N2))))*(R2/(R2+Q2)))</f>
        <v>0</v>
      </c>
    </row>
    <row r="3" customFormat="false" ht="15" hidden="false" customHeight="false" outlineLevel="0" collapsed="false">
      <c r="A3" s="0" t="s">
        <v>198</v>
      </c>
      <c r="B3" s="0" t="s">
        <v>12</v>
      </c>
      <c r="C3" s="0" t="n">
        <v>14</v>
      </c>
      <c r="D3" s="0" t="n">
        <v>31</v>
      </c>
      <c r="E3" s="0" t="n">
        <v>40</v>
      </c>
      <c r="F3" s="0" t="n">
        <v>148</v>
      </c>
      <c r="G3" s="0" t="n">
        <v>113</v>
      </c>
      <c r="H3" s="0" t="n">
        <v>267</v>
      </c>
      <c r="I3" s="0" t="n">
        <v>1</v>
      </c>
      <c r="J3" s="0" t="n">
        <v>3</v>
      </c>
      <c r="K3" s="0" t="n">
        <v>0</v>
      </c>
      <c r="L3" s="0" t="n">
        <v>1</v>
      </c>
      <c r="M3" s="0" t="n">
        <f aca="false">VLOOKUP(A3,'Team Data'!$A$1:$P$140,2,FALSE())</f>
        <v>5</v>
      </c>
      <c r="N3" s="0" t="n">
        <f aca="false">VLOOKUP(A3,'Team Data'!$A$1:$P$140,3,FALSE())</f>
        <v>80</v>
      </c>
      <c r="O3" s="0" t="n">
        <f aca="false">VLOOKUP(B3,'Team Data'!$A$1:$P$140,2,FALSE())</f>
        <v>1</v>
      </c>
      <c r="P3" s="0" t="n">
        <f aca="false">VLOOKUP(B3,'Team Data'!$A$1:$P$140,3,FALSE())</f>
        <v>1</v>
      </c>
      <c r="Q3" s="0" t="n">
        <f aca="false">VLOOKUP(A3,'Team Data'!$A$1:$P$140,4,FALSE())</f>
        <v>113</v>
      </c>
      <c r="R3" s="0" t="n">
        <f aca="false">VLOOKUP(A3,'Team Data'!$A$1:$P$140,5,FALSE())</f>
        <v>61</v>
      </c>
      <c r="S3" s="0" t="n">
        <f aca="false">VLOOKUP(B3,'Team Data'!$A$1:$P$140,4,FALSE())</f>
        <v>7</v>
      </c>
      <c r="T3" s="0" t="n">
        <f aca="false">VLOOKUP(B3,'Team Data'!$A$1:$P$140,5,FALSE())</f>
        <v>80</v>
      </c>
      <c r="U3" s="0" t="n">
        <f aca="false">IF(K3=1,(MIN(35,(C3-D3)))*(O3/(O3+P3))*(S3/(S3+T3)),(MAX(-35,(C3-D3)))*(IF(P3=0,0.1,(P3/(O3+P3))))*(T3/(S3+T3)))</f>
        <v>-7.81609195402299</v>
      </c>
      <c r="V3" s="0" t="n">
        <f aca="false">IF(L3=1,(MIN(35,(D3-C3)))*(M3/(M3+N3))*(Q3/(Q3+R3)),(MAX(-35,(D3-C3)))*(IF(N3=0,0.1,(N3/(M3+N3))))*(R3/(R3+Q3)))</f>
        <v>0.649425287356322</v>
      </c>
    </row>
    <row r="4" customFormat="false" ht="15" hidden="false" customHeight="false" outlineLevel="0" collapsed="false">
      <c r="A4" s="0" t="s">
        <v>18</v>
      </c>
      <c r="B4" s="0" t="s">
        <v>15</v>
      </c>
      <c r="C4" s="0" t="n">
        <v>16</v>
      </c>
      <c r="D4" s="0" t="n">
        <v>17</v>
      </c>
      <c r="E4" s="0" t="n">
        <v>103</v>
      </c>
      <c r="F4" s="0" t="n">
        <v>130</v>
      </c>
      <c r="G4" s="0" t="n">
        <v>333</v>
      </c>
      <c r="H4" s="0" t="n">
        <v>259</v>
      </c>
      <c r="I4" s="0" t="n">
        <v>2</v>
      </c>
      <c r="J4" s="0" t="n">
        <v>3</v>
      </c>
      <c r="K4" s="0" t="n">
        <v>0</v>
      </c>
      <c r="L4" s="0" t="n">
        <v>1</v>
      </c>
      <c r="M4" s="0" t="n">
        <f aca="false">VLOOKUP(A4,'Team Data'!$A$1:$P$140,2,FALSE())</f>
        <v>1</v>
      </c>
      <c r="N4" s="0" t="n">
        <f aca="false">VLOOKUP(A4,'Team Data'!$A$1:$P$140,3,FALSE())</f>
        <v>1</v>
      </c>
      <c r="O4" s="0" t="n">
        <f aca="false">VLOOKUP(B4,'Team Data'!$A$1:$P$140,2,FALSE())</f>
        <v>2</v>
      </c>
      <c r="P4" s="0" t="n">
        <f aca="false">VLOOKUP(B4,'Team Data'!$A$1:$P$140,3,FALSE())</f>
        <v>0</v>
      </c>
      <c r="Q4" s="0" t="n">
        <f aca="false">VLOOKUP(A4,'Team Data'!$A$1:$P$140,4,FALSE())</f>
        <v>7</v>
      </c>
      <c r="R4" s="0" t="n">
        <f aca="false">VLOOKUP(A4,'Team Data'!$A$1:$P$140,5,FALSE())</f>
        <v>80</v>
      </c>
      <c r="S4" s="0" t="n">
        <f aca="false">VLOOKUP(B4,'Team Data'!$A$1:$P$140,4,FALSE())</f>
        <v>2</v>
      </c>
      <c r="T4" s="0" t="n">
        <f aca="false">VLOOKUP(B4,'Team Data'!$A$1:$P$140,5,FALSE())</f>
        <v>2</v>
      </c>
      <c r="U4" s="0" t="n">
        <f aca="false">IF(K4=1,(MIN(35,(C4-D4)))*(O4/(O4+P4))*(S4/(S4+T4)),(MAX(-35,(C4-D4)))*(IF(P4=0,0.1,(P4/(O4+P4))))*(T4/(S4+T4)))</f>
        <v>-0.05</v>
      </c>
      <c r="V4" s="0" t="n">
        <f aca="false">IF(L4=1,(MIN(35,(D4-C4)))*(M4/(M4+N4))*(Q4/(Q4+R4)),(MAX(-35,(D4-C4)))*(IF(N4=0,0.1,(N4/(M4+N4))))*(R4/(R4+Q4)))</f>
        <v>0.0402298850574713</v>
      </c>
    </row>
    <row r="5" customFormat="false" ht="15" hidden="false" customHeight="false" outlineLevel="0" collapsed="false">
      <c r="A5" s="0" t="s">
        <v>37</v>
      </c>
      <c r="B5" s="0" t="s">
        <v>36</v>
      </c>
      <c r="C5" s="0" t="n">
        <v>21</v>
      </c>
      <c r="D5" s="0" t="n">
        <v>66</v>
      </c>
      <c r="E5" s="0" t="n">
        <v>120</v>
      </c>
      <c r="F5" s="0" t="n">
        <v>281</v>
      </c>
      <c r="G5" s="0" t="n">
        <v>276</v>
      </c>
      <c r="H5" s="0" t="n">
        <v>343</v>
      </c>
      <c r="I5" s="0" t="n">
        <v>3</v>
      </c>
      <c r="J5" s="0" t="n">
        <v>1</v>
      </c>
      <c r="K5" s="0" t="n">
        <v>0</v>
      </c>
      <c r="L5" s="0" t="n">
        <v>1</v>
      </c>
      <c r="M5" s="0" t="n">
        <f aca="false">VLOOKUP(A5,'Team Data'!$A$1:$P$140,2,FALSE())</f>
        <v>1</v>
      </c>
      <c r="N5" s="0" t="n">
        <f aca="false">VLOOKUP(A5,'Team Data'!$A$1:$P$140,3,FALSE())</f>
        <v>1</v>
      </c>
      <c r="O5" s="0" t="n">
        <f aca="false">VLOOKUP(B5,'Team Data'!$A$1:$P$140,2,FALSE())</f>
        <v>2</v>
      </c>
      <c r="P5" s="0" t="n">
        <f aca="false">VLOOKUP(B5,'Team Data'!$A$1:$P$140,3,FALSE())</f>
        <v>0</v>
      </c>
      <c r="Q5" s="0" t="n">
        <f aca="false">VLOOKUP(A5,'Team Data'!$A$1:$P$140,4,FALSE())</f>
        <v>3</v>
      </c>
      <c r="R5" s="0" t="n">
        <f aca="false">VLOOKUP(A5,'Team Data'!$A$1:$P$140,5,FALSE())</f>
        <v>1</v>
      </c>
      <c r="S5" s="0" t="n">
        <f aca="false">VLOOKUP(B5,'Team Data'!$A$1:$P$140,4,FALSE())</f>
        <v>6</v>
      </c>
      <c r="T5" s="0" t="n">
        <f aca="false">VLOOKUP(B5,'Team Data'!$A$1:$P$140,5,FALSE())</f>
        <v>81</v>
      </c>
      <c r="U5" s="0" t="n">
        <f aca="false">IF(K5=1,(MIN(35,(C5-D5)))*(O5/(O5+P5))*(S5/(S5+T5)),(MAX(-35,(C5-D5)))*(IF(P5=0,0.1,(P5/(O5+P5))))*(T5/(S5+T5)))</f>
        <v>-3.25862068965517</v>
      </c>
      <c r="V5" s="0" t="n">
        <f aca="false">IF(L5=1,(MIN(35,(D5-C5)))*(M5/(M5+N5))*(Q5/(Q5+R5)),(MAX(-35,(D5-C5)))*(IF(N5=0,0.1,(N5/(M5+N5))))*(R5/(R5+Q5)))</f>
        <v>13.125</v>
      </c>
    </row>
    <row r="6" customFormat="false" ht="15" hidden="false" customHeight="false" outlineLevel="0" collapsed="false">
      <c r="A6" s="0" t="s">
        <v>198</v>
      </c>
      <c r="B6" s="0" t="s">
        <v>40</v>
      </c>
      <c r="C6" s="0" t="n">
        <v>3</v>
      </c>
      <c r="D6" s="0" t="n">
        <v>63</v>
      </c>
      <c r="E6" s="0" t="n">
        <v>10</v>
      </c>
      <c r="F6" s="0" t="n">
        <v>272</v>
      </c>
      <c r="G6" s="0" t="n">
        <v>99</v>
      </c>
      <c r="H6" s="0" t="n">
        <v>388</v>
      </c>
      <c r="I6" s="0" t="n">
        <v>0</v>
      </c>
      <c r="J6" s="0" t="n">
        <v>0</v>
      </c>
      <c r="K6" s="0" t="n">
        <v>0</v>
      </c>
      <c r="L6" s="0" t="n">
        <v>1</v>
      </c>
      <c r="M6" s="0" t="n">
        <f aca="false">VLOOKUP(A6,'Team Data'!$A$1:$P$140,2,FALSE())</f>
        <v>5</v>
      </c>
      <c r="N6" s="0" t="n">
        <f aca="false">VLOOKUP(A6,'Team Data'!$A$1:$P$140,3,FALSE())</f>
        <v>80</v>
      </c>
      <c r="O6" s="0" t="n">
        <f aca="false">VLOOKUP(B6,'Team Data'!$A$1:$P$140,2,FALSE())</f>
        <v>2</v>
      </c>
      <c r="P6" s="0" t="n">
        <f aca="false">VLOOKUP(B6,'Team Data'!$A$1:$P$140,3,FALSE())</f>
        <v>0</v>
      </c>
      <c r="Q6" s="0" t="n">
        <f aca="false">VLOOKUP(A6,'Team Data'!$A$1:$P$140,4,FALSE())</f>
        <v>113</v>
      </c>
      <c r="R6" s="0" t="n">
        <f aca="false">VLOOKUP(A6,'Team Data'!$A$1:$P$140,5,FALSE())</f>
        <v>61</v>
      </c>
      <c r="S6" s="0" t="n">
        <f aca="false">VLOOKUP(B6,'Team Data'!$A$1:$P$140,4,FALSE())</f>
        <v>5</v>
      </c>
      <c r="T6" s="0" t="n">
        <f aca="false">VLOOKUP(B6,'Team Data'!$A$1:$P$140,5,FALSE())</f>
        <v>82</v>
      </c>
      <c r="U6" s="0" t="n">
        <f aca="false">IF(K6=1,(MIN(35,(C6-D6)))*(O6/(O6+P6))*(S6/(S6+T6)),(MAX(-35,(C6-D6)))*(IF(P6=0,0.1,(P6/(O6+P6))))*(T6/(S6+T6)))</f>
        <v>-3.29885057471264</v>
      </c>
      <c r="V6" s="0" t="n">
        <f aca="false">IF(L6=1,(MIN(35,(D6-C6)))*(M6/(M6+N6))*(Q6/(Q6+R6)),(MAX(-35,(D6-C6)))*(IF(N6=0,0.1,(N6/(M6+N6))))*(R6/(R6+Q6)))</f>
        <v>1.33705206220419</v>
      </c>
    </row>
    <row r="7" customFormat="false" ht="15" hidden="false" customHeight="false" outlineLevel="0" collapsed="false">
      <c r="A7" s="0" t="s">
        <v>198</v>
      </c>
      <c r="B7" s="0" t="s">
        <v>56</v>
      </c>
      <c r="C7" s="0" t="n">
        <v>13</v>
      </c>
      <c r="D7" s="0" t="n">
        <v>45</v>
      </c>
      <c r="E7" s="0" t="n">
        <v>59</v>
      </c>
      <c r="F7" s="0" t="n">
        <v>205</v>
      </c>
      <c r="G7" s="0" t="n">
        <v>246</v>
      </c>
      <c r="H7" s="0" t="n">
        <v>301</v>
      </c>
      <c r="I7" s="0" t="n">
        <v>1</v>
      </c>
      <c r="J7" s="0" t="n">
        <v>0</v>
      </c>
      <c r="K7" s="0" t="n">
        <v>0</v>
      </c>
      <c r="L7" s="0" t="n">
        <v>1</v>
      </c>
      <c r="M7" s="0" t="n">
        <f aca="false">VLOOKUP(A7,'Team Data'!$A$1:$P$140,2,FALSE())</f>
        <v>5</v>
      </c>
      <c r="N7" s="0" t="n">
        <f aca="false">VLOOKUP(A7,'Team Data'!$A$1:$P$140,3,FALSE())</f>
        <v>80</v>
      </c>
      <c r="O7" s="0" t="n">
        <f aca="false">VLOOKUP(B7,'Team Data'!$A$1:$P$140,2,FALSE())</f>
        <v>1</v>
      </c>
      <c r="P7" s="0" t="n">
        <f aca="false">VLOOKUP(B7,'Team Data'!$A$1:$P$140,3,FALSE())</f>
        <v>1</v>
      </c>
      <c r="Q7" s="0" t="n">
        <f aca="false">VLOOKUP(A7,'Team Data'!$A$1:$P$140,4,FALSE())</f>
        <v>113</v>
      </c>
      <c r="R7" s="0" t="n">
        <f aca="false">VLOOKUP(A7,'Team Data'!$A$1:$P$140,5,FALSE())</f>
        <v>61</v>
      </c>
      <c r="S7" s="0" t="n">
        <f aca="false">VLOOKUP(B7,'Team Data'!$A$1:$P$140,4,FALSE())</f>
        <v>7</v>
      </c>
      <c r="T7" s="0" t="n">
        <f aca="false">VLOOKUP(B7,'Team Data'!$A$1:$P$140,5,FALSE())</f>
        <v>80</v>
      </c>
      <c r="U7" s="0" t="n">
        <f aca="false">IF(K7=1,(MIN(35,(C7-D7)))*(O7/(O7+P7))*(S7/(S7+T7)),(MAX(-35,(C7-D7)))*(IF(P7=0,0.1,(P7/(O7+P7))))*(T7/(S7+T7)))</f>
        <v>-14.7126436781609</v>
      </c>
      <c r="V7" s="0" t="n">
        <f aca="false">IF(L7=1,(MIN(35,(D7-C7)))*(M7/(M7+N7))*(Q7/(Q7+R7)),(MAX(-35,(D7-C7)))*(IF(N7=0,0.1,(N7/(M7+N7))))*(R7/(R7+Q7)))</f>
        <v>1.22244759972955</v>
      </c>
    </row>
    <row r="8" customFormat="false" ht="15" hidden="false" customHeight="false" outlineLevel="0" collapsed="false">
      <c r="A8" s="0" t="s">
        <v>27</v>
      </c>
      <c r="B8" s="0" t="s">
        <v>57</v>
      </c>
      <c r="C8" s="0" t="n">
        <v>10</v>
      </c>
      <c r="D8" s="0" t="n">
        <v>51</v>
      </c>
      <c r="E8" s="0" t="n">
        <v>40</v>
      </c>
      <c r="F8" s="0" t="n">
        <v>309</v>
      </c>
      <c r="G8" s="0" t="n">
        <v>105</v>
      </c>
      <c r="H8" s="0" t="n">
        <v>335</v>
      </c>
      <c r="I8" s="0" t="n">
        <v>1</v>
      </c>
      <c r="J8" s="0" t="n">
        <v>1</v>
      </c>
      <c r="K8" s="0" t="n">
        <v>0</v>
      </c>
      <c r="L8" s="0" t="n">
        <v>1</v>
      </c>
      <c r="M8" s="0" t="n">
        <f aca="false">VLOOKUP(A8,'Team Data'!$A$1:$P$140,2,FALSE())</f>
        <v>1</v>
      </c>
      <c r="N8" s="0" t="n">
        <f aca="false">VLOOKUP(A8,'Team Data'!$A$1:$P$140,3,FALSE())</f>
        <v>1</v>
      </c>
      <c r="O8" s="0" t="n">
        <f aca="false">VLOOKUP(B8,'Team Data'!$A$1:$P$140,2,FALSE())</f>
        <v>2</v>
      </c>
      <c r="P8" s="0" t="n">
        <f aca="false">VLOOKUP(B8,'Team Data'!$A$1:$P$140,3,FALSE())</f>
        <v>0</v>
      </c>
      <c r="Q8" s="0" t="n">
        <f aca="false">VLOOKUP(A8,'Team Data'!$A$1:$P$140,4,FALSE())</f>
        <v>3</v>
      </c>
      <c r="R8" s="0" t="n">
        <f aca="false">VLOOKUP(A8,'Team Data'!$A$1:$P$140,5,FALSE())</f>
        <v>1</v>
      </c>
      <c r="S8" s="0" t="n">
        <f aca="false">VLOOKUP(B8,'Team Data'!$A$1:$P$140,4,FALSE())</f>
        <v>2</v>
      </c>
      <c r="T8" s="0" t="n">
        <f aca="false">VLOOKUP(B8,'Team Data'!$A$1:$P$140,5,FALSE())</f>
        <v>2</v>
      </c>
      <c r="U8" s="0" t="n">
        <f aca="false">IF(K8=1,(MIN(35,(C8-D8)))*(O8/(O8+P8))*(S8/(S8+T8)),(MAX(-35,(C8-D8)))*(IF(P8=0,0.1,(P8/(O8+P8))))*(T8/(S8+T8)))</f>
        <v>-1.75</v>
      </c>
      <c r="V8" s="0" t="n">
        <f aca="false">IF(L8=1,(MIN(35,(D8-C8)))*(M8/(M8+N8))*(Q8/(Q8+R8)),(MAX(-35,(D8-C8)))*(IF(N8=0,0.1,(N8/(M8+N8))))*(R8/(R8+Q8)))</f>
        <v>13.125</v>
      </c>
    </row>
    <row r="9" customFormat="false" ht="15" hidden="false" customHeight="false" outlineLevel="0" collapsed="false">
      <c r="A9" s="0" t="s">
        <v>62</v>
      </c>
      <c r="B9" s="0" t="s">
        <v>92</v>
      </c>
      <c r="C9" s="0" t="n">
        <v>38</v>
      </c>
      <c r="D9" s="0" t="n">
        <v>41</v>
      </c>
      <c r="E9" s="0" t="n">
        <v>162</v>
      </c>
      <c r="F9" s="0" t="n">
        <v>152</v>
      </c>
      <c r="G9" s="0" t="n">
        <v>307</v>
      </c>
      <c r="H9" s="0" t="n">
        <v>336</v>
      </c>
      <c r="I9" s="0" t="n">
        <v>0</v>
      </c>
      <c r="J9" s="0" t="n">
        <v>2</v>
      </c>
      <c r="K9" s="0" t="n">
        <v>0</v>
      </c>
      <c r="L9" s="0" t="n">
        <v>1</v>
      </c>
      <c r="M9" s="0" t="n">
        <f aca="false">VLOOKUP(A9,'Team Data'!$A$1:$P$140,2,FALSE())</f>
        <v>1</v>
      </c>
      <c r="N9" s="0" t="n">
        <f aca="false">VLOOKUP(A9,'Team Data'!$A$1:$P$140,3,FALSE())</f>
        <v>1</v>
      </c>
      <c r="O9" s="0" t="n">
        <f aca="false">VLOOKUP(B9,'Team Data'!$A$1:$P$140,2,FALSE())</f>
        <v>2</v>
      </c>
      <c r="P9" s="0" t="n">
        <f aca="false">VLOOKUP(B9,'Team Data'!$A$1:$P$140,3,FALSE())</f>
        <v>0</v>
      </c>
      <c r="Q9" s="0" t="n">
        <f aca="false">VLOOKUP(A9,'Team Data'!$A$1:$P$140,4,FALSE())</f>
        <v>7</v>
      </c>
      <c r="R9" s="0" t="n">
        <f aca="false">VLOOKUP(A9,'Team Data'!$A$1:$P$140,5,FALSE())</f>
        <v>80</v>
      </c>
      <c r="S9" s="0" t="n">
        <f aca="false">VLOOKUP(B9,'Team Data'!$A$1:$P$140,4,FALSE())</f>
        <v>1</v>
      </c>
      <c r="T9" s="0" t="n">
        <f aca="false">VLOOKUP(B9,'Team Data'!$A$1:$P$140,5,FALSE())</f>
        <v>3</v>
      </c>
      <c r="U9" s="0" t="n">
        <f aca="false">IF(K9=1,(MIN(35,(C9-D9)))*(O9/(O9+P9))*(S9/(S9+T9)),(MAX(-35,(C9-D9)))*(IF(P9=0,0.1,(P9/(O9+P9))))*(T9/(S9+T9)))</f>
        <v>-0.225</v>
      </c>
      <c r="V9" s="0" t="n">
        <f aca="false">IF(L9=1,(MIN(35,(D9-C9)))*(M9/(M9+N9))*(Q9/(Q9+R9)),(MAX(-35,(D9-C9)))*(IF(N9=0,0.1,(N9/(M9+N9))))*(R9/(R9+Q9)))</f>
        <v>0.120689655172414</v>
      </c>
    </row>
    <row r="10" customFormat="false" ht="15" hidden="false" customHeight="false" outlineLevel="0" collapsed="false">
      <c r="A10" s="0" t="s">
        <v>61</v>
      </c>
      <c r="B10" s="0" t="s">
        <v>72</v>
      </c>
      <c r="C10" s="0" t="n">
        <v>13</v>
      </c>
      <c r="D10" s="0" t="n">
        <v>62</v>
      </c>
      <c r="E10" s="0" t="n">
        <v>138</v>
      </c>
      <c r="F10" s="0" t="n">
        <v>345</v>
      </c>
      <c r="G10" s="0" t="n">
        <v>140</v>
      </c>
      <c r="H10" s="0" t="n">
        <v>417</v>
      </c>
      <c r="I10" s="0" t="n">
        <v>0</v>
      </c>
      <c r="J10" s="0" t="n">
        <v>0</v>
      </c>
      <c r="K10" s="0" t="n">
        <v>0</v>
      </c>
      <c r="L10" s="0" t="n">
        <v>1</v>
      </c>
      <c r="M10" s="0" t="n">
        <f aca="false">VLOOKUP(A10,'Team Data'!$A$1:$P$140,2,FALSE())</f>
        <v>0</v>
      </c>
      <c r="N10" s="0" t="n">
        <f aca="false">VLOOKUP(A10,'Team Data'!$A$1:$P$140,3,FALSE())</f>
        <v>2</v>
      </c>
      <c r="O10" s="0" t="n">
        <f aca="false">VLOOKUP(B10,'Team Data'!$A$1:$P$140,2,FALSE())</f>
        <v>2</v>
      </c>
      <c r="P10" s="0" t="n">
        <f aca="false">VLOOKUP(B10,'Team Data'!$A$1:$P$140,3,FALSE())</f>
        <v>0</v>
      </c>
      <c r="Q10" s="0" t="n">
        <f aca="false">VLOOKUP(A10,'Team Data'!$A$1:$P$140,4,FALSE())</f>
        <v>3</v>
      </c>
      <c r="R10" s="0" t="n">
        <f aca="false">VLOOKUP(A10,'Team Data'!$A$1:$P$140,5,FALSE())</f>
        <v>1</v>
      </c>
      <c r="S10" s="0" t="n">
        <f aca="false">VLOOKUP(B10,'Team Data'!$A$1:$P$140,4,FALSE())</f>
        <v>1</v>
      </c>
      <c r="T10" s="0" t="n">
        <f aca="false">VLOOKUP(B10,'Team Data'!$A$1:$P$140,5,FALSE())</f>
        <v>3</v>
      </c>
      <c r="U10" s="0" t="n">
        <f aca="false">IF(K10=1,(MIN(35,(C10-D10)))*(O10/(O10+P10))*(S10/(S10+T10)),(MAX(-35,(C10-D10)))*(IF(P10=0,0.1,(P10/(O10+P10))))*(T10/(S10+T10)))</f>
        <v>-2.625</v>
      </c>
      <c r="V10" s="0" t="n">
        <f aca="false">IF(L10=1,(MIN(35,(D10-C10)))*(M10/(M10+N10))*(Q10/(Q10+R10)),(MAX(-35,(D10-C10)))*(IF(N10=0,0.1,(N10/(M10+N10))))*(R10/(R10+Q10)))</f>
        <v>0</v>
      </c>
    </row>
    <row r="11" customFormat="false" ht="15" hidden="false" customHeight="false" outlineLevel="0" collapsed="false">
      <c r="A11" s="0" t="s">
        <v>198</v>
      </c>
      <c r="B11" s="0" t="s">
        <v>73</v>
      </c>
      <c r="C11" s="0" t="n">
        <v>14</v>
      </c>
      <c r="D11" s="0" t="n">
        <v>54</v>
      </c>
      <c r="E11" s="0" t="n">
        <v>89</v>
      </c>
      <c r="F11" s="0" t="n">
        <v>205</v>
      </c>
      <c r="G11" s="0" t="n">
        <v>109</v>
      </c>
      <c r="H11" s="0" t="n">
        <v>357</v>
      </c>
      <c r="I11" s="0" t="n">
        <v>0</v>
      </c>
      <c r="J11" s="0" t="n">
        <v>1</v>
      </c>
      <c r="K11" s="0" t="n">
        <v>0</v>
      </c>
      <c r="L11" s="0" t="n">
        <v>1</v>
      </c>
      <c r="M11" s="0" t="n">
        <f aca="false">VLOOKUP(A11,'Team Data'!$A$1:$P$140,2,FALSE())</f>
        <v>5</v>
      </c>
      <c r="N11" s="0" t="n">
        <f aca="false">VLOOKUP(A11,'Team Data'!$A$1:$P$140,3,FALSE())</f>
        <v>80</v>
      </c>
      <c r="O11" s="0" t="n">
        <f aca="false">VLOOKUP(B11,'Team Data'!$A$1:$P$140,2,FALSE())</f>
        <v>2</v>
      </c>
      <c r="P11" s="0" t="n">
        <f aca="false">VLOOKUP(B11,'Team Data'!$A$1:$P$140,3,FALSE())</f>
        <v>0</v>
      </c>
      <c r="Q11" s="0" t="n">
        <f aca="false">VLOOKUP(A11,'Team Data'!$A$1:$P$140,4,FALSE())</f>
        <v>113</v>
      </c>
      <c r="R11" s="0" t="n">
        <f aca="false">VLOOKUP(A11,'Team Data'!$A$1:$P$140,5,FALSE())</f>
        <v>61</v>
      </c>
      <c r="S11" s="0" t="n">
        <f aca="false">VLOOKUP(B11,'Team Data'!$A$1:$P$140,4,FALSE())</f>
        <v>6</v>
      </c>
      <c r="T11" s="0" t="n">
        <f aca="false">VLOOKUP(B11,'Team Data'!$A$1:$P$140,5,FALSE())</f>
        <v>81</v>
      </c>
      <c r="U11" s="0" t="n">
        <f aca="false">IF(K11=1,(MIN(35,(C11-D11)))*(O11/(O11+P11))*(S11/(S11+T11)),(MAX(-35,(C11-D11)))*(IF(P11=0,0.1,(P11/(O11+P11))))*(T11/(S11+T11)))</f>
        <v>-3.25862068965517</v>
      </c>
      <c r="V11" s="0" t="n">
        <f aca="false">IF(L11=1,(MIN(35,(D11-C11)))*(M11/(M11+N11))*(Q11/(Q11+R11)),(MAX(-35,(D11-C11)))*(IF(N11=0,0.1,(N11/(M11+N11))))*(R11/(R11+Q11)))</f>
        <v>1.33705206220419</v>
      </c>
    </row>
    <row r="12" customFormat="false" ht="15" hidden="false" customHeight="false" outlineLevel="0" collapsed="false">
      <c r="A12" s="0" t="s">
        <v>129</v>
      </c>
      <c r="B12" s="0" t="s">
        <v>89</v>
      </c>
      <c r="C12" s="0" t="n">
        <v>0</v>
      </c>
      <c r="D12" s="0" t="n">
        <v>51</v>
      </c>
      <c r="E12" s="0" t="n">
        <v>112</v>
      </c>
      <c r="F12" s="0" t="n">
        <v>170</v>
      </c>
      <c r="G12" s="0" t="n">
        <v>86</v>
      </c>
      <c r="H12" s="0" t="n">
        <v>231</v>
      </c>
      <c r="I12" s="0" t="n">
        <v>2</v>
      </c>
      <c r="J12" s="0" t="n">
        <v>1</v>
      </c>
      <c r="K12" s="0" t="n">
        <v>0</v>
      </c>
      <c r="L12" s="0" t="n">
        <v>1</v>
      </c>
      <c r="M12" s="0" t="n">
        <f aca="false">VLOOKUP(A12,'Team Data'!$A$1:$P$140,2,FALSE())</f>
        <v>1</v>
      </c>
      <c r="N12" s="0" t="n">
        <f aca="false">VLOOKUP(A12,'Team Data'!$A$1:$P$140,3,FALSE())</f>
        <v>1</v>
      </c>
      <c r="O12" s="0" t="n">
        <f aca="false">VLOOKUP(B12,'Team Data'!$A$1:$P$140,2,FALSE())</f>
        <v>1</v>
      </c>
      <c r="P12" s="0" t="n">
        <f aca="false">VLOOKUP(B12,'Team Data'!$A$1:$P$140,3,FALSE())</f>
        <v>1</v>
      </c>
      <c r="Q12" s="0" t="n">
        <f aca="false">VLOOKUP(A12,'Team Data'!$A$1:$P$140,4,FALSE())</f>
        <v>6</v>
      </c>
      <c r="R12" s="0" t="n">
        <f aca="false">VLOOKUP(A12,'Team Data'!$A$1:$P$140,5,FALSE())</f>
        <v>81</v>
      </c>
      <c r="S12" s="0" t="n">
        <f aca="false">VLOOKUP(B12,'Team Data'!$A$1:$P$140,4,FALSE())</f>
        <v>3</v>
      </c>
      <c r="T12" s="0" t="n">
        <f aca="false">VLOOKUP(B12,'Team Data'!$A$1:$P$140,5,FALSE())</f>
        <v>1</v>
      </c>
      <c r="U12" s="0" t="n">
        <f aca="false">IF(K12=1,(MIN(35,(C12-D12)))*(O12/(O12+P12))*(S12/(S12+T12)),(MAX(-35,(C12-D12)))*(IF(P12=0,0.1,(P12/(O12+P12))))*(T12/(S12+T12)))</f>
        <v>-4.375</v>
      </c>
      <c r="V12" s="0" t="n">
        <f aca="false">IF(L12=1,(MIN(35,(D12-C12)))*(M12/(M12+N12))*(Q12/(Q12+R12)),(MAX(-35,(D12-C12)))*(IF(N12=0,0.1,(N12/(M12+N12))))*(R12/(R12+Q12)))</f>
        <v>1.20689655172414</v>
      </c>
    </row>
    <row r="13" customFormat="false" ht="15" hidden="false" customHeight="false" outlineLevel="0" collapsed="false">
      <c r="A13" s="0" t="s">
        <v>55</v>
      </c>
      <c r="B13" s="0" t="s">
        <v>106</v>
      </c>
      <c r="C13" s="0" t="n">
        <v>0</v>
      </c>
      <c r="D13" s="0" t="n">
        <v>57</v>
      </c>
      <c r="E13" s="0" t="n">
        <v>100</v>
      </c>
      <c r="F13" s="0" t="n">
        <v>278</v>
      </c>
      <c r="G13" s="0" t="n">
        <v>79</v>
      </c>
      <c r="H13" s="0" t="n">
        <v>367</v>
      </c>
      <c r="I13" s="0" t="n">
        <v>1</v>
      </c>
      <c r="J13" s="0" t="n">
        <v>0</v>
      </c>
      <c r="K13" s="0" t="n">
        <v>0</v>
      </c>
      <c r="L13" s="0" t="n">
        <v>1</v>
      </c>
      <c r="M13" s="0" t="n">
        <f aca="false">VLOOKUP(A13,'Team Data'!$A$1:$P$140,2,FALSE())</f>
        <v>1</v>
      </c>
      <c r="N13" s="0" t="n">
        <f aca="false">VLOOKUP(A13,'Team Data'!$A$1:$P$140,3,FALSE())</f>
        <v>1</v>
      </c>
      <c r="O13" s="0" t="n">
        <f aca="false">VLOOKUP(B13,'Team Data'!$A$1:$P$140,2,FALSE())</f>
        <v>2</v>
      </c>
      <c r="P13" s="0" t="n">
        <f aca="false">VLOOKUP(B13,'Team Data'!$A$1:$P$140,3,FALSE())</f>
        <v>0</v>
      </c>
      <c r="Q13" s="0" t="n">
        <f aca="false">VLOOKUP(A13,'Team Data'!$A$1:$P$140,4,FALSE())</f>
        <v>7</v>
      </c>
      <c r="R13" s="0" t="n">
        <f aca="false">VLOOKUP(A13,'Team Data'!$A$1:$P$140,5,FALSE())</f>
        <v>80</v>
      </c>
      <c r="S13" s="0" t="n">
        <f aca="false">VLOOKUP(B13,'Team Data'!$A$1:$P$140,4,FALSE())</f>
        <v>6</v>
      </c>
      <c r="T13" s="0" t="n">
        <f aca="false">VLOOKUP(B13,'Team Data'!$A$1:$P$140,5,FALSE())</f>
        <v>81</v>
      </c>
      <c r="U13" s="0" t="n">
        <f aca="false">IF(K13=1,(MIN(35,(C13-D13)))*(O13/(O13+P13))*(S13/(S13+T13)),(MAX(-35,(C13-D13)))*(IF(P13=0,0.1,(P13/(O13+P13))))*(T13/(S13+T13)))</f>
        <v>-3.25862068965517</v>
      </c>
      <c r="V13" s="0" t="n">
        <f aca="false">IF(L13=1,(MIN(35,(D13-C13)))*(M13/(M13+N13))*(Q13/(Q13+R13)),(MAX(-35,(D13-C13)))*(IF(N13=0,0.1,(N13/(M13+N13))))*(R13/(R13+Q13)))</f>
        <v>1.40804597701149</v>
      </c>
    </row>
    <row r="14" customFormat="false" ht="15" hidden="false" customHeight="false" outlineLevel="0" collapsed="false">
      <c r="A14" s="0" t="s">
        <v>198</v>
      </c>
      <c r="B14" s="0" t="s">
        <v>112</v>
      </c>
      <c r="C14" s="0" t="n">
        <v>9</v>
      </c>
      <c r="D14" s="0" t="n">
        <v>56</v>
      </c>
      <c r="E14" s="0" t="n">
        <v>178</v>
      </c>
      <c r="F14" s="0" t="n">
        <v>329</v>
      </c>
      <c r="G14" s="0" t="n">
        <v>43</v>
      </c>
      <c r="H14" s="0" t="n">
        <v>309</v>
      </c>
      <c r="I14" s="0" t="n">
        <v>0</v>
      </c>
      <c r="J14" s="0" t="n">
        <v>2</v>
      </c>
      <c r="K14" s="0" t="n">
        <v>0</v>
      </c>
      <c r="L14" s="0" t="n">
        <v>1</v>
      </c>
      <c r="M14" s="0" t="n">
        <f aca="false">VLOOKUP(A14,'Team Data'!$A$1:$P$140,2,FALSE())</f>
        <v>5</v>
      </c>
      <c r="N14" s="0" t="n">
        <f aca="false">VLOOKUP(A14,'Team Data'!$A$1:$P$140,3,FALSE())</f>
        <v>80</v>
      </c>
      <c r="O14" s="0" t="n">
        <f aca="false">VLOOKUP(B14,'Team Data'!$A$1:$P$140,2,FALSE())</f>
        <v>2</v>
      </c>
      <c r="P14" s="0" t="n">
        <f aca="false">VLOOKUP(B14,'Team Data'!$A$1:$P$140,3,FALSE())</f>
        <v>0</v>
      </c>
      <c r="Q14" s="0" t="n">
        <f aca="false">VLOOKUP(A14,'Team Data'!$A$1:$P$140,4,FALSE())</f>
        <v>113</v>
      </c>
      <c r="R14" s="0" t="n">
        <f aca="false">VLOOKUP(A14,'Team Data'!$A$1:$P$140,5,FALSE())</f>
        <v>61</v>
      </c>
      <c r="S14" s="0" t="n">
        <f aca="false">VLOOKUP(B14,'Team Data'!$A$1:$P$140,4,FALSE())</f>
        <v>5</v>
      </c>
      <c r="T14" s="0" t="n">
        <f aca="false">VLOOKUP(B14,'Team Data'!$A$1:$P$140,5,FALSE())</f>
        <v>82</v>
      </c>
      <c r="U14" s="0" t="n">
        <f aca="false">IF(K14=1,(MIN(35,(C14-D14)))*(O14/(O14+P14))*(S14/(S14+T14)),(MAX(-35,(C14-D14)))*(IF(P14=0,0.1,(P14/(O14+P14))))*(T14/(S14+T14)))</f>
        <v>-3.29885057471264</v>
      </c>
      <c r="V14" s="0" t="n">
        <f aca="false">IF(L14=1,(MIN(35,(D14-C14)))*(M14/(M14+N14))*(Q14/(Q14+R14)),(MAX(-35,(D14-C14)))*(IF(N14=0,0.1,(N14/(M14+N14))))*(R14/(R14+Q14)))</f>
        <v>1.33705206220419</v>
      </c>
    </row>
    <row r="15" customFormat="false" ht="15" hidden="false" customHeight="false" outlineLevel="0" collapsed="false">
      <c r="A15" s="0" t="s">
        <v>115</v>
      </c>
      <c r="B15" s="0" t="s">
        <v>113</v>
      </c>
      <c r="C15" s="0" t="n">
        <v>7</v>
      </c>
      <c r="D15" s="0" t="n">
        <v>59</v>
      </c>
      <c r="E15" s="0" t="n">
        <v>161</v>
      </c>
      <c r="F15" s="0" t="n">
        <v>156</v>
      </c>
      <c r="G15" s="0" t="n">
        <v>188</v>
      </c>
      <c r="H15" s="0" t="n">
        <v>360</v>
      </c>
      <c r="I15" s="0" t="n">
        <v>3</v>
      </c>
      <c r="J15" s="0" t="n">
        <v>1</v>
      </c>
      <c r="K15" s="0" t="n">
        <v>0</v>
      </c>
      <c r="L15" s="0" t="n">
        <v>1</v>
      </c>
      <c r="M15" s="0" t="n">
        <f aca="false">VLOOKUP(A15,'Team Data'!$A$1:$P$140,2,FALSE())</f>
        <v>0</v>
      </c>
      <c r="N15" s="0" t="n">
        <f aca="false">VLOOKUP(A15,'Team Data'!$A$1:$P$140,3,FALSE())</f>
        <v>2</v>
      </c>
      <c r="O15" s="0" t="n">
        <f aca="false">VLOOKUP(B15,'Team Data'!$A$1:$P$140,2,FALSE())</f>
        <v>2</v>
      </c>
      <c r="P15" s="0" t="n">
        <f aca="false">VLOOKUP(B15,'Team Data'!$A$1:$P$140,3,FALSE())</f>
        <v>0</v>
      </c>
      <c r="Q15" s="0" t="n">
        <f aca="false">VLOOKUP(A15,'Team Data'!$A$1:$P$140,4,FALSE())</f>
        <v>4</v>
      </c>
      <c r="R15" s="0" t="n">
        <f aca="false">VLOOKUP(A15,'Team Data'!$A$1:$P$140,5,FALSE())</f>
        <v>0</v>
      </c>
      <c r="S15" s="0" t="n">
        <f aca="false">VLOOKUP(B15,'Team Data'!$A$1:$P$140,4,FALSE())</f>
        <v>1</v>
      </c>
      <c r="T15" s="0" t="n">
        <f aca="false">VLOOKUP(B15,'Team Data'!$A$1:$P$140,5,FALSE())</f>
        <v>3</v>
      </c>
      <c r="U15" s="0" t="n">
        <f aca="false">IF(K15=1,(MIN(35,(C15-D15)))*(O15/(O15+P15))*(S15/(S15+T15)),(MAX(-35,(C15-D15)))*(IF(P15=0,0.1,(P15/(O15+P15))))*(T15/(S15+T15)))</f>
        <v>-2.625</v>
      </c>
      <c r="V15" s="0" t="n">
        <f aca="false">IF(L15=1,(MIN(35,(D15-C15)))*(M15/(M15+N15))*(Q15/(Q15+R15)),(MAX(-35,(D15-C15)))*(IF(N15=0,0.1,(N15/(M15+N15))))*(R15/(R15+Q15)))</f>
        <v>0</v>
      </c>
    </row>
    <row r="16" customFormat="false" ht="15" hidden="false" customHeight="false" outlineLevel="0" collapsed="false">
      <c r="A16" s="0" t="s">
        <v>74</v>
      </c>
      <c r="B16" s="0" t="s">
        <v>114</v>
      </c>
      <c r="C16" s="0" t="n">
        <v>0</v>
      </c>
      <c r="D16" s="0" t="n">
        <v>50</v>
      </c>
      <c r="E16" s="0" t="n">
        <v>37</v>
      </c>
      <c r="F16" s="0" t="n">
        <v>236</v>
      </c>
      <c r="G16" s="0" t="n">
        <v>30</v>
      </c>
      <c r="H16" s="0" t="n">
        <v>269</v>
      </c>
      <c r="I16" s="0" t="n">
        <v>3</v>
      </c>
      <c r="J16" s="0" t="n">
        <v>1</v>
      </c>
      <c r="K16" s="0" t="n">
        <v>0</v>
      </c>
      <c r="L16" s="0" t="n">
        <v>1</v>
      </c>
      <c r="M16" s="0" t="n">
        <f aca="false">VLOOKUP(A16,'Team Data'!$A$1:$P$140,2,FALSE())</f>
        <v>1</v>
      </c>
      <c r="N16" s="0" t="n">
        <f aca="false">VLOOKUP(A16,'Team Data'!$A$1:$P$140,3,FALSE())</f>
        <v>1</v>
      </c>
      <c r="O16" s="0" t="n">
        <f aca="false">VLOOKUP(B16,'Team Data'!$A$1:$P$140,2,FALSE())</f>
        <v>2</v>
      </c>
      <c r="P16" s="0" t="n">
        <f aca="false">VLOOKUP(B16,'Team Data'!$A$1:$P$140,3,FALSE())</f>
        <v>0</v>
      </c>
      <c r="Q16" s="0" t="n">
        <f aca="false">VLOOKUP(A16,'Team Data'!$A$1:$P$140,4,FALSE())</f>
        <v>7</v>
      </c>
      <c r="R16" s="0" t="n">
        <f aca="false">VLOOKUP(A16,'Team Data'!$A$1:$P$140,5,FALSE())</f>
        <v>80</v>
      </c>
      <c r="S16" s="0" t="n">
        <f aca="false">VLOOKUP(B16,'Team Data'!$A$1:$P$140,4,FALSE())</f>
        <v>2</v>
      </c>
      <c r="T16" s="0" t="n">
        <f aca="false">VLOOKUP(B16,'Team Data'!$A$1:$P$140,5,FALSE())</f>
        <v>2</v>
      </c>
      <c r="U16" s="0" t="n">
        <f aca="false">IF(K16=1,(MIN(35,(C16-D16)))*(O16/(O16+P16))*(S16/(S16+T16)),(MAX(-35,(C16-D16)))*(IF(P16=0,0.1,(P16/(O16+P16))))*(T16/(S16+T16)))</f>
        <v>-1.75</v>
      </c>
      <c r="V16" s="0" t="n">
        <f aca="false">IF(L16=1,(MIN(35,(D16-C16)))*(M16/(M16+N16))*(Q16/(Q16+R16)),(MAX(-35,(D16-C16)))*(IF(N16=0,0.1,(N16/(M16+N16))))*(R16/(R16+Q16)))</f>
        <v>1.40804597701149</v>
      </c>
    </row>
    <row r="17" customFormat="false" ht="15" hidden="false" customHeight="false" outlineLevel="0" collapsed="false">
      <c r="A17" s="0" t="s">
        <v>198</v>
      </c>
      <c r="B17" s="0" t="s">
        <v>133</v>
      </c>
      <c r="C17" s="0" t="n">
        <v>9</v>
      </c>
      <c r="D17" s="0" t="n">
        <v>28</v>
      </c>
      <c r="E17" s="0" t="n">
        <v>62</v>
      </c>
      <c r="F17" s="0" t="n">
        <v>187</v>
      </c>
      <c r="G17" s="0" t="n">
        <v>116</v>
      </c>
      <c r="H17" s="0" t="n">
        <v>209</v>
      </c>
      <c r="I17" s="0" t="n">
        <v>0</v>
      </c>
      <c r="J17" s="0" t="n">
        <v>0</v>
      </c>
      <c r="K17" s="0" t="n">
        <v>0</v>
      </c>
      <c r="L17" s="0" t="n">
        <v>1</v>
      </c>
      <c r="M17" s="0" t="n">
        <f aca="false">VLOOKUP(A17,'Team Data'!$A$1:$P$140,2,FALSE())</f>
        <v>5</v>
      </c>
      <c r="N17" s="0" t="n">
        <f aca="false">VLOOKUP(A17,'Team Data'!$A$1:$P$140,3,FALSE())</f>
        <v>80</v>
      </c>
      <c r="O17" s="0" t="n">
        <f aca="false">VLOOKUP(B17,'Team Data'!$A$1:$P$140,2,FALSE())</f>
        <v>2</v>
      </c>
      <c r="P17" s="0" t="n">
        <f aca="false">VLOOKUP(B17,'Team Data'!$A$1:$P$140,3,FALSE())</f>
        <v>0</v>
      </c>
      <c r="Q17" s="0" t="n">
        <f aca="false">VLOOKUP(A17,'Team Data'!$A$1:$P$140,4,FALSE())</f>
        <v>113</v>
      </c>
      <c r="R17" s="0" t="n">
        <f aca="false">VLOOKUP(A17,'Team Data'!$A$1:$P$140,5,FALSE())</f>
        <v>61</v>
      </c>
      <c r="S17" s="0" t="n">
        <f aca="false">VLOOKUP(B17,'Team Data'!$A$1:$P$140,4,FALSE())</f>
        <v>6</v>
      </c>
      <c r="T17" s="0" t="n">
        <f aca="false">VLOOKUP(B17,'Team Data'!$A$1:$P$140,5,FALSE())</f>
        <v>81</v>
      </c>
      <c r="U17" s="0" t="n">
        <f aca="false">IF(K17=1,(MIN(35,(C17-D17)))*(O17/(O17+P17))*(S17/(S17+T17)),(MAX(-35,(C17-D17)))*(IF(P17=0,0.1,(P17/(O17+P17))))*(T17/(S17+T17)))</f>
        <v>-1.76896551724138</v>
      </c>
      <c r="V17" s="0" t="n">
        <f aca="false">IF(L17=1,(MIN(35,(D17-C17)))*(M17/(M17+N17))*(Q17/(Q17+R17)),(MAX(-35,(D17-C17)))*(IF(N17=0,0.1,(N17/(M17+N17))))*(R17/(R17+Q17)))</f>
        <v>0.725828262339419</v>
      </c>
    </row>
    <row r="18" customFormat="false" ht="15" hidden="false" customHeight="false" outlineLevel="0" collapsed="false">
      <c r="A18" s="0" t="s">
        <v>81</v>
      </c>
      <c r="B18" s="0" t="s">
        <v>110</v>
      </c>
      <c r="C18" s="0" t="n">
        <v>15</v>
      </c>
      <c r="D18" s="0" t="n">
        <v>10</v>
      </c>
      <c r="E18" s="0" t="n">
        <v>90</v>
      </c>
      <c r="F18" s="0" t="n">
        <v>106</v>
      </c>
      <c r="G18" s="0" t="n">
        <v>232</v>
      </c>
      <c r="H18" s="0" t="n">
        <v>175</v>
      </c>
      <c r="I18" s="0" t="n">
        <v>2</v>
      </c>
      <c r="J18" s="0" t="n">
        <v>1</v>
      </c>
      <c r="K18" s="0" t="n">
        <v>1</v>
      </c>
      <c r="L18" s="0" t="n">
        <v>0</v>
      </c>
      <c r="M18" s="0" t="n">
        <f aca="false">VLOOKUP(A18,'Team Data'!$A$1:$P$140,2,FALSE())</f>
        <v>2</v>
      </c>
      <c r="N18" s="0" t="n">
        <f aca="false">VLOOKUP(A18,'Team Data'!$A$1:$P$140,3,FALSE())</f>
        <v>0</v>
      </c>
      <c r="O18" s="0" t="n">
        <f aca="false">VLOOKUP(B18,'Team Data'!$A$1:$P$140,2,FALSE())</f>
        <v>1</v>
      </c>
      <c r="P18" s="0" t="n">
        <f aca="false">VLOOKUP(B18,'Team Data'!$A$1:$P$140,3,FALSE())</f>
        <v>1</v>
      </c>
      <c r="Q18" s="0" t="n">
        <f aca="false">VLOOKUP(A18,'Team Data'!$A$1:$P$140,4,FALSE())</f>
        <v>6</v>
      </c>
      <c r="R18" s="0" t="n">
        <f aca="false">VLOOKUP(A18,'Team Data'!$A$1:$P$140,5,FALSE())</f>
        <v>81</v>
      </c>
      <c r="S18" s="0" t="n">
        <f aca="false">VLOOKUP(B18,'Team Data'!$A$1:$P$140,4,FALSE())</f>
        <v>7</v>
      </c>
      <c r="T18" s="0" t="n">
        <f aca="false">VLOOKUP(B18,'Team Data'!$A$1:$P$140,5,FALSE())</f>
        <v>80</v>
      </c>
      <c r="U18" s="0" t="n">
        <f aca="false">IF(K18=1,(MIN(35,(C18-D18)))*(O18/(O18+P18))*(S18/(S18+T18)),(MAX(-35,(C18-D18)))*(IF(P18=0,0.1,(P18/(O18+P18))))*(T18/(S18+T18)))</f>
        <v>0.201149425287356</v>
      </c>
      <c r="V18" s="0" t="n">
        <f aca="false">IF(L18=1,(MIN(35,(D18-C18)))*(M18/(M18+N18))*(Q18/(Q18+R18)),(MAX(-35,(D18-C18)))*(IF(N18=0,0.1,(N18/(M18+N18))))*(R18/(R18+Q18)))</f>
        <v>-0.46551724137931</v>
      </c>
    </row>
    <row r="19" customFormat="false" ht="15" hidden="false" customHeight="false" outlineLevel="0" collapsed="false">
      <c r="A19" s="0" t="s">
        <v>198</v>
      </c>
      <c r="B19" s="0" t="s">
        <v>122</v>
      </c>
      <c r="C19" s="0" t="n">
        <v>6</v>
      </c>
      <c r="D19" s="0" t="n">
        <v>73</v>
      </c>
      <c r="E19" s="0" t="n">
        <v>107</v>
      </c>
      <c r="F19" s="0" t="n">
        <v>360</v>
      </c>
      <c r="G19" s="0" t="n">
        <v>74</v>
      </c>
      <c r="H19" s="0" t="n">
        <v>200</v>
      </c>
      <c r="I19" s="0" t="n">
        <v>2</v>
      </c>
      <c r="J19" s="0" t="n">
        <v>1</v>
      </c>
      <c r="K19" s="0" t="n">
        <v>0</v>
      </c>
      <c r="L19" s="0" t="n">
        <v>1</v>
      </c>
      <c r="M19" s="0" t="n">
        <f aca="false">VLOOKUP(A19,'Team Data'!$A$1:$P$140,2,FALSE())</f>
        <v>5</v>
      </c>
      <c r="N19" s="0" t="n">
        <f aca="false">VLOOKUP(A19,'Team Data'!$A$1:$P$140,3,FALSE())</f>
        <v>80</v>
      </c>
      <c r="O19" s="0" t="n">
        <f aca="false">VLOOKUP(B19,'Team Data'!$A$1:$P$140,2,FALSE())</f>
        <v>1</v>
      </c>
      <c r="P19" s="0" t="n">
        <f aca="false">VLOOKUP(B19,'Team Data'!$A$1:$P$140,3,FALSE())</f>
        <v>1</v>
      </c>
      <c r="Q19" s="0" t="n">
        <f aca="false">VLOOKUP(A19,'Team Data'!$A$1:$P$140,4,FALSE())</f>
        <v>113</v>
      </c>
      <c r="R19" s="0" t="n">
        <f aca="false">VLOOKUP(A19,'Team Data'!$A$1:$P$140,5,FALSE())</f>
        <v>61</v>
      </c>
      <c r="S19" s="0" t="n">
        <f aca="false">VLOOKUP(B19,'Team Data'!$A$1:$P$140,4,FALSE())</f>
        <v>7</v>
      </c>
      <c r="T19" s="0" t="n">
        <f aca="false">VLOOKUP(B19,'Team Data'!$A$1:$P$140,5,FALSE())</f>
        <v>80</v>
      </c>
      <c r="U19" s="0" t="n">
        <f aca="false">IF(K19=1,(MIN(35,(C19-D19)))*(O19/(O19+P19))*(S19/(S19+T19)),(MAX(-35,(C19-D19)))*(IF(P19=0,0.1,(P19/(O19+P19))))*(T19/(S19+T19)))</f>
        <v>-16.0919540229885</v>
      </c>
      <c r="V19" s="0" t="n">
        <f aca="false">IF(L19=1,(MIN(35,(D19-C19)))*(M19/(M19+N19))*(Q19/(Q19+R19)),(MAX(-35,(D19-C19)))*(IF(N19=0,0.1,(N19/(M19+N19))))*(R19/(R19+Q19)))</f>
        <v>1.33705206220419</v>
      </c>
    </row>
    <row r="20" customFormat="false" ht="15" hidden="false" customHeight="false" outlineLevel="0" collapsed="false">
      <c r="A20" s="0" t="s">
        <v>198</v>
      </c>
      <c r="B20" s="0" t="s">
        <v>131</v>
      </c>
      <c r="C20" s="0" t="n">
        <v>14</v>
      </c>
      <c r="D20" s="0" t="n">
        <v>66</v>
      </c>
      <c r="E20" s="0" t="n">
        <v>106</v>
      </c>
      <c r="F20" s="0" t="n">
        <v>364</v>
      </c>
      <c r="G20" s="0" t="n">
        <v>119</v>
      </c>
      <c r="H20" s="0" t="n">
        <v>269</v>
      </c>
      <c r="I20" s="0" t="n">
        <v>2</v>
      </c>
      <c r="J20" s="0" t="n">
        <v>0</v>
      </c>
      <c r="K20" s="0" t="n">
        <v>0</v>
      </c>
      <c r="L20" s="0" t="n">
        <v>1</v>
      </c>
      <c r="M20" s="0" t="n">
        <f aca="false">VLOOKUP(A20,'Team Data'!$A$1:$P$140,2,FALSE())</f>
        <v>5</v>
      </c>
      <c r="N20" s="0" t="n">
        <f aca="false">VLOOKUP(A20,'Team Data'!$A$1:$P$140,3,FALSE())</f>
        <v>80</v>
      </c>
      <c r="O20" s="0" t="n">
        <f aca="false">VLOOKUP(B20,'Team Data'!$A$1:$P$140,2,FALSE())</f>
        <v>2</v>
      </c>
      <c r="P20" s="0" t="n">
        <f aca="false">VLOOKUP(B20,'Team Data'!$A$1:$P$140,3,FALSE())</f>
        <v>0</v>
      </c>
      <c r="Q20" s="0" t="n">
        <f aca="false">VLOOKUP(A20,'Team Data'!$A$1:$P$140,4,FALSE())</f>
        <v>113</v>
      </c>
      <c r="R20" s="0" t="n">
        <f aca="false">VLOOKUP(A20,'Team Data'!$A$1:$P$140,5,FALSE())</f>
        <v>61</v>
      </c>
      <c r="S20" s="0" t="n">
        <f aca="false">VLOOKUP(B20,'Team Data'!$A$1:$P$140,4,FALSE())</f>
        <v>6</v>
      </c>
      <c r="T20" s="0" t="n">
        <f aca="false">VLOOKUP(B20,'Team Data'!$A$1:$P$140,5,FALSE())</f>
        <v>81</v>
      </c>
      <c r="U20" s="0" t="n">
        <f aca="false">IF(K20=1,(MIN(35,(C20-D20)))*(O20/(O20+P20))*(S20/(S20+T20)),(MAX(-35,(C20-D20)))*(IF(P20=0,0.1,(P20/(O20+P20))))*(T20/(S20+T20)))</f>
        <v>-3.25862068965517</v>
      </c>
      <c r="V20" s="0" t="n">
        <f aca="false">IF(L20=1,(MIN(35,(D20-C20)))*(M20/(M20+N20))*(Q20/(Q20+R20)),(MAX(-35,(D20-C20)))*(IF(N20=0,0.1,(N20/(M20+N20))))*(R20/(R20+Q20)))</f>
        <v>1.33705206220419</v>
      </c>
    </row>
    <row r="21" customFormat="false" ht="15" hidden="false" customHeight="false" outlineLevel="0" collapsed="false">
      <c r="A21" s="0" t="s">
        <v>198</v>
      </c>
      <c r="B21" s="0" t="s">
        <v>52</v>
      </c>
      <c r="C21" s="0" t="n">
        <v>6</v>
      </c>
      <c r="D21" s="0" t="n">
        <v>51</v>
      </c>
      <c r="E21" s="0" t="n">
        <v>35</v>
      </c>
      <c r="F21" s="0" t="n">
        <v>277</v>
      </c>
      <c r="G21" s="0" t="n">
        <v>111</v>
      </c>
      <c r="H21" s="0" t="n">
        <v>336</v>
      </c>
      <c r="I21" s="0" t="n">
        <v>1</v>
      </c>
      <c r="J21" s="0" t="n">
        <v>1</v>
      </c>
      <c r="K21" s="0" t="n">
        <v>0</v>
      </c>
      <c r="L21" s="0" t="n">
        <v>1</v>
      </c>
      <c r="M21" s="0" t="n">
        <f aca="false">VLOOKUP(A21,'Team Data'!$A$1:$P$140,2,FALSE())</f>
        <v>5</v>
      </c>
      <c r="N21" s="0" t="n">
        <f aca="false">VLOOKUP(A21,'Team Data'!$A$1:$P$140,3,FALSE())</f>
        <v>80</v>
      </c>
      <c r="O21" s="0" t="n">
        <f aca="false">VLOOKUP(B21,'Team Data'!$A$1:$P$140,2,FALSE())</f>
        <v>1</v>
      </c>
      <c r="P21" s="0" t="n">
        <f aca="false">VLOOKUP(B21,'Team Data'!$A$1:$P$140,3,FALSE())</f>
        <v>1</v>
      </c>
      <c r="Q21" s="0" t="n">
        <f aca="false">VLOOKUP(A21,'Team Data'!$A$1:$P$140,4,FALSE())</f>
        <v>113</v>
      </c>
      <c r="R21" s="0" t="n">
        <f aca="false">VLOOKUP(A21,'Team Data'!$A$1:$P$140,5,FALSE())</f>
        <v>61</v>
      </c>
      <c r="S21" s="0" t="n">
        <f aca="false">VLOOKUP(B21,'Team Data'!$A$1:$P$140,4,FALSE())</f>
        <v>7</v>
      </c>
      <c r="T21" s="0" t="n">
        <f aca="false">VLOOKUP(B21,'Team Data'!$A$1:$P$140,5,FALSE())</f>
        <v>80</v>
      </c>
      <c r="U21" s="0" t="n">
        <f aca="false">IF(K21=1,(MIN(35,(C21-D21)))*(O21/(O21+P21))*(S21/(S21+T21)),(MAX(-35,(C21-D21)))*(IF(P21=0,0.1,(P21/(O21+P21))))*(T21/(S21+T21)))</f>
        <v>-16.0919540229885</v>
      </c>
      <c r="V21" s="0" t="n">
        <f aca="false">IF(L21=1,(MIN(35,(D21-C21)))*(M21/(M21+N21))*(Q21/(Q21+R21)),(MAX(-35,(D21-C21)))*(IF(N21=0,0.1,(N21/(M21+N21))))*(R21/(R21+Q21)))</f>
        <v>1.33705206220419</v>
      </c>
    </row>
    <row r="22" customFormat="false" ht="15" hidden="false" customHeight="false" outlineLevel="0" collapsed="false">
      <c r="A22" s="0" t="s">
        <v>198</v>
      </c>
      <c r="B22" s="0" t="s">
        <v>116</v>
      </c>
      <c r="C22" s="0" t="n">
        <v>10</v>
      </c>
      <c r="D22" s="0" t="n">
        <v>33</v>
      </c>
      <c r="E22" s="0" t="n">
        <v>75</v>
      </c>
      <c r="F22" s="0" t="n">
        <v>173</v>
      </c>
      <c r="G22" s="0" t="n">
        <v>119</v>
      </c>
      <c r="H22" s="0" t="n">
        <v>298</v>
      </c>
      <c r="I22" s="0" t="n">
        <v>1</v>
      </c>
      <c r="J22" s="0" t="n">
        <v>1</v>
      </c>
      <c r="K22" s="0" t="n">
        <v>0</v>
      </c>
      <c r="L22" s="0" t="n">
        <v>1</v>
      </c>
      <c r="M22" s="0" t="n">
        <f aca="false">VLOOKUP(A22,'Team Data'!$A$1:$P$140,2,FALSE())</f>
        <v>5</v>
      </c>
      <c r="N22" s="0" t="n">
        <f aca="false">VLOOKUP(A22,'Team Data'!$A$1:$P$140,3,FALSE())</f>
        <v>80</v>
      </c>
      <c r="O22" s="0" t="n">
        <f aca="false">VLOOKUP(B22,'Team Data'!$A$1:$P$140,2,FALSE())</f>
        <v>2</v>
      </c>
      <c r="P22" s="0" t="n">
        <f aca="false">VLOOKUP(B22,'Team Data'!$A$1:$P$140,3,FALSE())</f>
        <v>0</v>
      </c>
      <c r="Q22" s="0" t="n">
        <f aca="false">VLOOKUP(A22,'Team Data'!$A$1:$P$140,4,FALSE())</f>
        <v>113</v>
      </c>
      <c r="R22" s="0" t="n">
        <f aca="false">VLOOKUP(A22,'Team Data'!$A$1:$P$140,5,FALSE())</f>
        <v>61</v>
      </c>
      <c r="S22" s="0" t="n">
        <f aca="false">VLOOKUP(B22,'Team Data'!$A$1:$P$140,4,FALSE())</f>
        <v>5</v>
      </c>
      <c r="T22" s="0" t="n">
        <f aca="false">VLOOKUP(B22,'Team Data'!$A$1:$P$140,5,FALSE())</f>
        <v>82</v>
      </c>
      <c r="U22" s="0" t="n">
        <f aca="false">IF(K22=1,(MIN(35,(C22-D22)))*(O22/(O22+P22))*(S22/(S22+T22)),(MAX(-35,(C22-D22)))*(IF(P22=0,0.1,(P22/(O22+P22))))*(T22/(S22+T22)))</f>
        <v>-2.16781609195402</v>
      </c>
      <c r="V22" s="0" t="n">
        <f aca="false">IF(L22=1,(MIN(35,(D22-C22)))*(M22/(M22+N22))*(Q22/(Q22+R22)),(MAX(-35,(D22-C22)))*(IF(N22=0,0.1,(N22/(M22+N22))))*(R22/(R22+Q22)))</f>
        <v>0.878634212305612</v>
      </c>
    </row>
    <row r="23" customFormat="false" ht="15" hidden="false" customHeight="false" outlineLevel="0" collapsed="false">
      <c r="A23" s="0" t="s">
        <v>198</v>
      </c>
      <c r="B23" s="0" t="s">
        <v>53</v>
      </c>
      <c r="C23" s="0" t="n">
        <v>3</v>
      </c>
      <c r="D23" s="0" t="n">
        <v>71</v>
      </c>
      <c r="E23" s="0" t="n">
        <v>92</v>
      </c>
      <c r="F23" s="0" t="n">
        <v>312</v>
      </c>
      <c r="G23" s="0" t="n">
        <v>30</v>
      </c>
      <c r="H23" s="0" t="n">
        <v>247</v>
      </c>
      <c r="I23" s="0" t="n">
        <v>1</v>
      </c>
      <c r="J23" s="0" t="n">
        <v>1</v>
      </c>
      <c r="K23" s="0" t="n">
        <v>0</v>
      </c>
      <c r="L23" s="0" t="n">
        <v>1</v>
      </c>
      <c r="M23" s="0" t="n">
        <f aca="false">VLOOKUP(A23,'Team Data'!$A$1:$P$140,2,FALSE())</f>
        <v>5</v>
      </c>
      <c r="N23" s="0" t="n">
        <f aca="false">VLOOKUP(A23,'Team Data'!$A$1:$P$140,3,FALSE())</f>
        <v>80</v>
      </c>
      <c r="O23" s="0" t="n">
        <f aca="false">VLOOKUP(B23,'Team Data'!$A$1:$P$140,2,FALSE())</f>
        <v>2</v>
      </c>
      <c r="P23" s="0" t="n">
        <f aca="false">VLOOKUP(B23,'Team Data'!$A$1:$P$140,3,FALSE())</f>
        <v>0</v>
      </c>
      <c r="Q23" s="0" t="n">
        <f aca="false">VLOOKUP(A23,'Team Data'!$A$1:$P$140,4,FALSE())</f>
        <v>113</v>
      </c>
      <c r="R23" s="0" t="n">
        <f aca="false">VLOOKUP(A23,'Team Data'!$A$1:$P$140,5,FALSE())</f>
        <v>61</v>
      </c>
      <c r="S23" s="0" t="n">
        <f aca="false">VLOOKUP(B23,'Team Data'!$A$1:$P$140,4,FALSE())</f>
        <v>5</v>
      </c>
      <c r="T23" s="0" t="n">
        <f aca="false">VLOOKUP(B23,'Team Data'!$A$1:$P$140,5,FALSE())</f>
        <v>82</v>
      </c>
      <c r="U23" s="0" t="n">
        <f aca="false">IF(K23=1,(MIN(35,(C23-D23)))*(O23/(O23+P23))*(S23/(S23+T23)),(MAX(-35,(C23-D23)))*(IF(P23=0,0.1,(P23/(O23+P23))))*(T23/(S23+T23)))</f>
        <v>-3.29885057471264</v>
      </c>
      <c r="V23" s="0" t="n">
        <f aca="false">IF(L23=1,(MIN(35,(D23-C23)))*(M23/(M23+N23))*(Q23/(Q23+R23)),(MAX(-35,(D23-C23)))*(IF(N23=0,0.1,(N23/(M23+N23))))*(R23/(R23+Q23)))</f>
        <v>1.33705206220419</v>
      </c>
    </row>
    <row r="24" customFormat="false" ht="15" hidden="false" customHeight="false" outlineLevel="0" collapsed="false">
      <c r="A24" s="0" t="s">
        <v>90</v>
      </c>
      <c r="B24" s="0" t="s">
        <v>120</v>
      </c>
      <c r="C24" s="0" t="n">
        <v>10</v>
      </c>
      <c r="D24" s="0" t="n">
        <v>24</v>
      </c>
      <c r="E24" s="0" t="n">
        <v>127</v>
      </c>
      <c r="F24" s="0" t="n">
        <v>134</v>
      </c>
      <c r="G24" s="0" t="n">
        <v>241</v>
      </c>
      <c r="H24" s="0" t="n">
        <v>227</v>
      </c>
      <c r="I24" s="0" t="n">
        <v>4</v>
      </c>
      <c r="J24" s="0" t="n">
        <v>1</v>
      </c>
      <c r="K24" s="0" t="n">
        <v>0</v>
      </c>
      <c r="L24" s="0" t="n">
        <v>1</v>
      </c>
      <c r="M24" s="0" t="n">
        <f aca="false">VLOOKUP(A24,'Team Data'!$A$1:$P$140,2,FALSE())</f>
        <v>1</v>
      </c>
      <c r="N24" s="0" t="n">
        <f aca="false">VLOOKUP(A24,'Team Data'!$A$1:$P$140,3,FALSE())</f>
        <v>1</v>
      </c>
      <c r="O24" s="0" t="n">
        <f aca="false">VLOOKUP(B24,'Team Data'!$A$1:$P$140,2,FALSE())</f>
        <v>2</v>
      </c>
      <c r="P24" s="0" t="n">
        <f aca="false">VLOOKUP(B24,'Team Data'!$A$1:$P$140,3,FALSE())</f>
        <v>0</v>
      </c>
      <c r="Q24" s="0" t="n">
        <f aca="false">VLOOKUP(A24,'Team Data'!$A$1:$P$140,4,FALSE())</f>
        <v>3</v>
      </c>
      <c r="R24" s="0" t="n">
        <f aca="false">VLOOKUP(A24,'Team Data'!$A$1:$P$140,5,FALSE())</f>
        <v>1</v>
      </c>
      <c r="S24" s="0" t="n">
        <f aca="false">VLOOKUP(B24,'Team Data'!$A$1:$P$140,4,FALSE())</f>
        <v>1</v>
      </c>
      <c r="T24" s="0" t="n">
        <f aca="false">VLOOKUP(B24,'Team Data'!$A$1:$P$140,5,FALSE())</f>
        <v>3</v>
      </c>
      <c r="U24" s="0" t="n">
        <f aca="false">IF(K24=1,(MIN(35,(C24-D24)))*(O24/(O24+P24))*(S24/(S24+T24)),(MAX(-35,(C24-D24)))*(IF(P24=0,0.1,(P24/(O24+P24))))*(T24/(S24+T24)))</f>
        <v>-1.05</v>
      </c>
      <c r="V24" s="0" t="n">
        <f aca="false">IF(L24=1,(MIN(35,(D24-C24)))*(M24/(M24+N24))*(Q24/(Q24+R24)),(MAX(-35,(D24-C24)))*(IF(N24=0,0.1,(N24/(M24+N24))))*(R24/(R24+Q24)))</f>
        <v>5.25</v>
      </c>
    </row>
    <row r="25" customFormat="false" ht="15" hidden="false" customHeight="false" outlineLevel="0" collapsed="false">
      <c r="A25" s="0" t="s">
        <v>198</v>
      </c>
      <c r="B25" s="0" t="s">
        <v>10</v>
      </c>
      <c r="C25" s="0" t="n">
        <v>7</v>
      </c>
      <c r="D25" s="0" t="n">
        <v>35</v>
      </c>
      <c r="E25" s="0" t="n">
        <v>-7</v>
      </c>
      <c r="F25" s="0" t="n">
        <v>206</v>
      </c>
      <c r="G25" s="0" t="n">
        <v>200</v>
      </c>
      <c r="H25" s="0" t="n">
        <v>314</v>
      </c>
      <c r="I25" s="0" t="n">
        <v>1</v>
      </c>
      <c r="J25" s="0" t="n">
        <v>3</v>
      </c>
      <c r="K25" s="0" t="n">
        <v>0</v>
      </c>
      <c r="L25" s="0" t="n">
        <v>1</v>
      </c>
      <c r="M25" s="0" t="n">
        <f aca="false">VLOOKUP(A25,'Team Data'!$A$1:$P$140,2,FALSE())</f>
        <v>5</v>
      </c>
      <c r="N25" s="0" t="n">
        <f aca="false">VLOOKUP(A25,'Team Data'!$A$1:$P$140,3,FALSE())</f>
        <v>80</v>
      </c>
      <c r="O25" s="0" t="n">
        <f aca="false">VLOOKUP(B25,'Team Data'!$A$1:$P$140,2,FALSE())</f>
        <v>1</v>
      </c>
      <c r="P25" s="0" t="n">
        <f aca="false">VLOOKUP(B25,'Team Data'!$A$1:$P$140,3,FALSE())</f>
        <v>1</v>
      </c>
      <c r="Q25" s="0" t="n">
        <f aca="false">VLOOKUP(A25,'Team Data'!$A$1:$P$140,4,FALSE())</f>
        <v>113</v>
      </c>
      <c r="R25" s="0" t="n">
        <f aca="false">VLOOKUP(A25,'Team Data'!$A$1:$P$140,5,FALSE())</f>
        <v>61</v>
      </c>
      <c r="S25" s="0" t="n">
        <f aca="false">VLOOKUP(B25,'Team Data'!$A$1:$P$140,4,FALSE())</f>
        <v>7</v>
      </c>
      <c r="T25" s="0" t="n">
        <f aca="false">VLOOKUP(B25,'Team Data'!$A$1:$P$140,5,FALSE())</f>
        <v>80</v>
      </c>
      <c r="U25" s="0" t="n">
        <f aca="false">IF(K25=1,(MIN(35,(C25-D25)))*(O25/(O25+P25))*(S25/(S25+T25)),(MAX(-35,(C25-D25)))*(IF(P25=0,0.1,(P25/(O25+P25))))*(T25/(S25+T25)))</f>
        <v>-12.8735632183908</v>
      </c>
      <c r="V25" s="0" t="n">
        <f aca="false">IF(L25=1,(MIN(35,(D25-C25)))*(M25/(M25+N25))*(Q25/(Q25+R25)),(MAX(-35,(D25-C25)))*(IF(N25=0,0.1,(N25/(M25+N25))))*(R25/(R25+Q25)))</f>
        <v>1.06964164976335</v>
      </c>
    </row>
    <row r="26" customFormat="false" ht="15" hidden="false" customHeight="false" outlineLevel="0" collapsed="false">
      <c r="A26" s="0" t="s">
        <v>198</v>
      </c>
      <c r="B26" s="0" t="s">
        <v>11</v>
      </c>
      <c r="C26" s="0" t="n">
        <v>7</v>
      </c>
      <c r="D26" s="0" t="n">
        <v>70</v>
      </c>
      <c r="E26" s="0" t="n">
        <v>102</v>
      </c>
      <c r="F26" s="0" t="n">
        <v>249</v>
      </c>
      <c r="G26" s="0" t="n">
        <v>86</v>
      </c>
      <c r="H26" s="0" t="n">
        <v>432</v>
      </c>
      <c r="I26" s="0" t="n">
        <v>0</v>
      </c>
      <c r="J26" s="0" t="n">
        <v>1</v>
      </c>
      <c r="K26" s="0" t="n">
        <v>0</v>
      </c>
      <c r="L26" s="0" t="n">
        <v>1</v>
      </c>
      <c r="M26" s="0" t="n">
        <f aca="false">VLOOKUP(A26,'Team Data'!$A$1:$P$140,2,FALSE())</f>
        <v>5</v>
      </c>
      <c r="N26" s="0" t="n">
        <f aca="false">VLOOKUP(A26,'Team Data'!$A$1:$P$140,3,FALSE())</f>
        <v>80</v>
      </c>
      <c r="O26" s="0" t="n">
        <f aca="false">VLOOKUP(B26,'Team Data'!$A$1:$P$140,2,FALSE())</f>
        <v>1</v>
      </c>
      <c r="P26" s="0" t="n">
        <f aca="false">VLOOKUP(B26,'Team Data'!$A$1:$P$140,3,FALSE())</f>
        <v>1</v>
      </c>
      <c r="Q26" s="0" t="n">
        <f aca="false">VLOOKUP(A26,'Team Data'!$A$1:$P$140,4,FALSE())</f>
        <v>113</v>
      </c>
      <c r="R26" s="0" t="n">
        <f aca="false">VLOOKUP(A26,'Team Data'!$A$1:$P$140,5,FALSE())</f>
        <v>61</v>
      </c>
      <c r="S26" s="0" t="n">
        <f aca="false">VLOOKUP(B26,'Team Data'!$A$1:$P$140,4,FALSE())</f>
        <v>7</v>
      </c>
      <c r="T26" s="0" t="n">
        <f aca="false">VLOOKUP(B26,'Team Data'!$A$1:$P$140,5,FALSE())</f>
        <v>80</v>
      </c>
      <c r="U26" s="0" t="n">
        <f aca="false">IF(K26=1,(MIN(35,(C26-D26)))*(O26/(O26+P26))*(S26/(S26+T26)),(MAX(-35,(C26-D26)))*(IF(P26=0,0.1,(P26/(O26+P26))))*(T26/(S26+T26)))</f>
        <v>-16.0919540229885</v>
      </c>
      <c r="V26" s="0" t="n">
        <f aca="false">IF(L26=1,(MIN(35,(D26-C26)))*(M26/(M26+N26))*(Q26/(Q26+R26)),(MAX(-35,(D26-C26)))*(IF(N26=0,0.1,(N26/(M26+N26))))*(R26/(R26+Q26)))</f>
        <v>1.33705206220419</v>
      </c>
    </row>
    <row r="27" customFormat="false" ht="15" hidden="false" customHeight="false" outlineLevel="0" collapsed="false">
      <c r="A27" s="0" t="s">
        <v>198</v>
      </c>
      <c r="B27" s="0" t="s">
        <v>16</v>
      </c>
      <c r="C27" s="0" t="n">
        <v>7</v>
      </c>
      <c r="D27" s="0" t="n">
        <v>63</v>
      </c>
      <c r="E27" s="0" t="n">
        <v>49</v>
      </c>
      <c r="F27" s="0" t="n">
        <v>308</v>
      </c>
      <c r="G27" s="0" t="n">
        <v>135</v>
      </c>
      <c r="H27" s="0" t="n">
        <v>213</v>
      </c>
      <c r="I27" s="0" t="n">
        <v>4</v>
      </c>
      <c r="J27" s="0" t="n">
        <v>0</v>
      </c>
      <c r="K27" s="0" t="n">
        <v>0</v>
      </c>
      <c r="L27" s="0" t="n">
        <v>1</v>
      </c>
      <c r="M27" s="0" t="n">
        <f aca="false">VLOOKUP(A27,'Team Data'!$A$1:$P$140,2,FALSE())</f>
        <v>5</v>
      </c>
      <c r="N27" s="0" t="n">
        <f aca="false">VLOOKUP(A27,'Team Data'!$A$1:$P$140,3,FALSE())</f>
        <v>80</v>
      </c>
      <c r="O27" s="0" t="n">
        <f aca="false">VLOOKUP(B27,'Team Data'!$A$1:$P$140,2,FALSE())</f>
        <v>2</v>
      </c>
      <c r="P27" s="0" t="n">
        <f aca="false">VLOOKUP(B27,'Team Data'!$A$1:$P$140,3,FALSE())</f>
        <v>0</v>
      </c>
      <c r="Q27" s="0" t="n">
        <f aca="false">VLOOKUP(A27,'Team Data'!$A$1:$P$140,4,FALSE())</f>
        <v>113</v>
      </c>
      <c r="R27" s="0" t="n">
        <f aca="false">VLOOKUP(A27,'Team Data'!$A$1:$P$140,5,FALSE())</f>
        <v>61</v>
      </c>
      <c r="S27" s="0" t="n">
        <f aca="false">VLOOKUP(B27,'Team Data'!$A$1:$P$140,4,FALSE())</f>
        <v>6</v>
      </c>
      <c r="T27" s="0" t="n">
        <f aca="false">VLOOKUP(B27,'Team Data'!$A$1:$P$140,5,FALSE())</f>
        <v>81</v>
      </c>
      <c r="U27" s="0" t="n">
        <f aca="false">IF(K27=1,(MIN(35,(C27-D27)))*(O27/(O27+P27))*(S27/(S27+T27)),(MAX(-35,(C27-D27)))*(IF(P27=0,0.1,(P27/(O27+P27))))*(T27/(S27+T27)))</f>
        <v>-3.25862068965517</v>
      </c>
      <c r="V27" s="0" t="n">
        <f aca="false">IF(L27=1,(MIN(35,(D27-C27)))*(M27/(M27+N27))*(Q27/(Q27+R27)),(MAX(-35,(D27-C27)))*(IF(N27=0,0.1,(N27/(M27+N27))))*(R27/(R27+Q27)))</f>
        <v>1.33705206220419</v>
      </c>
    </row>
    <row r="28" customFormat="false" ht="15" hidden="false" customHeight="false" outlineLevel="0" collapsed="false">
      <c r="A28" s="0" t="s">
        <v>29</v>
      </c>
      <c r="B28" s="0" t="s">
        <v>43</v>
      </c>
      <c r="C28" s="0" t="n">
        <v>14</v>
      </c>
      <c r="D28" s="0" t="n">
        <v>13</v>
      </c>
      <c r="E28" s="0" t="n">
        <v>183</v>
      </c>
      <c r="F28" s="0" t="n">
        <v>51</v>
      </c>
      <c r="G28" s="0" t="n">
        <v>124</v>
      </c>
      <c r="H28" s="0" t="n">
        <v>237</v>
      </c>
      <c r="I28" s="0" t="n">
        <v>0</v>
      </c>
      <c r="J28" s="0" t="n">
        <v>1</v>
      </c>
      <c r="K28" s="0" t="n">
        <v>1</v>
      </c>
      <c r="L28" s="0" t="n">
        <v>0</v>
      </c>
      <c r="M28" s="0" t="n">
        <f aca="false">VLOOKUP(A28,'Team Data'!$A$1:$P$140,2,FALSE())</f>
        <v>2</v>
      </c>
      <c r="N28" s="0" t="n">
        <f aca="false">VLOOKUP(A28,'Team Data'!$A$1:$P$140,3,FALSE())</f>
        <v>0</v>
      </c>
      <c r="O28" s="0" t="n">
        <f aca="false">VLOOKUP(B28,'Team Data'!$A$1:$P$140,2,FALSE())</f>
        <v>0</v>
      </c>
      <c r="P28" s="0" t="n">
        <f aca="false">VLOOKUP(B28,'Team Data'!$A$1:$P$140,3,FALSE())</f>
        <v>2</v>
      </c>
      <c r="Q28" s="0" t="n">
        <f aca="false">VLOOKUP(A28,'Team Data'!$A$1:$P$140,4,FALSE())</f>
        <v>5</v>
      </c>
      <c r="R28" s="0" t="n">
        <f aca="false">VLOOKUP(A28,'Team Data'!$A$1:$P$140,5,FALSE())</f>
        <v>82</v>
      </c>
      <c r="S28" s="0" t="n">
        <f aca="false">VLOOKUP(B28,'Team Data'!$A$1:$P$140,4,FALSE())</f>
        <v>4</v>
      </c>
      <c r="T28" s="0" t="n">
        <f aca="false">VLOOKUP(B28,'Team Data'!$A$1:$P$140,5,FALSE())</f>
        <v>0</v>
      </c>
      <c r="U28" s="0" t="n">
        <f aca="false">IF(K28=1,(MIN(35,(C28-D28)))*(O28/(O28+P28))*(S28/(S28+T28)),(MAX(-35,(C28-D28)))*(IF(P28=0,0.1,(P28/(O28+P28))))*(T28/(S28+T28)))</f>
        <v>0</v>
      </c>
      <c r="V28" s="0" t="n">
        <f aca="false">IF(L28=1,(MIN(35,(D28-C28)))*(M28/(M28+N28))*(Q28/(Q28+R28)),(MAX(-35,(D28-C28)))*(IF(N28=0,0.1,(N28/(M28+N28))))*(R28/(R28+Q28)))</f>
        <v>-0.0942528735632184</v>
      </c>
    </row>
    <row r="29" customFormat="false" ht="15" hidden="false" customHeight="false" outlineLevel="0" collapsed="false">
      <c r="A29" s="0" t="s">
        <v>20</v>
      </c>
      <c r="B29" s="0" t="s">
        <v>26</v>
      </c>
      <c r="C29" s="0" t="n">
        <v>15</v>
      </c>
      <c r="D29" s="0" t="n">
        <v>34</v>
      </c>
      <c r="E29" s="0" t="n">
        <v>165</v>
      </c>
      <c r="F29" s="0" t="n">
        <v>254</v>
      </c>
      <c r="G29" s="0" t="n">
        <v>223</v>
      </c>
      <c r="H29" s="0" t="n">
        <v>85</v>
      </c>
      <c r="I29" s="0" t="n">
        <v>2</v>
      </c>
      <c r="J29" s="0" t="n">
        <v>0</v>
      </c>
      <c r="K29" s="0" t="n">
        <v>0</v>
      </c>
      <c r="L29" s="0" t="n">
        <v>1</v>
      </c>
      <c r="M29" s="0" t="n">
        <f aca="false">VLOOKUP(A29,'Team Data'!$A$1:$P$140,2,FALSE())</f>
        <v>1</v>
      </c>
      <c r="N29" s="0" t="n">
        <f aca="false">VLOOKUP(A29,'Team Data'!$A$1:$P$140,3,FALSE())</f>
        <v>1</v>
      </c>
      <c r="O29" s="0" t="n">
        <f aca="false">VLOOKUP(B29,'Team Data'!$A$1:$P$140,2,FALSE())</f>
        <v>2</v>
      </c>
      <c r="P29" s="0" t="n">
        <f aca="false">VLOOKUP(B29,'Team Data'!$A$1:$P$140,3,FALSE())</f>
        <v>0</v>
      </c>
      <c r="Q29" s="0" t="n">
        <f aca="false">VLOOKUP(A29,'Team Data'!$A$1:$P$140,4,FALSE())</f>
        <v>2</v>
      </c>
      <c r="R29" s="0" t="n">
        <f aca="false">VLOOKUP(A29,'Team Data'!$A$1:$P$140,5,FALSE())</f>
        <v>2</v>
      </c>
      <c r="S29" s="0" t="n">
        <f aca="false">VLOOKUP(B29,'Team Data'!$A$1:$P$140,4,FALSE())</f>
        <v>6</v>
      </c>
      <c r="T29" s="0" t="n">
        <f aca="false">VLOOKUP(B29,'Team Data'!$A$1:$P$140,5,FALSE())</f>
        <v>81</v>
      </c>
      <c r="U29" s="0" t="n">
        <f aca="false">IF(K29=1,(MIN(35,(C29-D29)))*(O29/(O29+P29))*(S29/(S29+T29)),(MAX(-35,(C29-D29)))*(IF(P29=0,0.1,(P29/(O29+P29))))*(T29/(S29+T29)))</f>
        <v>-1.76896551724138</v>
      </c>
      <c r="V29" s="0" t="n">
        <f aca="false">IF(L29=1,(MIN(35,(D29-C29)))*(M29/(M29+N29))*(Q29/(Q29+R29)),(MAX(-35,(D29-C29)))*(IF(N29=0,0.1,(N29/(M29+N29))))*(R29/(R29+Q29)))</f>
        <v>4.75</v>
      </c>
    </row>
    <row r="30" customFormat="false" ht="15" hidden="false" customHeight="false" outlineLevel="0" collapsed="false">
      <c r="A30" s="0" t="s">
        <v>94</v>
      </c>
      <c r="B30" s="0" t="s">
        <v>45</v>
      </c>
      <c r="C30" s="0" t="n">
        <v>20</v>
      </c>
      <c r="D30" s="0" t="n">
        <v>33</v>
      </c>
      <c r="E30" s="0" t="n">
        <v>26</v>
      </c>
      <c r="F30" s="0" t="n">
        <v>228</v>
      </c>
      <c r="G30" s="0" t="n">
        <v>376</v>
      </c>
      <c r="H30" s="0" t="n">
        <v>305</v>
      </c>
      <c r="I30" s="0" t="n">
        <v>0</v>
      </c>
      <c r="J30" s="0" t="n">
        <v>2</v>
      </c>
      <c r="K30" s="0" t="n">
        <v>0</v>
      </c>
      <c r="L30" s="0" t="n">
        <v>1</v>
      </c>
      <c r="M30" s="0" t="n">
        <f aca="false">VLOOKUP(A30,'Team Data'!$A$1:$P$140,2,FALSE())</f>
        <v>0</v>
      </c>
      <c r="N30" s="0" t="n">
        <f aca="false">VLOOKUP(A30,'Team Data'!$A$1:$P$140,3,FALSE())</f>
        <v>2</v>
      </c>
      <c r="O30" s="0" t="n">
        <f aca="false">VLOOKUP(B30,'Team Data'!$A$1:$P$140,2,FALSE())</f>
        <v>2</v>
      </c>
      <c r="P30" s="0" t="n">
        <f aca="false">VLOOKUP(B30,'Team Data'!$A$1:$P$140,3,FALSE())</f>
        <v>0</v>
      </c>
      <c r="Q30" s="0" t="n">
        <f aca="false">VLOOKUP(A30,'Team Data'!$A$1:$P$140,4,FALSE())</f>
        <v>4</v>
      </c>
      <c r="R30" s="0" t="n">
        <f aca="false">VLOOKUP(A30,'Team Data'!$A$1:$P$140,5,FALSE())</f>
        <v>0</v>
      </c>
      <c r="S30" s="0" t="n">
        <f aca="false">VLOOKUP(B30,'Team Data'!$A$1:$P$140,4,FALSE())</f>
        <v>5</v>
      </c>
      <c r="T30" s="0" t="n">
        <f aca="false">VLOOKUP(B30,'Team Data'!$A$1:$P$140,5,FALSE())</f>
        <v>82</v>
      </c>
      <c r="U30" s="0" t="n">
        <f aca="false">IF(K30=1,(MIN(35,(C30-D30)))*(O30/(O30+P30))*(S30/(S30+T30)),(MAX(-35,(C30-D30)))*(IF(P30=0,0.1,(P30/(O30+P30))))*(T30/(S30+T30)))</f>
        <v>-1.22528735632184</v>
      </c>
      <c r="V30" s="0" t="n">
        <f aca="false">IF(L30=1,(MIN(35,(D30-C30)))*(M30/(M30+N30))*(Q30/(Q30+R30)),(MAX(-35,(D30-C30)))*(IF(N30=0,0.1,(N30/(M30+N30))))*(R30/(R30+Q30)))</f>
        <v>0</v>
      </c>
    </row>
    <row r="31" customFormat="false" ht="15" hidden="false" customHeight="false" outlineLevel="0" collapsed="false">
      <c r="A31" s="0" t="s">
        <v>198</v>
      </c>
      <c r="B31" s="0" t="s">
        <v>49</v>
      </c>
      <c r="C31" s="0" t="n">
        <v>10</v>
      </c>
      <c r="D31" s="0" t="n">
        <v>38</v>
      </c>
      <c r="E31" s="0" t="n">
        <v>67</v>
      </c>
      <c r="F31" s="0" t="n">
        <v>108</v>
      </c>
      <c r="G31" s="0" t="n">
        <v>142</v>
      </c>
      <c r="H31" s="0" t="n">
        <v>195</v>
      </c>
      <c r="I31" s="0" t="n">
        <v>3</v>
      </c>
      <c r="J31" s="0" t="n">
        <v>1</v>
      </c>
      <c r="K31" s="0" t="n">
        <v>0</v>
      </c>
      <c r="L31" s="0" t="n">
        <v>1</v>
      </c>
      <c r="M31" s="0" t="n">
        <f aca="false">VLOOKUP(A31,'Team Data'!$A$1:$P$140,2,FALSE())</f>
        <v>5</v>
      </c>
      <c r="N31" s="0" t="n">
        <f aca="false">VLOOKUP(A31,'Team Data'!$A$1:$P$140,3,FALSE())</f>
        <v>80</v>
      </c>
      <c r="O31" s="0" t="n">
        <f aca="false">VLOOKUP(B31,'Team Data'!$A$1:$P$140,2,FALSE())</f>
        <v>1</v>
      </c>
      <c r="P31" s="0" t="n">
        <f aca="false">VLOOKUP(B31,'Team Data'!$A$1:$P$140,3,FALSE())</f>
        <v>1</v>
      </c>
      <c r="Q31" s="0" t="n">
        <f aca="false">VLOOKUP(A31,'Team Data'!$A$1:$P$140,4,FALSE())</f>
        <v>113</v>
      </c>
      <c r="R31" s="0" t="n">
        <f aca="false">VLOOKUP(A31,'Team Data'!$A$1:$P$140,5,FALSE())</f>
        <v>61</v>
      </c>
      <c r="S31" s="0" t="n">
        <f aca="false">VLOOKUP(B31,'Team Data'!$A$1:$P$140,4,FALSE())</f>
        <v>7</v>
      </c>
      <c r="T31" s="0" t="n">
        <f aca="false">VLOOKUP(B31,'Team Data'!$A$1:$P$140,5,FALSE())</f>
        <v>80</v>
      </c>
      <c r="U31" s="0" t="n">
        <f aca="false">IF(K31=1,(MIN(35,(C31-D31)))*(O31/(O31+P31))*(S31/(S31+T31)),(MAX(-35,(C31-D31)))*(IF(P31=0,0.1,(P31/(O31+P31))))*(T31/(S31+T31)))</f>
        <v>-12.8735632183908</v>
      </c>
      <c r="V31" s="0" t="n">
        <f aca="false">IF(L31=1,(MIN(35,(D31-C31)))*(M31/(M31+N31))*(Q31/(Q31+R31)),(MAX(-35,(D31-C31)))*(IF(N31=0,0.1,(N31/(M31+N31))))*(R31/(R31+Q31)))</f>
        <v>1.06964164976335</v>
      </c>
    </row>
    <row r="32" customFormat="false" ht="15" hidden="false" customHeight="false" outlineLevel="0" collapsed="false">
      <c r="A32" s="0" t="s">
        <v>28</v>
      </c>
      <c r="B32" s="0" t="s">
        <v>139</v>
      </c>
      <c r="C32" s="0" t="n">
        <v>24</v>
      </c>
      <c r="D32" s="0" t="n">
        <v>31</v>
      </c>
      <c r="E32" s="0" t="n">
        <v>52</v>
      </c>
      <c r="F32" s="0" t="n">
        <v>281</v>
      </c>
      <c r="G32" s="0" t="n">
        <v>373</v>
      </c>
      <c r="H32" s="0" t="n">
        <v>132</v>
      </c>
      <c r="I32" s="0" t="n">
        <v>2</v>
      </c>
      <c r="J32" s="0" t="n">
        <v>1</v>
      </c>
      <c r="K32" s="0" t="n">
        <v>0</v>
      </c>
      <c r="L32" s="0" t="n">
        <v>1</v>
      </c>
      <c r="M32" s="0" t="n">
        <f aca="false">VLOOKUP(A32,'Team Data'!$A$1:$P$140,2,FALSE())</f>
        <v>1</v>
      </c>
      <c r="N32" s="0" t="n">
        <f aca="false">VLOOKUP(A32,'Team Data'!$A$1:$P$140,3,FALSE())</f>
        <v>1</v>
      </c>
      <c r="O32" s="0" t="n">
        <f aca="false">VLOOKUP(B32,'Team Data'!$A$1:$P$140,2,FALSE())</f>
        <v>2</v>
      </c>
      <c r="P32" s="0" t="n">
        <f aca="false">VLOOKUP(B32,'Team Data'!$A$1:$P$140,3,FALSE())</f>
        <v>0</v>
      </c>
      <c r="Q32" s="0" t="n">
        <f aca="false">VLOOKUP(A32,'Team Data'!$A$1:$P$140,4,FALSE())</f>
        <v>7</v>
      </c>
      <c r="R32" s="0" t="n">
        <f aca="false">VLOOKUP(A32,'Team Data'!$A$1:$P$140,5,FALSE())</f>
        <v>80</v>
      </c>
      <c r="S32" s="0" t="n">
        <f aca="false">VLOOKUP(B32,'Team Data'!$A$1:$P$140,4,FALSE())</f>
        <v>6</v>
      </c>
      <c r="T32" s="0" t="n">
        <f aca="false">VLOOKUP(B32,'Team Data'!$A$1:$P$140,5,FALSE())</f>
        <v>81</v>
      </c>
      <c r="U32" s="0" t="n">
        <f aca="false">IF(K32=1,(MIN(35,(C32-D32)))*(O32/(O32+P32))*(S32/(S32+T32)),(MAX(-35,(C32-D32)))*(IF(P32=0,0.1,(P32/(O32+P32))))*(T32/(S32+T32)))</f>
        <v>-0.651724137931035</v>
      </c>
      <c r="V32" s="0" t="n">
        <f aca="false">IF(L32=1,(MIN(35,(D32-C32)))*(M32/(M32+N32))*(Q32/(Q32+R32)),(MAX(-35,(D32-C32)))*(IF(N32=0,0.1,(N32/(M32+N32))))*(R32/(R32+Q32)))</f>
        <v>0.281609195402299</v>
      </c>
    </row>
    <row r="33" customFormat="false" ht="15" hidden="false" customHeight="false" outlineLevel="0" collapsed="false">
      <c r="A33" s="0" t="s">
        <v>44</v>
      </c>
      <c r="B33" s="0" t="s">
        <v>108</v>
      </c>
      <c r="C33" s="0" t="n">
        <v>27</v>
      </c>
      <c r="D33" s="0" t="n">
        <v>37</v>
      </c>
      <c r="E33" s="0" t="n">
        <v>46</v>
      </c>
      <c r="F33" s="0" t="n">
        <v>173</v>
      </c>
      <c r="G33" s="0" t="n">
        <v>276</v>
      </c>
      <c r="H33" s="0" t="n">
        <v>310</v>
      </c>
      <c r="I33" s="0" t="n">
        <v>1</v>
      </c>
      <c r="J33" s="0" t="n">
        <v>0</v>
      </c>
      <c r="K33" s="0" t="n">
        <v>0</v>
      </c>
      <c r="L33" s="0" t="n">
        <v>1</v>
      </c>
      <c r="M33" s="0" t="n">
        <f aca="false">VLOOKUP(A33,'Team Data'!$A$1:$P$140,2,FALSE())</f>
        <v>1</v>
      </c>
      <c r="N33" s="0" t="n">
        <f aca="false">VLOOKUP(A33,'Team Data'!$A$1:$P$140,3,FALSE())</f>
        <v>2</v>
      </c>
      <c r="O33" s="0" t="n">
        <f aca="false">VLOOKUP(B33,'Team Data'!$A$1:$P$140,2,FALSE())</f>
        <v>1</v>
      </c>
      <c r="P33" s="0" t="n">
        <f aca="false">VLOOKUP(B33,'Team Data'!$A$1:$P$140,3,FALSE())</f>
        <v>1</v>
      </c>
      <c r="Q33" s="0" t="n">
        <f aca="false">VLOOKUP(A33,'Team Data'!$A$1:$P$140,4,FALSE())</f>
        <v>3</v>
      </c>
      <c r="R33" s="0" t="n">
        <f aca="false">VLOOKUP(A33,'Team Data'!$A$1:$P$140,5,FALSE())</f>
        <v>5</v>
      </c>
      <c r="S33" s="0" t="n">
        <f aca="false">VLOOKUP(B33,'Team Data'!$A$1:$P$140,4,FALSE())</f>
        <v>3</v>
      </c>
      <c r="T33" s="0" t="n">
        <f aca="false">VLOOKUP(B33,'Team Data'!$A$1:$P$140,5,FALSE())</f>
        <v>2</v>
      </c>
      <c r="U33" s="0" t="n">
        <f aca="false">IF(K33=1,(MIN(35,(C33-D33)))*(O33/(O33+P33))*(S33/(S33+T33)),(MAX(-35,(C33-D33)))*(IF(P33=0,0.1,(P33/(O33+P33))))*(T33/(S33+T33)))</f>
        <v>-2</v>
      </c>
      <c r="V33" s="0" t="n">
        <f aca="false">IF(L33=1,(MIN(35,(D33-C33)))*(M33/(M33+N33))*(Q33/(Q33+R33)),(MAX(-35,(D33-C33)))*(IF(N33=0,0.1,(N33/(M33+N33))))*(R33/(R33+Q33)))</f>
        <v>1.25</v>
      </c>
    </row>
    <row r="34" customFormat="false" ht="15" hidden="false" customHeight="false" outlineLevel="0" collapsed="false">
      <c r="A34" s="0" t="s">
        <v>75</v>
      </c>
      <c r="B34" s="0" t="s">
        <v>134</v>
      </c>
      <c r="C34" s="0" t="n">
        <v>8</v>
      </c>
      <c r="D34" s="0" t="n">
        <v>34</v>
      </c>
      <c r="E34" s="0" t="n">
        <v>76</v>
      </c>
      <c r="F34" s="0" t="n">
        <v>258</v>
      </c>
      <c r="G34" s="0" t="n">
        <v>92</v>
      </c>
      <c r="H34" s="0" t="n">
        <v>155</v>
      </c>
      <c r="I34" s="0" t="n">
        <v>2</v>
      </c>
      <c r="J34" s="0" t="n">
        <v>0</v>
      </c>
      <c r="K34" s="0" t="n">
        <v>0</v>
      </c>
      <c r="L34" s="0" t="n">
        <v>1</v>
      </c>
      <c r="M34" s="0" t="n">
        <f aca="false">VLOOKUP(A34,'Team Data'!$A$1:$P$140,2,FALSE())</f>
        <v>1</v>
      </c>
      <c r="N34" s="0" t="n">
        <f aca="false">VLOOKUP(A34,'Team Data'!$A$1:$P$140,3,FALSE())</f>
        <v>1</v>
      </c>
      <c r="O34" s="0" t="n">
        <f aca="false">VLOOKUP(B34,'Team Data'!$A$1:$P$140,2,FALSE())</f>
        <v>2</v>
      </c>
      <c r="P34" s="0" t="n">
        <f aca="false">VLOOKUP(B34,'Team Data'!$A$1:$P$140,3,FALSE())</f>
        <v>0</v>
      </c>
      <c r="Q34" s="0" t="n">
        <f aca="false">VLOOKUP(A34,'Team Data'!$A$1:$P$140,4,FALSE())</f>
        <v>7</v>
      </c>
      <c r="R34" s="0" t="n">
        <f aca="false">VLOOKUP(A34,'Team Data'!$A$1:$P$140,5,FALSE())</f>
        <v>80</v>
      </c>
      <c r="S34" s="0" t="n">
        <f aca="false">VLOOKUP(B34,'Team Data'!$A$1:$P$140,4,FALSE())</f>
        <v>6</v>
      </c>
      <c r="T34" s="0" t="n">
        <f aca="false">VLOOKUP(B34,'Team Data'!$A$1:$P$140,5,FALSE())</f>
        <v>81</v>
      </c>
      <c r="U34" s="0" t="n">
        <f aca="false">IF(K34=1,(MIN(35,(C34-D34)))*(O34/(O34+P34))*(S34/(S34+T34)),(MAX(-35,(C34-D34)))*(IF(P34=0,0.1,(P34/(O34+P34))))*(T34/(S34+T34)))</f>
        <v>-2.42068965517241</v>
      </c>
      <c r="V34" s="0" t="n">
        <f aca="false">IF(L34=1,(MIN(35,(D34-C34)))*(M34/(M34+N34))*(Q34/(Q34+R34)),(MAX(-35,(D34-C34)))*(IF(N34=0,0.1,(N34/(M34+N34))))*(R34/(R34+Q34)))</f>
        <v>1.04597701149425</v>
      </c>
    </row>
    <row r="35" customFormat="false" ht="15" hidden="false" customHeight="false" outlineLevel="0" collapsed="false">
      <c r="A35" s="0" t="s">
        <v>7</v>
      </c>
      <c r="B35" s="0" t="s">
        <v>136</v>
      </c>
      <c r="C35" s="0" t="n">
        <v>16</v>
      </c>
      <c r="D35" s="0" t="n">
        <v>38</v>
      </c>
      <c r="E35" s="0" t="n">
        <v>149</v>
      </c>
      <c r="F35" s="0" t="n">
        <v>203</v>
      </c>
      <c r="G35" s="0" t="n">
        <v>156</v>
      </c>
      <c r="H35" s="0" t="n">
        <v>356</v>
      </c>
      <c r="I35" s="0" t="n">
        <v>1</v>
      </c>
      <c r="J35" s="0" t="n">
        <v>0</v>
      </c>
      <c r="K35" s="0" t="n">
        <v>0</v>
      </c>
      <c r="L35" s="0" t="n">
        <v>1</v>
      </c>
      <c r="M35" s="0" t="n">
        <f aca="false">VLOOKUP(A35,'Team Data'!$A$1:$P$140,2,FALSE())</f>
        <v>1</v>
      </c>
      <c r="N35" s="0" t="n">
        <f aca="false">VLOOKUP(A35,'Team Data'!$A$1:$P$140,3,FALSE())</f>
        <v>1</v>
      </c>
      <c r="O35" s="0" t="n">
        <f aca="false">VLOOKUP(B35,'Team Data'!$A$1:$P$140,2,FALSE())</f>
        <v>2</v>
      </c>
      <c r="P35" s="0" t="n">
        <f aca="false">VLOOKUP(B35,'Team Data'!$A$1:$P$140,3,FALSE())</f>
        <v>0</v>
      </c>
      <c r="Q35" s="0" t="n">
        <f aca="false">VLOOKUP(A35,'Team Data'!$A$1:$P$140,4,FALSE())</f>
        <v>7</v>
      </c>
      <c r="R35" s="0" t="n">
        <f aca="false">VLOOKUP(A35,'Team Data'!$A$1:$P$140,5,FALSE())</f>
        <v>80</v>
      </c>
      <c r="S35" s="0" t="n">
        <f aca="false">VLOOKUP(B35,'Team Data'!$A$1:$P$140,4,FALSE())</f>
        <v>2</v>
      </c>
      <c r="T35" s="0" t="n">
        <f aca="false">VLOOKUP(B35,'Team Data'!$A$1:$P$140,5,FALSE())</f>
        <v>2</v>
      </c>
      <c r="U35" s="0" t="n">
        <f aca="false">IF(K35=1,(MIN(35,(C35-D35)))*(O35/(O35+P35))*(S35/(S35+T35)),(MAX(-35,(C35-D35)))*(IF(P35=0,0.1,(P35/(O35+P35))))*(T35/(S35+T35)))</f>
        <v>-1.1</v>
      </c>
      <c r="V35" s="0" t="n">
        <f aca="false">IF(L35=1,(MIN(35,(D35-C35)))*(M35/(M35+N35))*(Q35/(Q35+R35)),(MAX(-35,(D35-C35)))*(IF(N35=0,0.1,(N35/(M35+N35))))*(R35/(R35+Q35)))</f>
        <v>0.885057471264368</v>
      </c>
    </row>
    <row r="36" customFormat="false" ht="15" hidden="false" customHeight="false" outlineLevel="0" collapsed="false">
      <c r="A36" s="0" t="s">
        <v>66</v>
      </c>
      <c r="B36" s="0" t="s">
        <v>108</v>
      </c>
      <c r="C36" s="0" t="n">
        <v>45</v>
      </c>
      <c r="D36" s="0" t="n">
        <v>6</v>
      </c>
      <c r="E36" s="0" t="n">
        <v>121</v>
      </c>
      <c r="F36" s="0" t="n">
        <v>78</v>
      </c>
      <c r="G36" s="0" t="n">
        <v>428</v>
      </c>
      <c r="H36" s="0" t="n">
        <v>221</v>
      </c>
      <c r="I36" s="0" t="n">
        <v>2</v>
      </c>
      <c r="J36" s="0" t="n">
        <v>0</v>
      </c>
      <c r="K36" s="0" t="n">
        <v>1</v>
      </c>
      <c r="L36" s="0" t="n">
        <v>0</v>
      </c>
      <c r="M36" s="0" t="n">
        <f aca="false">VLOOKUP(A36,'Team Data'!$A$1:$P$140,2,FALSE())</f>
        <v>2</v>
      </c>
      <c r="N36" s="0" t="n">
        <f aca="false">VLOOKUP(A36,'Team Data'!$A$1:$P$140,3,FALSE())</f>
        <v>0</v>
      </c>
      <c r="O36" s="0" t="n">
        <f aca="false">VLOOKUP(B36,'Team Data'!$A$1:$P$140,2,FALSE())</f>
        <v>1</v>
      </c>
      <c r="P36" s="0" t="n">
        <f aca="false">VLOOKUP(B36,'Team Data'!$A$1:$P$140,3,FALSE())</f>
        <v>1</v>
      </c>
      <c r="Q36" s="0" t="n">
        <f aca="false">VLOOKUP(A36,'Team Data'!$A$1:$P$140,4,FALSE())</f>
        <v>6</v>
      </c>
      <c r="R36" s="0" t="n">
        <f aca="false">VLOOKUP(A36,'Team Data'!$A$1:$P$140,5,FALSE())</f>
        <v>81</v>
      </c>
      <c r="S36" s="0" t="n">
        <f aca="false">VLOOKUP(B36,'Team Data'!$A$1:$P$140,4,FALSE())</f>
        <v>3</v>
      </c>
      <c r="T36" s="0" t="n">
        <f aca="false">VLOOKUP(B36,'Team Data'!$A$1:$P$140,5,FALSE())</f>
        <v>2</v>
      </c>
      <c r="U36" s="0" t="n">
        <f aca="false">IF(K36=1,(MIN(35,(C36-D36)))*(O36/(O36+P36))*(S36/(S36+T36)),(MAX(-35,(C36-D36)))*(IF(P36=0,0.1,(P36/(O36+P36))))*(T36/(S36+T36)))</f>
        <v>10.5</v>
      </c>
      <c r="V36" s="0" t="n">
        <f aca="false">IF(L36=1,(MIN(35,(D36-C36)))*(M36/(M36+N36))*(Q36/(Q36+R36)),(MAX(-35,(D36-C36)))*(IF(N36=0,0.1,(N36/(M36+N36))))*(R36/(R36+Q36)))</f>
        <v>-3.25862068965517</v>
      </c>
    </row>
    <row r="37" customFormat="false" ht="15" hidden="false" customHeight="false" outlineLevel="0" collapsed="false">
      <c r="A37" s="0" t="s">
        <v>67</v>
      </c>
      <c r="B37" s="0" t="s">
        <v>96</v>
      </c>
      <c r="C37" s="0" t="n">
        <v>14</v>
      </c>
      <c r="D37" s="0" t="n">
        <v>59</v>
      </c>
      <c r="E37" s="0" t="n">
        <v>28</v>
      </c>
      <c r="F37" s="0" t="n">
        <v>166</v>
      </c>
      <c r="G37" s="0" t="n">
        <v>261</v>
      </c>
      <c r="H37" s="0" t="n">
        <v>480</v>
      </c>
      <c r="I37" s="0" t="n">
        <v>1</v>
      </c>
      <c r="J37" s="0" t="n">
        <v>0</v>
      </c>
      <c r="K37" s="0" t="n">
        <v>0</v>
      </c>
      <c r="L37" s="0" t="n">
        <v>1</v>
      </c>
      <c r="M37" s="0" t="n">
        <f aca="false">VLOOKUP(A37,'Team Data'!$A$1:$P$140,2,FALSE())</f>
        <v>1</v>
      </c>
      <c r="N37" s="0" t="n">
        <f aca="false">VLOOKUP(A37,'Team Data'!$A$1:$P$140,3,FALSE())</f>
        <v>1</v>
      </c>
      <c r="O37" s="0" t="n">
        <f aca="false">VLOOKUP(B37,'Team Data'!$A$1:$P$140,2,FALSE())</f>
        <v>2</v>
      </c>
      <c r="P37" s="0" t="n">
        <f aca="false">VLOOKUP(B37,'Team Data'!$A$1:$P$140,3,FALSE())</f>
        <v>0</v>
      </c>
      <c r="Q37" s="0" t="n">
        <f aca="false">VLOOKUP(A37,'Team Data'!$A$1:$P$140,4,FALSE())</f>
        <v>7</v>
      </c>
      <c r="R37" s="0" t="n">
        <f aca="false">VLOOKUP(A37,'Team Data'!$A$1:$P$140,5,FALSE())</f>
        <v>80</v>
      </c>
      <c r="S37" s="0" t="n">
        <f aca="false">VLOOKUP(B37,'Team Data'!$A$1:$P$140,4,FALSE())</f>
        <v>2</v>
      </c>
      <c r="T37" s="0" t="n">
        <f aca="false">VLOOKUP(B37,'Team Data'!$A$1:$P$140,5,FALSE())</f>
        <v>2</v>
      </c>
      <c r="U37" s="0" t="n">
        <f aca="false">IF(K37=1,(MIN(35,(C37-D37)))*(O37/(O37+P37))*(S37/(S37+T37)),(MAX(-35,(C37-D37)))*(IF(P37=0,0.1,(P37/(O37+P37))))*(T37/(S37+T37)))</f>
        <v>-1.75</v>
      </c>
      <c r="V37" s="0" t="n">
        <f aca="false">IF(L37=1,(MIN(35,(D37-C37)))*(M37/(M37+N37))*(Q37/(Q37+R37)),(MAX(-35,(D37-C37)))*(IF(N37=0,0.1,(N37/(M37+N37))))*(R37/(R37+Q37)))</f>
        <v>1.40804597701149</v>
      </c>
    </row>
    <row r="38" customFormat="false" ht="15" hidden="false" customHeight="false" outlineLevel="0" collapsed="false">
      <c r="A38" s="0" t="s">
        <v>198</v>
      </c>
      <c r="B38" s="0" t="s">
        <v>109</v>
      </c>
      <c r="C38" s="0" t="n">
        <v>3</v>
      </c>
      <c r="D38" s="0" t="n">
        <v>66</v>
      </c>
      <c r="E38" s="0" t="n">
        <v>60</v>
      </c>
      <c r="F38" s="0" t="n">
        <v>238</v>
      </c>
      <c r="G38" s="0" t="n">
        <v>99</v>
      </c>
      <c r="H38" s="0" t="n">
        <v>275</v>
      </c>
      <c r="I38" s="0" t="n">
        <v>3</v>
      </c>
      <c r="J38" s="0" t="n">
        <v>0</v>
      </c>
      <c r="K38" s="0" t="n">
        <v>0</v>
      </c>
      <c r="L38" s="0" t="n">
        <v>1</v>
      </c>
      <c r="M38" s="0" t="n">
        <f aca="false">VLOOKUP(A38,'Team Data'!$A$1:$P$140,2,FALSE())</f>
        <v>5</v>
      </c>
      <c r="N38" s="0" t="n">
        <f aca="false">VLOOKUP(A38,'Team Data'!$A$1:$P$140,3,FALSE())</f>
        <v>80</v>
      </c>
      <c r="O38" s="0" t="n">
        <f aca="false">VLOOKUP(B38,'Team Data'!$A$1:$P$140,2,FALSE())</f>
        <v>1</v>
      </c>
      <c r="P38" s="0" t="n">
        <f aca="false">VLOOKUP(B38,'Team Data'!$A$1:$P$140,3,FALSE())</f>
        <v>1</v>
      </c>
      <c r="Q38" s="0" t="n">
        <f aca="false">VLOOKUP(A38,'Team Data'!$A$1:$P$140,4,FALSE())</f>
        <v>113</v>
      </c>
      <c r="R38" s="0" t="n">
        <f aca="false">VLOOKUP(A38,'Team Data'!$A$1:$P$140,5,FALSE())</f>
        <v>61</v>
      </c>
      <c r="S38" s="0" t="n">
        <f aca="false">VLOOKUP(B38,'Team Data'!$A$1:$P$140,4,FALSE())</f>
        <v>6</v>
      </c>
      <c r="T38" s="0" t="n">
        <f aca="false">VLOOKUP(B38,'Team Data'!$A$1:$P$140,5,FALSE())</f>
        <v>81</v>
      </c>
      <c r="U38" s="0" t="n">
        <f aca="false">IF(K38=1,(MIN(35,(C38-D38)))*(O38/(O38+P38))*(S38/(S38+T38)),(MAX(-35,(C38-D38)))*(IF(P38=0,0.1,(P38/(O38+P38))))*(T38/(S38+T38)))</f>
        <v>-16.2931034482759</v>
      </c>
      <c r="V38" s="0" t="n">
        <f aca="false">IF(L38=1,(MIN(35,(D38-C38)))*(M38/(M38+N38))*(Q38/(Q38+R38)),(MAX(-35,(D38-C38)))*(IF(N38=0,0.1,(N38/(M38+N38))))*(R38/(R38+Q38)))</f>
        <v>1.33705206220419</v>
      </c>
    </row>
    <row r="39" customFormat="false" ht="15" hidden="false" customHeight="false" outlineLevel="0" collapsed="false">
      <c r="A39" s="0" t="s">
        <v>119</v>
      </c>
      <c r="B39" s="0" t="s">
        <v>32</v>
      </c>
      <c r="C39" s="0" t="n">
        <v>3</v>
      </c>
      <c r="D39" s="0" t="n">
        <v>17</v>
      </c>
      <c r="E39" s="0" t="n">
        <v>54</v>
      </c>
      <c r="F39" s="0" t="n">
        <v>250</v>
      </c>
      <c r="G39" s="0" t="n">
        <v>204</v>
      </c>
      <c r="H39" s="0" t="n">
        <v>131</v>
      </c>
      <c r="I39" s="0" t="n">
        <v>1</v>
      </c>
      <c r="J39" s="0" t="n">
        <v>1</v>
      </c>
      <c r="K39" s="0" t="n">
        <v>0</v>
      </c>
      <c r="L39" s="0" t="n">
        <v>1</v>
      </c>
      <c r="M39" s="0" t="n">
        <f aca="false">VLOOKUP(A39,'Team Data'!$A$1:$P$140,2,FALSE())</f>
        <v>1</v>
      </c>
      <c r="N39" s="0" t="n">
        <f aca="false">VLOOKUP(A39,'Team Data'!$A$1:$P$140,3,FALSE())</f>
        <v>1</v>
      </c>
      <c r="O39" s="0" t="n">
        <f aca="false">VLOOKUP(B39,'Team Data'!$A$1:$P$140,2,FALSE())</f>
        <v>2</v>
      </c>
      <c r="P39" s="0" t="n">
        <f aca="false">VLOOKUP(B39,'Team Data'!$A$1:$P$140,3,FALSE())</f>
        <v>0</v>
      </c>
      <c r="Q39" s="0" t="n">
        <f aca="false">VLOOKUP(A39,'Team Data'!$A$1:$P$140,4,FALSE())</f>
        <v>3</v>
      </c>
      <c r="R39" s="0" t="n">
        <f aca="false">VLOOKUP(A39,'Team Data'!$A$1:$P$140,5,FALSE())</f>
        <v>1</v>
      </c>
      <c r="S39" s="0" t="n">
        <f aca="false">VLOOKUP(B39,'Team Data'!$A$1:$P$140,4,FALSE())</f>
        <v>2</v>
      </c>
      <c r="T39" s="0" t="n">
        <f aca="false">VLOOKUP(B39,'Team Data'!$A$1:$P$140,5,FALSE())</f>
        <v>2</v>
      </c>
      <c r="U39" s="0" t="n">
        <f aca="false">IF(K39=1,(MIN(35,(C39-D39)))*(O39/(O39+P39))*(S39/(S39+T39)),(MAX(-35,(C39-D39)))*(IF(P39=0,0.1,(P39/(O39+P39))))*(T39/(S39+T39)))</f>
        <v>-0.7</v>
      </c>
      <c r="V39" s="0" t="n">
        <f aca="false">IF(L39=1,(MIN(35,(D39-C39)))*(M39/(M39+N39))*(Q39/(Q39+R39)),(MAX(-35,(D39-C39)))*(IF(N39=0,0.1,(N39/(M39+N39))))*(R39/(R39+Q39)))</f>
        <v>5.25</v>
      </c>
    </row>
    <row r="40" customFormat="false" ht="15" hidden="false" customHeight="false" outlineLevel="0" collapsed="false">
      <c r="A40" s="0" t="s">
        <v>123</v>
      </c>
      <c r="B40" s="0" t="s">
        <v>23</v>
      </c>
      <c r="C40" s="0" t="n">
        <v>45</v>
      </c>
      <c r="D40" s="0" t="n">
        <v>24</v>
      </c>
      <c r="E40" s="0" t="n">
        <v>277</v>
      </c>
      <c r="F40" s="0" t="n">
        <v>119</v>
      </c>
      <c r="G40" s="0" t="n">
        <v>184</v>
      </c>
      <c r="H40" s="0" t="n">
        <v>291</v>
      </c>
      <c r="I40" s="0" t="n">
        <v>1</v>
      </c>
      <c r="J40" s="0" t="n">
        <v>3</v>
      </c>
      <c r="K40" s="0" t="n">
        <v>1</v>
      </c>
      <c r="L40" s="0" t="n">
        <v>0</v>
      </c>
      <c r="M40" s="0" t="n">
        <f aca="false">VLOOKUP(A40,'Team Data'!$A$1:$P$140,2,FALSE())</f>
        <v>2</v>
      </c>
      <c r="N40" s="0" t="n">
        <f aca="false">VLOOKUP(A40,'Team Data'!$A$1:$P$140,3,FALSE())</f>
        <v>0</v>
      </c>
      <c r="O40" s="0" t="n">
        <f aca="false">VLOOKUP(B40,'Team Data'!$A$1:$P$140,2,FALSE())</f>
        <v>1</v>
      </c>
      <c r="P40" s="0" t="n">
        <f aca="false">VLOOKUP(B40,'Team Data'!$A$1:$P$140,3,FALSE())</f>
        <v>1</v>
      </c>
      <c r="Q40" s="0" t="n">
        <f aca="false">VLOOKUP(A40,'Team Data'!$A$1:$P$140,4,FALSE())</f>
        <v>2</v>
      </c>
      <c r="R40" s="0" t="n">
        <f aca="false">VLOOKUP(A40,'Team Data'!$A$1:$P$140,5,FALSE())</f>
        <v>2</v>
      </c>
      <c r="S40" s="0" t="n">
        <f aca="false">VLOOKUP(B40,'Team Data'!$A$1:$P$140,4,FALSE())</f>
        <v>3</v>
      </c>
      <c r="T40" s="0" t="n">
        <f aca="false">VLOOKUP(B40,'Team Data'!$A$1:$P$140,5,FALSE())</f>
        <v>1</v>
      </c>
      <c r="U40" s="0" t="n">
        <f aca="false">IF(K40=1,(MIN(35,(C40-D40)))*(O40/(O40+P40))*(S40/(S40+T40)),(MAX(-35,(C40-D40)))*(IF(P40=0,0.1,(P40/(O40+P40))))*(T40/(S40+T40)))</f>
        <v>7.875</v>
      </c>
      <c r="V40" s="0" t="n">
        <f aca="false">IF(L40=1,(MIN(35,(D40-C40)))*(M40/(M40+N40))*(Q40/(Q40+R40)),(MAX(-35,(D40-C40)))*(IF(N40=0,0.1,(N40/(M40+N40))))*(R40/(R40+Q40)))</f>
        <v>-1.05</v>
      </c>
    </row>
    <row r="41" customFormat="false" ht="15" hidden="false" customHeight="false" outlineLevel="0" collapsed="false">
      <c r="A41" s="0" t="s">
        <v>198</v>
      </c>
      <c r="B41" s="0" t="s">
        <v>135</v>
      </c>
      <c r="C41" s="0" t="n">
        <v>3</v>
      </c>
      <c r="D41" s="0" t="n">
        <v>73</v>
      </c>
      <c r="E41" s="0" t="n">
        <v>-4</v>
      </c>
      <c r="F41" s="0" t="n">
        <v>268</v>
      </c>
      <c r="G41" s="0" t="n">
        <v>87</v>
      </c>
      <c r="H41" s="0" t="n">
        <v>351</v>
      </c>
      <c r="I41" s="0" t="n">
        <v>1</v>
      </c>
      <c r="J41" s="0" t="n">
        <v>2</v>
      </c>
      <c r="K41" s="0" t="n">
        <v>0</v>
      </c>
      <c r="L41" s="0" t="n">
        <v>1</v>
      </c>
      <c r="M41" s="0" t="n">
        <f aca="false">VLOOKUP(A41,'Team Data'!$A$1:$P$140,2,FALSE())</f>
        <v>5</v>
      </c>
      <c r="N41" s="0" t="n">
        <f aca="false">VLOOKUP(A41,'Team Data'!$A$1:$P$140,3,FALSE())</f>
        <v>80</v>
      </c>
      <c r="O41" s="0" t="n">
        <f aca="false">VLOOKUP(B41,'Team Data'!$A$1:$P$140,2,FALSE())</f>
        <v>2</v>
      </c>
      <c r="P41" s="0" t="n">
        <f aca="false">VLOOKUP(B41,'Team Data'!$A$1:$P$140,3,FALSE())</f>
        <v>0</v>
      </c>
      <c r="Q41" s="0" t="n">
        <f aca="false">VLOOKUP(A41,'Team Data'!$A$1:$P$140,4,FALSE())</f>
        <v>113</v>
      </c>
      <c r="R41" s="0" t="n">
        <f aca="false">VLOOKUP(A41,'Team Data'!$A$1:$P$140,5,FALSE())</f>
        <v>61</v>
      </c>
      <c r="S41" s="0" t="n">
        <f aca="false">VLOOKUP(B41,'Team Data'!$A$1:$P$140,4,FALSE())</f>
        <v>6</v>
      </c>
      <c r="T41" s="0" t="n">
        <f aca="false">VLOOKUP(B41,'Team Data'!$A$1:$P$140,5,FALSE())</f>
        <v>81</v>
      </c>
      <c r="U41" s="0" t="n">
        <f aca="false">IF(K41=1,(MIN(35,(C41-D41)))*(O41/(O41+P41))*(S41/(S41+T41)),(MAX(-35,(C41-D41)))*(IF(P41=0,0.1,(P41/(O41+P41))))*(T41/(S41+T41)))</f>
        <v>-3.25862068965517</v>
      </c>
      <c r="V41" s="0" t="n">
        <f aca="false">IF(L41=1,(MIN(35,(D41-C41)))*(M41/(M41+N41))*(Q41/(Q41+R41)),(MAX(-35,(D41-C41)))*(IF(N41=0,0.1,(N41/(M41+N41))))*(R41/(R41+Q41)))</f>
        <v>1.33705206220419</v>
      </c>
    </row>
    <row r="42" customFormat="false" ht="15" hidden="false" customHeight="false" outlineLevel="0" collapsed="false">
      <c r="A42" s="0" t="s">
        <v>100</v>
      </c>
      <c r="B42" s="0" t="s">
        <v>38</v>
      </c>
      <c r="C42" s="0" t="n">
        <v>27</v>
      </c>
      <c r="D42" s="0" t="n">
        <v>24</v>
      </c>
      <c r="E42" s="0" t="n">
        <v>155</v>
      </c>
      <c r="F42" s="0" t="n">
        <v>199</v>
      </c>
      <c r="G42" s="0" t="n">
        <v>430</v>
      </c>
      <c r="H42" s="0" t="n">
        <v>125</v>
      </c>
      <c r="I42" s="0" t="n">
        <v>4</v>
      </c>
      <c r="J42" s="0" t="n">
        <v>1</v>
      </c>
      <c r="K42" s="0" t="n">
        <v>1</v>
      </c>
      <c r="L42" s="0" t="n">
        <v>0</v>
      </c>
      <c r="M42" s="0" t="n">
        <f aca="false">VLOOKUP(A42,'Team Data'!$A$1:$P$140,2,FALSE())</f>
        <v>2</v>
      </c>
      <c r="N42" s="0" t="n">
        <f aca="false">VLOOKUP(A42,'Team Data'!$A$1:$P$140,3,FALSE())</f>
        <v>0</v>
      </c>
      <c r="O42" s="0" t="n">
        <f aca="false">VLOOKUP(B42,'Team Data'!$A$1:$P$140,2,FALSE())</f>
        <v>1</v>
      </c>
      <c r="P42" s="0" t="n">
        <f aca="false">VLOOKUP(B42,'Team Data'!$A$1:$P$140,3,FALSE())</f>
        <v>1</v>
      </c>
      <c r="Q42" s="0" t="n">
        <f aca="false">VLOOKUP(A42,'Team Data'!$A$1:$P$140,4,FALSE())</f>
        <v>6</v>
      </c>
      <c r="R42" s="0" t="n">
        <f aca="false">VLOOKUP(A42,'Team Data'!$A$1:$P$140,5,FALSE())</f>
        <v>81</v>
      </c>
      <c r="S42" s="0" t="n">
        <f aca="false">VLOOKUP(B42,'Team Data'!$A$1:$P$140,4,FALSE())</f>
        <v>3</v>
      </c>
      <c r="T42" s="0" t="n">
        <f aca="false">VLOOKUP(B42,'Team Data'!$A$1:$P$140,5,FALSE())</f>
        <v>2</v>
      </c>
      <c r="U42" s="0" t="n">
        <f aca="false">IF(K42=1,(MIN(35,(C42-D42)))*(O42/(O42+P42))*(S42/(S42+T42)),(MAX(-35,(C42-D42)))*(IF(P42=0,0.1,(P42/(O42+P42))))*(T42/(S42+T42)))</f>
        <v>0.9</v>
      </c>
      <c r="V42" s="0" t="n">
        <f aca="false">IF(L42=1,(MIN(35,(D42-C42)))*(M42/(M42+N42))*(Q42/(Q42+R42)),(MAX(-35,(D42-C42)))*(IF(N42=0,0.1,(N42/(M42+N42))))*(R42/(R42+Q42)))</f>
        <v>-0.279310344827586</v>
      </c>
    </row>
    <row r="43" customFormat="false" ht="15" hidden="false" customHeight="false" outlineLevel="0" collapsed="false">
      <c r="A43" s="0" t="s">
        <v>198</v>
      </c>
      <c r="B43" s="0" t="s">
        <v>71</v>
      </c>
      <c r="C43" s="0" t="n">
        <v>7</v>
      </c>
      <c r="D43" s="0" t="n">
        <v>59</v>
      </c>
      <c r="E43" s="0" t="n">
        <v>51</v>
      </c>
      <c r="F43" s="0" t="n">
        <v>147</v>
      </c>
      <c r="G43" s="0" t="n">
        <v>59</v>
      </c>
      <c r="H43" s="0" t="n">
        <v>348</v>
      </c>
      <c r="I43" s="0" t="n">
        <v>0</v>
      </c>
      <c r="J43" s="0" t="n">
        <v>1</v>
      </c>
      <c r="K43" s="0" t="n">
        <v>0</v>
      </c>
      <c r="L43" s="0" t="n">
        <v>1</v>
      </c>
      <c r="M43" s="0" t="n">
        <f aca="false">VLOOKUP(A43,'Team Data'!$A$1:$P$140,2,FALSE())</f>
        <v>5</v>
      </c>
      <c r="N43" s="0" t="n">
        <f aca="false">VLOOKUP(A43,'Team Data'!$A$1:$P$140,3,FALSE())</f>
        <v>80</v>
      </c>
      <c r="O43" s="0" t="n">
        <f aca="false">VLOOKUP(B43,'Team Data'!$A$1:$P$140,2,FALSE())</f>
        <v>1</v>
      </c>
      <c r="P43" s="0" t="n">
        <f aca="false">VLOOKUP(B43,'Team Data'!$A$1:$P$140,3,FALSE())</f>
        <v>1</v>
      </c>
      <c r="Q43" s="0" t="n">
        <f aca="false">VLOOKUP(A43,'Team Data'!$A$1:$P$140,4,FALSE())</f>
        <v>113</v>
      </c>
      <c r="R43" s="0" t="n">
        <f aca="false">VLOOKUP(A43,'Team Data'!$A$1:$P$140,5,FALSE())</f>
        <v>61</v>
      </c>
      <c r="S43" s="0" t="n">
        <f aca="false">VLOOKUP(B43,'Team Data'!$A$1:$P$140,4,FALSE())</f>
        <v>7</v>
      </c>
      <c r="T43" s="0" t="n">
        <f aca="false">VLOOKUP(B43,'Team Data'!$A$1:$P$140,5,FALSE())</f>
        <v>80</v>
      </c>
      <c r="U43" s="0" t="n">
        <f aca="false">IF(K43=1,(MIN(35,(C43-D43)))*(O43/(O43+P43))*(S43/(S43+T43)),(MAX(-35,(C43-D43)))*(IF(P43=0,0.1,(P43/(O43+P43))))*(T43/(S43+T43)))</f>
        <v>-16.0919540229885</v>
      </c>
      <c r="V43" s="0" t="n">
        <f aca="false">IF(L43=1,(MIN(35,(D43-C43)))*(M43/(M43+N43))*(Q43/(Q43+R43)),(MAX(-35,(D43-C43)))*(IF(N43=0,0.1,(N43/(M43+N43))))*(R43/(R43+Q43)))</f>
        <v>1.33705206220419</v>
      </c>
    </row>
    <row r="44" customFormat="false" ht="15" hidden="false" customHeight="false" outlineLevel="0" collapsed="false">
      <c r="A44" s="0" t="s">
        <v>125</v>
      </c>
      <c r="B44" s="0" t="s">
        <v>99</v>
      </c>
      <c r="C44" s="0" t="n">
        <v>37</v>
      </c>
      <c r="D44" s="0" t="n">
        <v>21</v>
      </c>
      <c r="E44" s="0" t="n">
        <v>200</v>
      </c>
      <c r="F44" s="0" t="n">
        <v>30</v>
      </c>
      <c r="G44" s="0" t="n">
        <v>197</v>
      </c>
      <c r="H44" s="0" t="n">
        <v>319</v>
      </c>
      <c r="I44" s="0" t="n">
        <v>0</v>
      </c>
      <c r="J44" s="0" t="n">
        <v>4</v>
      </c>
      <c r="K44" s="0" t="n">
        <v>1</v>
      </c>
      <c r="L44" s="0" t="n">
        <v>0</v>
      </c>
      <c r="M44" s="0" t="n">
        <f aca="false">VLOOKUP(A44,'Team Data'!$A$1:$P$140,2,FALSE())</f>
        <v>2</v>
      </c>
      <c r="N44" s="0" t="n">
        <f aca="false">VLOOKUP(A44,'Team Data'!$A$1:$P$140,3,FALSE())</f>
        <v>0</v>
      </c>
      <c r="O44" s="0" t="n">
        <f aca="false">VLOOKUP(B44,'Team Data'!$A$1:$P$140,2,FALSE())</f>
        <v>0</v>
      </c>
      <c r="P44" s="0" t="n">
        <f aca="false">VLOOKUP(B44,'Team Data'!$A$1:$P$140,3,FALSE())</f>
        <v>2</v>
      </c>
      <c r="Q44" s="0" t="n">
        <f aca="false">VLOOKUP(A44,'Team Data'!$A$1:$P$140,4,FALSE())</f>
        <v>5</v>
      </c>
      <c r="R44" s="0" t="n">
        <f aca="false">VLOOKUP(A44,'Team Data'!$A$1:$P$140,5,FALSE())</f>
        <v>82</v>
      </c>
      <c r="S44" s="0" t="n">
        <f aca="false">VLOOKUP(B44,'Team Data'!$A$1:$P$140,4,FALSE())</f>
        <v>3</v>
      </c>
      <c r="T44" s="0" t="n">
        <f aca="false">VLOOKUP(B44,'Team Data'!$A$1:$P$140,5,FALSE())</f>
        <v>1</v>
      </c>
      <c r="U44" s="0" t="n">
        <f aca="false">IF(K44=1,(MIN(35,(C44-D44)))*(O44/(O44+P44))*(S44/(S44+T44)),(MAX(-35,(C44-D44)))*(IF(P44=0,0.1,(P44/(O44+P44))))*(T44/(S44+T44)))</f>
        <v>0</v>
      </c>
      <c r="V44" s="0" t="n">
        <f aca="false">IF(L44=1,(MIN(35,(D44-C44)))*(M44/(M44+N44))*(Q44/(Q44+R44)),(MAX(-35,(D44-C44)))*(IF(N44=0,0.1,(N44/(M44+N44))))*(R44/(R44+Q44)))</f>
        <v>-1.50804597701149</v>
      </c>
    </row>
    <row r="45" customFormat="false" ht="15" hidden="false" customHeight="false" outlineLevel="0" collapsed="false">
      <c r="A45" s="0" t="s">
        <v>121</v>
      </c>
      <c r="B45" s="0" t="s">
        <v>46</v>
      </c>
      <c r="C45" s="0" t="n">
        <v>23</v>
      </c>
      <c r="D45" s="0" t="n">
        <v>42</v>
      </c>
      <c r="E45" s="0" t="n">
        <v>194</v>
      </c>
      <c r="F45" s="0" t="n">
        <v>150</v>
      </c>
      <c r="G45" s="0" t="n">
        <v>219</v>
      </c>
      <c r="H45" s="0" t="n">
        <v>182</v>
      </c>
      <c r="I45" s="0" t="n">
        <v>1</v>
      </c>
      <c r="J45" s="0" t="n">
        <v>0</v>
      </c>
      <c r="K45" s="0" t="n">
        <v>0</v>
      </c>
      <c r="L45" s="0" t="n">
        <v>1</v>
      </c>
      <c r="M45" s="0" t="n">
        <f aca="false">VLOOKUP(A45,'Team Data'!$A$1:$P$140,2,FALSE())</f>
        <v>1</v>
      </c>
      <c r="N45" s="0" t="n">
        <f aca="false">VLOOKUP(A45,'Team Data'!$A$1:$P$140,3,FALSE())</f>
        <v>1</v>
      </c>
      <c r="O45" s="0" t="n">
        <f aca="false">VLOOKUP(B45,'Team Data'!$A$1:$P$140,2,FALSE())</f>
        <v>1</v>
      </c>
      <c r="P45" s="0" t="n">
        <f aca="false">VLOOKUP(B45,'Team Data'!$A$1:$P$140,3,FALSE())</f>
        <v>1</v>
      </c>
      <c r="Q45" s="0" t="n">
        <f aca="false">VLOOKUP(A45,'Team Data'!$A$1:$P$140,4,FALSE())</f>
        <v>1</v>
      </c>
      <c r="R45" s="0" t="n">
        <f aca="false">VLOOKUP(A45,'Team Data'!$A$1:$P$140,5,FALSE())</f>
        <v>3</v>
      </c>
      <c r="S45" s="0" t="n">
        <f aca="false">VLOOKUP(B45,'Team Data'!$A$1:$P$140,4,FALSE())</f>
        <v>3</v>
      </c>
      <c r="T45" s="0" t="n">
        <f aca="false">VLOOKUP(B45,'Team Data'!$A$1:$P$140,5,FALSE())</f>
        <v>1</v>
      </c>
      <c r="U45" s="0" t="n">
        <f aca="false">IF(K45=1,(MIN(35,(C45-D45)))*(O45/(O45+P45))*(S45/(S45+T45)),(MAX(-35,(C45-D45)))*(IF(P45=0,0.1,(P45/(O45+P45))))*(T45/(S45+T45)))</f>
        <v>-2.375</v>
      </c>
      <c r="V45" s="0" t="n">
        <f aca="false">IF(L45=1,(MIN(35,(D45-C45)))*(M45/(M45+N45))*(Q45/(Q45+R45)),(MAX(-35,(D45-C45)))*(IF(N45=0,0.1,(N45/(M45+N45))))*(R45/(R45+Q45)))</f>
        <v>2.375</v>
      </c>
    </row>
    <row r="46" customFormat="false" ht="15" hidden="false" customHeight="false" outlineLevel="0" collapsed="false">
      <c r="A46" s="0" t="s">
        <v>83</v>
      </c>
      <c r="B46" s="0" t="s">
        <v>47</v>
      </c>
      <c r="C46" s="0" t="n">
        <v>16</v>
      </c>
      <c r="D46" s="0" t="n">
        <v>52</v>
      </c>
      <c r="E46" s="0" t="n">
        <v>152</v>
      </c>
      <c r="F46" s="0" t="n">
        <v>134</v>
      </c>
      <c r="G46" s="0" t="n">
        <v>215</v>
      </c>
      <c r="H46" s="0" t="n">
        <v>231</v>
      </c>
      <c r="I46" s="0" t="n">
        <v>1</v>
      </c>
      <c r="J46" s="0" t="n">
        <v>0</v>
      </c>
      <c r="K46" s="0" t="n">
        <v>0</v>
      </c>
      <c r="L46" s="0" t="n">
        <v>1</v>
      </c>
      <c r="M46" s="0" t="n">
        <f aca="false">VLOOKUP(A46,'Team Data'!$A$1:$P$140,2,FALSE())</f>
        <v>1</v>
      </c>
      <c r="N46" s="0" t="n">
        <f aca="false">VLOOKUP(A46,'Team Data'!$A$1:$P$140,3,FALSE())</f>
        <v>1</v>
      </c>
      <c r="O46" s="0" t="n">
        <f aca="false">VLOOKUP(B46,'Team Data'!$A$1:$P$140,2,FALSE())</f>
        <v>2</v>
      </c>
      <c r="P46" s="0" t="n">
        <f aca="false">VLOOKUP(B46,'Team Data'!$A$1:$P$140,3,FALSE())</f>
        <v>0</v>
      </c>
      <c r="Q46" s="0" t="n">
        <f aca="false">VLOOKUP(A46,'Team Data'!$A$1:$P$140,4,FALSE())</f>
        <v>3</v>
      </c>
      <c r="R46" s="0" t="n">
        <f aca="false">VLOOKUP(A46,'Team Data'!$A$1:$P$140,5,FALSE())</f>
        <v>2</v>
      </c>
      <c r="S46" s="0" t="n">
        <f aca="false">VLOOKUP(B46,'Team Data'!$A$1:$P$140,4,FALSE())</f>
        <v>6</v>
      </c>
      <c r="T46" s="0" t="n">
        <f aca="false">VLOOKUP(B46,'Team Data'!$A$1:$P$140,5,FALSE())</f>
        <v>81</v>
      </c>
      <c r="U46" s="0" t="n">
        <f aca="false">IF(K46=1,(MIN(35,(C46-D46)))*(O46/(O46+P46))*(S46/(S46+T46)),(MAX(-35,(C46-D46)))*(IF(P46=0,0.1,(P46/(O46+P46))))*(T46/(S46+T46)))</f>
        <v>-3.25862068965517</v>
      </c>
      <c r="V46" s="0" t="n">
        <f aca="false">IF(L46=1,(MIN(35,(D46-C46)))*(M46/(M46+N46))*(Q46/(Q46+R46)),(MAX(-35,(D46-C46)))*(IF(N46=0,0.1,(N46/(M46+N46))))*(R46/(R46+Q46)))</f>
        <v>10.5</v>
      </c>
    </row>
    <row r="47" customFormat="false" ht="15" hidden="false" customHeight="false" outlineLevel="0" collapsed="false">
      <c r="A47" s="0" t="s">
        <v>84</v>
      </c>
      <c r="B47" s="0" t="s">
        <v>48</v>
      </c>
      <c r="C47" s="0" t="n">
        <v>0</v>
      </c>
      <c r="D47" s="0" t="n">
        <v>40</v>
      </c>
      <c r="E47" s="0" t="n">
        <v>7</v>
      </c>
      <c r="F47" s="0" t="n">
        <v>289</v>
      </c>
      <c r="G47" s="0" t="n">
        <v>113</v>
      </c>
      <c r="H47" s="0" t="n">
        <v>218</v>
      </c>
      <c r="I47" s="0" t="n">
        <v>2</v>
      </c>
      <c r="J47" s="0" t="n">
        <v>1</v>
      </c>
      <c r="K47" s="0" t="n">
        <v>0</v>
      </c>
      <c r="L47" s="0" t="n">
        <v>1</v>
      </c>
      <c r="M47" s="0" t="n">
        <f aca="false">VLOOKUP(A47,'Team Data'!$A$1:$P$140,2,FALSE())</f>
        <v>0</v>
      </c>
      <c r="N47" s="0" t="n">
        <f aca="false">VLOOKUP(A47,'Team Data'!$A$1:$P$140,3,FALSE())</f>
        <v>2</v>
      </c>
      <c r="O47" s="0" t="n">
        <f aca="false">VLOOKUP(B47,'Team Data'!$A$1:$P$140,2,FALSE())</f>
        <v>2</v>
      </c>
      <c r="P47" s="0" t="n">
        <f aca="false">VLOOKUP(B47,'Team Data'!$A$1:$P$140,3,FALSE())</f>
        <v>0</v>
      </c>
      <c r="Q47" s="0" t="n">
        <f aca="false">VLOOKUP(A47,'Team Data'!$A$1:$P$140,4,FALSE())</f>
        <v>7</v>
      </c>
      <c r="R47" s="0" t="n">
        <f aca="false">VLOOKUP(A47,'Team Data'!$A$1:$P$140,5,FALSE())</f>
        <v>80</v>
      </c>
      <c r="S47" s="0" t="n">
        <f aca="false">VLOOKUP(B47,'Team Data'!$A$1:$P$140,4,FALSE())</f>
        <v>1</v>
      </c>
      <c r="T47" s="0" t="n">
        <f aca="false">VLOOKUP(B47,'Team Data'!$A$1:$P$140,5,FALSE())</f>
        <v>3</v>
      </c>
      <c r="U47" s="0" t="n">
        <f aca="false">IF(K47=1,(MIN(35,(C47-D47)))*(O47/(O47+P47))*(S47/(S47+T47)),(MAX(-35,(C47-D47)))*(IF(P47=0,0.1,(P47/(O47+P47))))*(T47/(S47+T47)))</f>
        <v>-2.625</v>
      </c>
      <c r="V47" s="0" t="n">
        <f aca="false">IF(L47=1,(MIN(35,(D47-C47)))*(M47/(M47+N47))*(Q47/(Q47+R47)),(MAX(-35,(D47-C47)))*(IF(N47=0,0.1,(N47/(M47+N47))))*(R47/(R47+Q47)))</f>
        <v>0</v>
      </c>
    </row>
    <row r="48" customFormat="false" ht="15" hidden="false" customHeight="false" outlineLevel="0" collapsed="false">
      <c r="A48" s="0" t="s">
        <v>198</v>
      </c>
      <c r="B48" s="0" t="s">
        <v>64</v>
      </c>
      <c r="C48" s="0" t="n">
        <v>0</v>
      </c>
      <c r="D48" s="0" t="n">
        <v>62</v>
      </c>
      <c r="E48" s="0" t="n">
        <v>10</v>
      </c>
      <c r="F48" s="0" t="n">
        <v>365</v>
      </c>
      <c r="G48" s="0" t="n">
        <v>75</v>
      </c>
      <c r="H48" s="0" t="n">
        <v>281</v>
      </c>
      <c r="I48" s="0" t="n">
        <v>3</v>
      </c>
      <c r="J48" s="0" t="n">
        <v>0</v>
      </c>
      <c r="K48" s="0" t="n">
        <v>0</v>
      </c>
      <c r="L48" s="0" t="n">
        <v>1</v>
      </c>
      <c r="M48" s="0" t="n">
        <f aca="false">VLOOKUP(A48,'Team Data'!$A$1:$P$140,2,FALSE())</f>
        <v>5</v>
      </c>
      <c r="N48" s="0" t="n">
        <f aca="false">VLOOKUP(A48,'Team Data'!$A$1:$P$140,3,FALSE())</f>
        <v>80</v>
      </c>
      <c r="O48" s="0" t="n">
        <f aca="false">VLOOKUP(B48,'Team Data'!$A$1:$P$140,2,FALSE())</f>
        <v>2</v>
      </c>
      <c r="P48" s="0" t="n">
        <f aca="false">VLOOKUP(B48,'Team Data'!$A$1:$P$140,3,FALSE())</f>
        <v>0</v>
      </c>
      <c r="Q48" s="0" t="n">
        <f aca="false">VLOOKUP(A48,'Team Data'!$A$1:$P$140,4,FALSE())</f>
        <v>113</v>
      </c>
      <c r="R48" s="0" t="n">
        <f aca="false">VLOOKUP(A48,'Team Data'!$A$1:$P$140,5,FALSE())</f>
        <v>61</v>
      </c>
      <c r="S48" s="0" t="n">
        <f aca="false">VLOOKUP(B48,'Team Data'!$A$1:$P$140,4,FALSE())</f>
        <v>6</v>
      </c>
      <c r="T48" s="0" t="n">
        <f aca="false">VLOOKUP(B48,'Team Data'!$A$1:$P$140,5,FALSE())</f>
        <v>81</v>
      </c>
      <c r="U48" s="0" t="n">
        <f aca="false">IF(K48=1,(MIN(35,(C48-D48)))*(O48/(O48+P48))*(S48/(S48+T48)),(MAX(-35,(C48-D48)))*(IF(P48=0,0.1,(P48/(O48+P48))))*(T48/(S48+T48)))</f>
        <v>-3.25862068965517</v>
      </c>
      <c r="V48" s="0" t="n">
        <f aca="false">IF(L48=1,(MIN(35,(D48-C48)))*(M48/(M48+N48))*(Q48/(Q48+R48)),(MAX(-35,(D48-C48)))*(IF(N48=0,0.1,(N48/(M48+N48))))*(R48/(R48+Q48)))</f>
        <v>1.33705206220419</v>
      </c>
    </row>
    <row r="49" customFormat="false" ht="15" hidden="false" customHeight="false" outlineLevel="0" collapsed="false">
      <c r="A49" s="0" t="s">
        <v>141</v>
      </c>
      <c r="B49" s="0" t="s">
        <v>68</v>
      </c>
      <c r="C49" s="0" t="n">
        <v>12</v>
      </c>
      <c r="D49" s="0" t="n">
        <v>13</v>
      </c>
      <c r="E49" s="0" t="n">
        <v>132</v>
      </c>
      <c r="F49" s="0" t="n">
        <v>106</v>
      </c>
      <c r="G49" s="0" t="n">
        <v>89</v>
      </c>
      <c r="H49" s="0" t="n">
        <v>170</v>
      </c>
      <c r="I49" s="0" t="n">
        <v>0</v>
      </c>
      <c r="J49" s="0" t="n">
        <v>3</v>
      </c>
      <c r="K49" s="0" t="n">
        <v>0</v>
      </c>
      <c r="L49" s="0" t="n">
        <v>1</v>
      </c>
      <c r="M49" s="0" t="n">
        <f aca="false">VLOOKUP(A49,'Team Data'!$A$1:$P$140,2,FALSE())</f>
        <v>1</v>
      </c>
      <c r="N49" s="0" t="n">
        <f aca="false">VLOOKUP(A49,'Team Data'!$A$1:$P$140,3,FALSE())</f>
        <v>1</v>
      </c>
      <c r="O49" s="0" t="n">
        <f aca="false">VLOOKUP(B49,'Team Data'!$A$1:$P$140,2,FALSE())</f>
        <v>2</v>
      </c>
      <c r="P49" s="0" t="n">
        <f aca="false">VLOOKUP(B49,'Team Data'!$A$1:$P$140,3,FALSE())</f>
        <v>0</v>
      </c>
      <c r="Q49" s="0" t="n">
        <f aca="false">VLOOKUP(A49,'Team Data'!$A$1:$P$140,4,FALSE())</f>
        <v>7</v>
      </c>
      <c r="R49" s="0" t="n">
        <f aca="false">VLOOKUP(A49,'Team Data'!$A$1:$P$140,5,FALSE())</f>
        <v>80</v>
      </c>
      <c r="S49" s="0" t="n">
        <f aca="false">VLOOKUP(B49,'Team Data'!$A$1:$P$140,4,FALSE())</f>
        <v>2</v>
      </c>
      <c r="T49" s="0" t="n">
        <f aca="false">VLOOKUP(B49,'Team Data'!$A$1:$P$140,5,FALSE())</f>
        <v>2</v>
      </c>
      <c r="U49" s="0" t="n">
        <f aca="false">IF(K49=1,(MIN(35,(C49-D49)))*(O49/(O49+P49))*(S49/(S49+T49)),(MAX(-35,(C49-D49)))*(IF(P49=0,0.1,(P49/(O49+P49))))*(T49/(S49+T49)))</f>
        <v>-0.05</v>
      </c>
      <c r="V49" s="0" t="n">
        <f aca="false">IF(L49=1,(MIN(35,(D49-C49)))*(M49/(M49+N49))*(Q49/(Q49+R49)),(MAX(-35,(D49-C49)))*(IF(N49=0,0.1,(N49/(M49+N49))))*(R49/(R49+Q49)))</f>
        <v>0.0402298850574713</v>
      </c>
    </row>
    <row r="50" customFormat="false" ht="15" hidden="false" customHeight="false" outlineLevel="0" collapsed="false">
      <c r="A50" s="0" t="s">
        <v>117</v>
      </c>
      <c r="B50" s="0" t="s">
        <v>69</v>
      </c>
      <c r="C50" s="0" t="n">
        <v>20</v>
      </c>
      <c r="D50" s="0" t="n">
        <v>30</v>
      </c>
      <c r="E50" s="0" t="n">
        <v>77</v>
      </c>
      <c r="F50" s="0" t="n">
        <v>150</v>
      </c>
      <c r="G50" s="0" t="n">
        <v>196</v>
      </c>
      <c r="H50" s="0" t="n">
        <v>247</v>
      </c>
      <c r="I50" s="0" t="n">
        <v>1</v>
      </c>
      <c r="J50" s="0" t="n">
        <v>0</v>
      </c>
      <c r="K50" s="0" t="n">
        <v>0</v>
      </c>
      <c r="L50" s="0" t="n">
        <v>1</v>
      </c>
      <c r="M50" s="0" t="n">
        <f aca="false">VLOOKUP(A50,'Team Data'!$A$1:$P$140,2,FALSE())</f>
        <v>1</v>
      </c>
      <c r="N50" s="0" t="n">
        <f aca="false">VLOOKUP(A50,'Team Data'!$A$1:$P$140,3,FALSE())</f>
        <v>1</v>
      </c>
      <c r="O50" s="0" t="n">
        <f aca="false">VLOOKUP(B50,'Team Data'!$A$1:$P$140,2,FALSE())</f>
        <v>2</v>
      </c>
      <c r="P50" s="0" t="n">
        <f aca="false">VLOOKUP(B50,'Team Data'!$A$1:$P$140,3,FALSE())</f>
        <v>0</v>
      </c>
      <c r="Q50" s="0" t="n">
        <f aca="false">VLOOKUP(A50,'Team Data'!$A$1:$P$140,4,FALSE())</f>
        <v>7</v>
      </c>
      <c r="R50" s="0" t="n">
        <f aca="false">VLOOKUP(A50,'Team Data'!$A$1:$P$140,5,FALSE())</f>
        <v>80</v>
      </c>
      <c r="S50" s="0" t="n">
        <f aca="false">VLOOKUP(B50,'Team Data'!$A$1:$P$140,4,FALSE())</f>
        <v>2</v>
      </c>
      <c r="T50" s="0" t="n">
        <f aca="false">VLOOKUP(B50,'Team Data'!$A$1:$P$140,5,FALSE())</f>
        <v>3</v>
      </c>
      <c r="U50" s="0" t="n">
        <f aca="false">IF(K50=1,(MIN(35,(C50-D50)))*(O50/(O50+P50))*(S50/(S50+T50)),(MAX(-35,(C50-D50)))*(IF(P50=0,0.1,(P50/(O50+P50))))*(T50/(S50+T50)))</f>
        <v>-0.6</v>
      </c>
      <c r="V50" s="0" t="n">
        <f aca="false">IF(L50=1,(MIN(35,(D50-C50)))*(M50/(M50+N50))*(Q50/(Q50+R50)),(MAX(-35,(D50-C50)))*(IF(N50=0,0.1,(N50/(M50+N50))))*(R50/(R50+Q50)))</f>
        <v>0.402298850574713</v>
      </c>
    </row>
    <row r="51" customFormat="false" ht="15" hidden="false" customHeight="false" outlineLevel="0" collapsed="false">
      <c r="A51" s="0" t="s">
        <v>87</v>
      </c>
      <c r="B51" s="0" t="s">
        <v>77</v>
      </c>
      <c r="C51" s="0" t="n">
        <v>21</v>
      </c>
      <c r="D51" s="0" t="n">
        <v>49</v>
      </c>
      <c r="E51" s="0" t="n">
        <v>139</v>
      </c>
      <c r="F51" s="0" t="n">
        <v>248</v>
      </c>
      <c r="G51" s="0" t="n">
        <v>164</v>
      </c>
      <c r="H51" s="0" t="n">
        <v>275</v>
      </c>
      <c r="I51" s="0" t="n">
        <v>1</v>
      </c>
      <c r="J51" s="0" t="n">
        <v>0</v>
      </c>
      <c r="K51" s="0" t="n">
        <v>0</v>
      </c>
      <c r="L51" s="0" t="n">
        <v>1</v>
      </c>
      <c r="M51" s="0" t="n">
        <f aca="false">VLOOKUP(A51,'Team Data'!$A$1:$P$140,2,FALSE())</f>
        <v>1</v>
      </c>
      <c r="N51" s="0" t="n">
        <f aca="false">VLOOKUP(A51,'Team Data'!$A$1:$P$140,3,FALSE())</f>
        <v>1</v>
      </c>
      <c r="O51" s="0" t="n">
        <f aca="false">VLOOKUP(B51,'Team Data'!$A$1:$P$140,2,FALSE())</f>
        <v>2</v>
      </c>
      <c r="P51" s="0" t="n">
        <f aca="false">VLOOKUP(B51,'Team Data'!$A$1:$P$140,3,FALSE())</f>
        <v>0</v>
      </c>
      <c r="Q51" s="0" t="n">
        <f aca="false">VLOOKUP(A51,'Team Data'!$A$1:$P$140,4,FALSE())</f>
        <v>3</v>
      </c>
      <c r="R51" s="0" t="n">
        <f aca="false">VLOOKUP(A51,'Team Data'!$A$1:$P$140,5,FALSE())</f>
        <v>2</v>
      </c>
      <c r="S51" s="0" t="n">
        <f aca="false">VLOOKUP(B51,'Team Data'!$A$1:$P$140,4,FALSE())</f>
        <v>1</v>
      </c>
      <c r="T51" s="0" t="n">
        <f aca="false">VLOOKUP(B51,'Team Data'!$A$1:$P$140,5,FALSE())</f>
        <v>3</v>
      </c>
      <c r="U51" s="0" t="n">
        <f aca="false">IF(K51=1,(MIN(35,(C51-D51)))*(O51/(O51+P51))*(S51/(S51+T51)),(MAX(-35,(C51-D51)))*(IF(P51=0,0.1,(P51/(O51+P51))))*(T51/(S51+T51)))</f>
        <v>-2.1</v>
      </c>
      <c r="V51" s="0" t="n">
        <f aca="false">IF(L51=1,(MIN(35,(D51-C51)))*(M51/(M51+N51))*(Q51/(Q51+R51)),(MAX(-35,(D51-C51)))*(IF(N51=0,0.1,(N51/(M51+N51))))*(R51/(R51+Q51)))</f>
        <v>8.4</v>
      </c>
    </row>
    <row r="52" customFormat="false" ht="15" hidden="false" customHeight="false" outlineLevel="0" collapsed="false">
      <c r="A52" s="0" t="s">
        <v>198</v>
      </c>
      <c r="B52" s="0" t="s">
        <v>85</v>
      </c>
      <c r="C52" s="0" t="n">
        <v>18</v>
      </c>
      <c r="D52" s="0" t="n">
        <v>34</v>
      </c>
      <c r="E52" s="0" t="n">
        <v>147</v>
      </c>
      <c r="F52" s="0" t="n">
        <v>224</v>
      </c>
      <c r="G52" s="0" t="n">
        <v>285</v>
      </c>
      <c r="H52" s="0" t="n">
        <v>273</v>
      </c>
      <c r="I52" s="0" t="n">
        <v>1</v>
      </c>
      <c r="J52" s="0" t="n">
        <v>0</v>
      </c>
      <c r="K52" s="0" t="n">
        <v>0</v>
      </c>
      <c r="L52" s="0" t="n">
        <v>1</v>
      </c>
      <c r="M52" s="0" t="n">
        <f aca="false">VLOOKUP(A52,'Team Data'!$A$1:$P$140,2,FALSE())</f>
        <v>5</v>
      </c>
      <c r="N52" s="0" t="n">
        <f aca="false">VLOOKUP(A52,'Team Data'!$A$1:$P$140,3,FALSE())</f>
        <v>80</v>
      </c>
      <c r="O52" s="0" t="n">
        <f aca="false">VLOOKUP(B52,'Team Data'!$A$1:$P$140,2,FALSE())</f>
        <v>1</v>
      </c>
      <c r="P52" s="0" t="n">
        <f aca="false">VLOOKUP(B52,'Team Data'!$A$1:$P$140,3,FALSE())</f>
        <v>0</v>
      </c>
      <c r="Q52" s="0" t="n">
        <f aca="false">VLOOKUP(A52,'Team Data'!$A$1:$P$140,4,FALSE())</f>
        <v>113</v>
      </c>
      <c r="R52" s="0" t="n">
        <f aca="false">VLOOKUP(A52,'Team Data'!$A$1:$P$140,5,FALSE())</f>
        <v>61</v>
      </c>
      <c r="S52" s="0" t="n">
        <f aca="false">VLOOKUP(B52,'Team Data'!$A$1:$P$140,4,FALSE())</f>
        <v>5</v>
      </c>
      <c r="T52" s="0" t="n">
        <f aca="false">VLOOKUP(B52,'Team Data'!$A$1:$P$140,5,FALSE())</f>
        <v>80</v>
      </c>
      <c r="U52" s="0" t="n">
        <f aca="false">IF(K52=1,(MIN(35,(C52-D52)))*(O52/(O52+P52))*(S52/(S52+T52)),(MAX(-35,(C52-D52)))*(IF(P52=0,0.1,(P52/(O52+P52))))*(T52/(S52+T52)))</f>
        <v>-1.50588235294118</v>
      </c>
      <c r="V52" s="0" t="n">
        <f aca="false">IF(L52=1,(MIN(35,(D52-C52)))*(M52/(M52+N52))*(Q52/(Q52+R52)),(MAX(-35,(D52-C52)))*(IF(N52=0,0.1,(N52/(M52+N52))))*(R52/(R52+Q52)))</f>
        <v>0.611223799864774</v>
      </c>
    </row>
    <row r="53" customFormat="false" ht="15" hidden="false" customHeight="false" outlineLevel="0" collapsed="false">
      <c r="A53" s="0" t="s">
        <v>17</v>
      </c>
      <c r="B53" s="0" t="s">
        <v>88</v>
      </c>
      <c r="C53" s="0" t="n">
        <v>3</v>
      </c>
      <c r="D53" s="0" t="n">
        <v>56</v>
      </c>
      <c r="E53" s="0" t="n">
        <v>45</v>
      </c>
      <c r="F53" s="0" t="n">
        <v>237</v>
      </c>
      <c r="G53" s="0" t="n">
        <v>120</v>
      </c>
      <c r="H53" s="0" t="n">
        <v>434</v>
      </c>
      <c r="I53" s="0" t="n">
        <v>1</v>
      </c>
      <c r="J53" s="0" t="n">
        <v>1</v>
      </c>
      <c r="K53" s="0" t="n">
        <v>0</v>
      </c>
      <c r="L53" s="0" t="n">
        <v>1</v>
      </c>
      <c r="M53" s="0" t="n">
        <f aca="false">VLOOKUP(A53,'Team Data'!$A$1:$P$140,2,FALSE())</f>
        <v>1</v>
      </c>
      <c r="N53" s="0" t="n">
        <f aca="false">VLOOKUP(A53,'Team Data'!$A$1:$P$140,3,FALSE())</f>
        <v>1</v>
      </c>
      <c r="O53" s="0" t="n">
        <f aca="false">VLOOKUP(B53,'Team Data'!$A$1:$P$140,2,FALSE())</f>
        <v>1</v>
      </c>
      <c r="P53" s="0" t="n">
        <f aca="false">VLOOKUP(B53,'Team Data'!$A$1:$P$140,3,FALSE())</f>
        <v>1</v>
      </c>
      <c r="Q53" s="0" t="n">
        <f aca="false">VLOOKUP(A53,'Team Data'!$A$1:$P$140,4,FALSE())</f>
        <v>6</v>
      </c>
      <c r="R53" s="0" t="n">
        <f aca="false">VLOOKUP(A53,'Team Data'!$A$1:$P$140,5,FALSE())</f>
        <v>81</v>
      </c>
      <c r="S53" s="0" t="n">
        <f aca="false">VLOOKUP(B53,'Team Data'!$A$1:$P$140,4,FALSE())</f>
        <v>3</v>
      </c>
      <c r="T53" s="0" t="n">
        <f aca="false">VLOOKUP(B53,'Team Data'!$A$1:$P$140,5,FALSE())</f>
        <v>1</v>
      </c>
      <c r="U53" s="0" t="n">
        <f aca="false">IF(K53=1,(MIN(35,(C53-D53)))*(O53/(O53+P53))*(S53/(S53+T53)),(MAX(-35,(C53-D53)))*(IF(P53=0,0.1,(P53/(O53+P53))))*(T53/(S53+T53)))</f>
        <v>-4.375</v>
      </c>
      <c r="V53" s="0" t="n">
        <f aca="false">IF(L53=1,(MIN(35,(D53-C53)))*(M53/(M53+N53))*(Q53/(Q53+R53)),(MAX(-35,(D53-C53)))*(IF(N53=0,0.1,(N53/(M53+N53))))*(R53/(R53+Q53)))</f>
        <v>1.20689655172414</v>
      </c>
    </row>
    <row r="54" customFormat="false" ht="15" hidden="false" customHeight="false" outlineLevel="0" collapsed="false">
      <c r="A54" s="0" t="s">
        <v>19</v>
      </c>
      <c r="B54" s="0" t="s">
        <v>93</v>
      </c>
      <c r="C54" s="0" t="n">
        <v>27</v>
      </c>
      <c r="D54" s="0" t="n">
        <v>34</v>
      </c>
      <c r="E54" s="0" t="n">
        <v>93</v>
      </c>
      <c r="F54" s="0" t="n">
        <v>119</v>
      </c>
      <c r="G54" s="0" t="n">
        <v>181</v>
      </c>
      <c r="H54" s="0" t="n">
        <v>378</v>
      </c>
      <c r="I54" s="0" t="n">
        <v>0</v>
      </c>
      <c r="J54" s="0" t="n">
        <v>1</v>
      </c>
      <c r="K54" s="0" t="n">
        <v>0</v>
      </c>
      <c r="L54" s="0" t="n">
        <v>1</v>
      </c>
      <c r="M54" s="0" t="n">
        <f aca="false">VLOOKUP(A54,'Team Data'!$A$1:$P$140,2,FALSE())</f>
        <v>1</v>
      </c>
      <c r="N54" s="0" t="n">
        <f aca="false">VLOOKUP(A54,'Team Data'!$A$1:$P$140,3,FALSE())</f>
        <v>1</v>
      </c>
      <c r="O54" s="0" t="n">
        <f aca="false">VLOOKUP(B54,'Team Data'!$A$1:$P$140,2,FALSE())</f>
        <v>1</v>
      </c>
      <c r="P54" s="0" t="n">
        <f aca="false">VLOOKUP(B54,'Team Data'!$A$1:$P$140,3,FALSE())</f>
        <v>1</v>
      </c>
      <c r="Q54" s="0" t="n">
        <f aca="false">VLOOKUP(A54,'Team Data'!$A$1:$P$140,4,FALSE())</f>
        <v>3</v>
      </c>
      <c r="R54" s="0" t="n">
        <f aca="false">VLOOKUP(A54,'Team Data'!$A$1:$P$140,5,FALSE())</f>
        <v>2</v>
      </c>
      <c r="S54" s="0" t="n">
        <f aca="false">VLOOKUP(B54,'Team Data'!$A$1:$P$140,4,FALSE())</f>
        <v>2</v>
      </c>
      <c r="T54" s="0" t="n">
        <f aca="false">VLOOKUP(B54,'Team Data'!$A$1:$P$140,5,FALSE())</f>
        <v>2</v>
      </c>
      <c r="U54" s="0" t="n">
        <f aca="false">IF(K54=1,(MIN(35,(C54-D54)))*(O54/(O54+P54))*(S54/(S54+T54)),(MAX(-35,(C54-D54)))*(IF(P54=0,0.1,(P54/(O54+P54))))*(T54/(S54+T54)))</f>
        <v>-1.75</v>
      </c>
      <c r="V54" s="0" t="n">
        <f aca="false">IF(L54=1,(MIN(35,(D54-C54)))*(M54/(M54+N54))*(Q54/(Q54+R54)),(MAX(-35,(D54-C54)))*(IF(N54=0,0.1,(N54/(M54+N54))))*(R54/(R54+Q54)))</f>
        <v>2.1</v>
      </c>
    </row>
    <row r="55" customFormat="false" ht="15" hidden="false" customHeight="false" outlineLevel="0" collapsed="false">
      <c r="A55" s="0" t="s">
        <v>63</v>
      </c>
      <c r="B55" s="0" t="s">
        <v>95</v>
      </c>
      <c r="C55" s="0" t="n">
        <v>0</v>
      </c>
      <c r="D55" s="0" t="n">
        <v>45</v>
      </c>
      <c r="E55" s="0" t="n">
        <v>44</v>
      </c>
      <c r="F55" s="0" t="n">
        <v>163</v>
      </c>
      <c r="G55" s="0" t="n">
        <v>103</v>
      </c>
      <c r="H55" s="0" t="n">
        <v>324</v>
      </c>
      <c r="I55" s="0" t="n">
        <v>2</v>
      </c>
      <c r="J55" s="0" t="n">
        <v>0</v>
      </c>
      <c r="K55" s="0" t="n">
        <v>0</v>
      </c>
      <c r="L55" s="0" t="n">
        <v>1</v>
      </c>
      <c r="M55" s="0" t="n">
        <f aca="false">VLOOKUP(A55,'Team Data'!$A$1:$P$140,2,FALSE())</f>
        <v>1</v>
      </c>
      <c r="N55" s="0" t="n">
        <f aca="false">VLOOKUP(A55,'Team Data'!$A$1:$P$140,3,FALSE())</f>
        <v>1</v>
      </c>
      <c r="O55" s="0" t="n">
        <f aca="false">VLOOKUP(B55,'Team Data'!$A$1:$P$140,2,FALSE())</f>
        <v>2</v>
      </c>
      <c r="P55" s="0" t="n">
        <f aca="false">VLOOKUP(B55,'Team Data'!$A$1:$P$140,3,FALSE())</f>
        <v>0</v>
      </c>
      <c r="Q55" s="0" t="n">
        <f aca="false">VLOOKUP(A55,'Team Data'!$A$1:$P$140,4,FALSE())</f>
        <v>3</v>
      </c>
      <c r="R55" s="0" t="n">
        <f aca="false">VLOOKUP(A55,'Team Data'!$A$1:$P$140,5,FALSE())</f>
        <v>1</v>
      </c>
      <c r="S55" s="0" t="n">
        <f aca="false">VLOOKUP(B55,'Team Data'!$A$1:$P$140,4,FALSE())</f>
        <v>2</v>
      </c>
      <c r="T55" s="0" t="n">
        <f aca="false">VLOOKUP(B55,'Team Data'!$A$1:$P$140,5,FALSE())</f>
        <v>2</v>
      </c>
      <c r="U55" s="0" t="n">
        <f aca="false">IF(K55=1,(MIN(35,(C55-D55)))*(O55/(O55+P55))*(S55/(S55+T55)),(MAX(-35,(C55-D55)))*(IF(P55=0,0.1,(P55/(O55+P55))))*(T55/(S55+T55)))</f>
        <v>-1.75</v>
      </c>
      <c r="V55" s="0" t="n">
        <f aca="false">IF(L55=1,(MIN(35,(D55-C55)))*(M55/(M55+N55))*(Q55/(Q55+R55)),(MAX(-35,(D55-C55)))*(IF(N55=0,0.1,(N55/(M55+N55))))*(R55/(R55+Q55)))</f>
        <v>13.125</v>
      </c>
    </row>
    <row r="56" customFormat="false" ht="15" hidden="false" customHeight="false" outlineLevel="0" collapsed="false">
      <c r="A56" s="0" t="s">
        <v>198</v>
      </c>
      <c r="B56" s="0" t="s">
        <v>97</v>
      </c>
      <c r="C56" s="0" t="n">
        <v>19</v>
      </c>
      <c r="D56" s="0" t="n">
        <v>44</v>
      </c>
      <c r="E56" s="0" t="n">
        <v>66</v>
      </c>
      <c r="F56" s="0" t="n">
        <v>177</v>
      </c>
      <c r="G56" s="0" t="n">
        <v>218</v>
      </c>
      <c r="H56" s="0" t="n">
        <v>346</v>
      </c>
      <c r="I56" s="0" t="n">
        <v>1</v>
      </c>
      <c r="J56" s="0" t="n">
        <v>0</v>
      </c>
      <c r="K56" s="0" t="n">
        <v>0</v>
      </c>
      <c r="L56" s="0" t="n">
        <v>1</v>
      </c>
      <c r="M56" s="0" t="n">
        <f aca="false">VLOOKUP(A56,'Team Data'!$A$1:$P$140,2,FALSE())</f>
        <v>5</v>
      </c>
      <c r="N56" s="0" t="n">
        <f aca="false">VLOOKUP(A56,'Team Data'!$A$1:$P$140,3,FALSE())</f>
        <v>80</v>
      </c>
      <c r="O56" s="0" t="n">
        <f aca="false">VLOOKUP(B56,'Team Data'!$A$1:$P$140,2,FALSE())</f>
        <v>1</v>
      </c>
      <c r="P56" s="0" t="n">
        <f aca="false">VLOOKUP(B56,'Team Data'!$A$1:$P$140,3,FALSE())</f>
        <v>1</v>
      </c>
      <c r="Q56" s="0" t="n">
        <f aca="false">VLOOKUP(A56,'Team Data'!$A$1:$P$140,4,FALSE())</f>
        <v>113</v>
      </c>
      <c r="R56" s="0" t="n">
        <f aca="false">VLOOKUP(A56,'Team Data'!$A$1:$P$140,5,FALSE())</f>
        <v>61</v>
      </c>
      <c r="S56" s="0" t="n">
        <f aca="false">VLOOKUP(B56,'Team Data'!$A$1:$P$140,4,FALSE())</f>
        <v>7</v>
      </c>
      <c r="T56" s="0" t="n">
        <f aca="false">VLOOKUP(B56,'Team Data'!$A$1:$P$140,5,FALSE())</f>
        <v>80</v>
      </c>
      <c r="U56" s="0" t="n">
        <f aca="false">IF(K56=1,(MIN(35,(C56-D56)))*(O56/(O56+P56))*(S56/(S56+T56)),(MAX(-35,(C56-D56)))*(IF(P56=0,0.1,(P56/(O56+P56))))*(T56/(S56+T56)))</f>
        <v>-11.4942528735632</v>
      </c>
      <c r="V56" s="0" t="n">
        <f aca="false">IF(L56=1,(MIN(35,(D56-C56)))*(M56/(M56+N56))*(Q56/(Q56+R56)),(MAX(-35,(D56-C56)))*(IF(N56=0,0.1,(N56/(M56+N56))))*(R56/(R56+Q56)))</f>
        <v>0.955037187288709</v>
      </c>
    </row>
    <row r="57" customFormat="false" ht="15" hidden="false" customHeight="false" outlineLevel="0" collapsed="false">
      <c r="A57" s="0" t="s">
        <v>39</v>
      </c>
      <c r="B57" s="0" t="s">
        <v>127</v>
      </c>
      <c r="C57" s="0" t="n">
        <v>0</v>
      </c>
      <c r="D57" s="0" t="n">
        <v>39</v>
      </c>
      <c r="E57" s="0" t="n">
        <v>39</v>
      </c>
      <c r="F57" s="0" t="n">
        <v>140</v>
      </c>
      <c r="G57" s="0" t="n">
        <v>77</v>
      </c>
      <c r="H57" s="0" t="n">
        <v>412</v>
      </c>
      <c r="I57" s="0" t="n">
        <v>2</v>
      </c>
      <c r="J57" s="0" t="n">
        <v>2</v>
      </c>
      <c r="K57" s="0" t="n">
        <v>0</v>
      </c>
      <c r="L57" s="0" t="n">
        <v>1</v>
      </c>
      <c r="M57" s="0" t="n">
        <f aca="false">VLOOKUP(A57,'Team Data'!$A$1:$P$140,2,FALSE())</f>
        <v>1</v>
      </c>
      <c r="N57" s="0" t="n">
        <f aca="false">VLOOKUP(A57,'Team Data'!$A$1:$P$140,3,FALSE())</f>
        <v>1</v>
      </c>
      <c r="O57" s="0" t="n">
        <f aca="false">VLOOKUP(B57,'Team Data'!$A$1:$P$140,2,FALSE())</f>
        <v>3</v>
      </c>
      <c r="P57" s="0" t="n">
        <f aca="false">VLOOKUP(B57,'Team Data'!$A$1:$P$140,3,FALSE())</f>
        <v>0</v>
      </c>
      <c r="Q57" s="0" t="n">
        <f aca="false">VLOOKUP(A57,'Team Data'!$A$1:$P$140,4,FALSE())</f>
        <v>4</v>
      </c>
      <c r="R57" s="0" t="n">
        <f aca="false">VLOOKUP(A57,'Team Data'!$A$1:$P$140,5,FALSE())</f>
        <v>2</v>
      </c>
      <c r="S57" s="0" t="n">
        <f aca="false">VLOOKUP(B57,'Team Data'!$A$1:$P$140,4,FALSE())</f>
        <v>4</v>
      </c>
      <c r="T57" s="0" t="n">
        <f aca="false">VLOOKUP(B57,'Team Data'!$A$1:$P$140,5,FALSE())</f>
        <v>3</v>
      </c>
      <c r="U57" s="0" t="n">
        <f aca="false">IF(K57=1,(MIN(35,(C57-D57)))*(O57/(O57+P57))*(S57/(S57+T57)),(MAX(-35,(C57-D57)))*(IF(P57=0,0.1,(P57/(O57+P57))))*(T57/(S57+T57)))</f>
        <v>-1.5</v>
      </c>
      <c r="V57" s="0" t="n">
        <f aca="false">IF(L57=1,(MIN(35,(D57-C57)))*(M57/(M57+N57))*(Q57/(Q57+R57)),(MAX(-35,(D57-C57)))*(IF(N57=0,0.1,(N57/(M57+N57))))*(R57/(R57+Q57)))</f>
        <v>11.6666666666667</v>
      </c>
    </row>
    <row r="58" customFormat="false" ht="15" hidden="false" customHeight="false" outlineLevel="0" collapsed="false">
      <c r="A58" s="0" t="s">
        <v>138</v>
      </c>
      <c r="B58" s="0" t="s">
        <v>137</v>
      </c>
      <c r="C58" s="0" t="n">
        <v>10</v>
      </c>
      <c r="D58" s="0" t="n">
        <v>24</v>
      </c>
      <c r="E58" s="0" t="n">
        <v>100</v>
      </c>
      <c r="F58" s="0" t="n">
        <v>134</v>
      </c>
      <c r="G58" s="0" t="n">
        <v>142</v>
      </c>
      <c r="H58" s="0" t="n">
        <v>268</v>
      </c>
      <c r="I58" s="0" t="n">
        <v>3</v>
      </c>
      <c r="J58" s="0" t="n">
        <v>0</v>
      </c>
      <c r="K58" s="0" t="n">
        <v>0</v>
      </c>
      <c r="L58" s="0" t="n">
        <v>1</v>
      </c>
      <c r="M58" s="0" t="n">
        <f aca="false">VLOOKUP(A58,'Team Data'!$A$1:$P$140,2,FALSE())</f>
        <v>0</v>
      </c>
      <c r="N58" s="0" t="n">
        <f aca="false">VLOOKUP(A58,'Team Data'!$A$1:$P$140,3,FALSE())</f>
        <v>2</v>
      </c>
      <c r="O58" s="0" t="n">
        <f aca="false">VLOOKUP(B58,'Team Data'!$A$1:$P$140,2,FALSE())</f>
        <v>2</v>
      </c>
      <c r="P58" s="0" t="n">
        <f aca="false">VLOOKUP(B58,'Team Data'!$A$1:$P$140,3,FALSE())</f>
        <v>0</v>
      </c>
      <c r="Q58" s="0" t="n">
        <f aca="false">VLOOKUP(A58,'Team Data'!$A$1:$P$140,4,FALSE())</f>
        <v>4</v>
      </c>
      <c r="R58" s="0" t="n">
        <f aca="false">VLOOKUP(A58,'Team Data'!$A$1:$P$140,5,FALSE())</f>
        <v>0</v>
      </c>
      <c r="S58" s="0" t="n">
        <f aca="false">VLOOKUP(B58,'Team Data'!$A$1:$P$140,4,FALSE())</f>
        <v>0</v>
      </c>
      <c r="T58" s="0" t="n">
        <f aca="false">VLOOKUP(B58,'Team Data'!$A$1:$P$140,5,FALSE())</f>
        <v>4</v>
      </c>
      <c r="U58" s="0" t="n">
        <f aca="false">IF(K58=1,(MIN(35,(C58-D58)))*(O58/(O58+P58))*(S58/(S58+T58)),(MAX(-35,(C58-D58)))*(IF(P58=0,0.1,(P58/(O58+P58))))*(T58/(S58+T58)))</f>
        <v>-1.4</v>
      </c>
      <c r="V58" s="0" t="n">
        <f aca="false">IF(L58=1,(MIN(35,(D58-C58)))*(M58/(M58+N58))*(Q58/(Q58+R58)),(MAX(-35,(D58-C58)))*(IF(N58=0,0.1,(N58/(M58+N58))))*(R58/(R58+Q58)))</f>
        <v>0</v>
      </c>
    </row>
    <row r="59" customFormat="false" ht="15" hidden="false" customHeight="false" outlineLevel="0" collapsed="false">
      <c r="A59" s="0" t="s">
        <v>142</v>
      </c>
      <c r="B59" s="0" t="s">
        <v>86</v>
      </c>
      <c r="C59" s="0" t="n">
        <v>13</v>
      </c>
      <c r="D59" s="0" t="n">
        <v>41</v>
      </c>
      <c r="E59" s="0" t="n">
        <v>67</v>
      </c>
      <c r="F59" s="0" t="n">
        <v>111</v>
      </c>
      <c r="G59" s="0" t="n">
        <v>217</v>
      </c>
      <c r="H59" s="0" t="n">
        <v>239</v>
      </c>
      <c r="I59" s="0" t="n">
        <v>2</v>
      </c>
      <c r="J59" s="0" t="n">
        <v>0</v>
      </c>
      <c r="K59" s="0" t="n">
        <v>0</v>
      </c>
      <c r="L59" s="0" t="n">
        <v>1</v>
      </c>
      <c r="M59" s="0" t="n">
        <f aca="false">VLOOKUP(A59,'Team Data'!$A$1:$P$140,2,FALSE())</f>
        <v>1</v>
      </c>
      <c r="N59" s="0" t="n">
        <f aca="false">VLOOKUP(A59,'Team Data'!$A$1:$P$140,3,FALSE())</f>
        <v>1</v>
      </c>
      <c r="O59" s="0" t="n">
        <f aca="false">VLOOKUP(B59,'Team Data'!$A$1:$P$140,2,FALSE())</f>
        <v>2</v>
      </c>
      <c r="P59" s="0" t="n">
        <f aca="false">VLOOKUP(B59,'Team Data'!$A$1:$P$140,3,FALSE())</f>
        <v>0</v>
      </c>
      <c r="Q59" s="0" t="n">
        <f aca="false">VLOOKUP(A59,'Team Data'!$A$1:$P$140,4,FALSE())</f>
        <v>7</v>
      </c>
      <c r="R59" s="0" t="n">
        <f aca="false">VLOOKUP(A59,'Team Data'!$A$1:$P$140,5,FALSE())</f>
        <v>80</v>
      </c>
      <c r="S59" s="0" t="n">
        <f aca="false">VLOOKUP(B59,'Team Data'!$A$1:$P$140,4,FALSE())</f>
        <v>2</v>
      </c>
      <c r="T59" s="0" t="n">
        <f aca="false">VLOOKUP(B59,'Team Data'!$A$1:$P$140,5,FALSE())</f>
        <v>2</v>
      </c>
      <c r="U59" s="0" t="n">
        <f aca="false">IF(K59=1,(MIN(35,(C59-D59)))*(O59/(O59+P59))*(S59/(S59+T59)),(MAX(-35,(C59-D59)))*(IF(P59=0,0.1,(P59/(O59+P59))))*(T59/(S59+T59)))</f>
        <v>-1.4</v>
      </c>
      <c r="V59" s="0" t="n">
        <f aca="false">IF(L59=1,(MIN(35,(D59-C59)))*(M59/(M59+N59))*(Q59/(Q59+R59)),(MAX(-35,(D59-C59)))*(IF(N59=0,0.1,(N59/(M59+N59))))*(R59/(R59+Q59)))</f>
        <v>1.1264367816092</v>
      </c>
    </row>
    <row r="60" customFormat="false" ht="15" hidden="false" customHeight="false" outlineLevel="0" collapsed="false">
      <c r="A60" s="0" t="s">
        <v>143</v>
      </c>
      <c r="B60" s="0" t="s">
        <v>30</v>
      </c>
      <c r="C60" s="0" t="n">
        <v>13</v>
      </c>
      <c r="D60" s="0" t="n">
        <v>35</v>
      </c>
      <c r="E60" s="0" t="n">
        <v>143</v>
      </c>
      <c r="F60" s="0" t="n">
        <v>154</v>
      </c>
      <c r="G60" s="0" t="n">
        <v>130</v>
      </c>
      <c r="H60" s="0" t="n">
        <v>242</v>
      </c>
      <c r="I60" s="0" t="n">
        <v>4</v>
      </c>
      <c r="J60" s="0" t="n">
        <v>0</v>
      </c>
      <c r="K60" s="0" t="n">
        <v>0</v>
      </c>
      <c r="L60" s="0" t="n">
        <v>1</v>
      </c>
      <c r="M60" s="0" t="n">
        <f aca="false">VLOOKUP(A60,'Team Data'!$A$1:$P$140,2,FALSE())</f>
        <v>1</v>
      </c>
      <c r="N60" s="0" t="n">
        <f aca="false">VLOOKUP(A60,'Team Data'!$A$1:$P$140,3,FALSE())</f>
        <v>1</v>
      </c>
      <c r="O60" s="0" t="n">
        <f aca="false">VLOOKUP(B60,'Team Data'!$A$1:$P$140,2,FALSE())</f>
        <v>2</v>
      </c>
      <c r="P60" s="0" t="n">
        <f aca="false">VLOOKUP(B60,'Team Data'!$A$1:$P$140,3,FALSE())</f>
        <v>0</v>
      </c>
      <c r="Q60" s="0" t="n">
        <f aca="false">VLOOKUP(A60,'Team Data'!$A$1:$P$140,4,FALSE())</f>
        <v>7</v>
      </c>
      <c r="R60" s="0" t="n">
        <f aca="false">VLOOKUP(A60,'Team Data'!$A$1:$P$140,5,FALSE())</f>
        <v>80</v>
      </c>
      <c r="S60" s="0" t="n">
        <f aca="false">VLOOKUP(B60,'Team Data'!$A$1:$P$140,4,FALSE())</f>
        <v>6</v>
      </c>
      <c r="T60" s="0" t="n">
        <f aca="false">VLOOKUP(B60,'Team Data'!$A$1:$P$140,5,FALSE())</f>
        <v>81</v>
      </c>
      <c r="U60" s="0" t="n">
        <f aca="false">IF(K60=1,(MIN(35,(C60-D60)))*(O60/(O60+P60))*(S60/(S60+T60)),(MAX(-35,(C60-D60)))*(IF(P60=0,0.1,(P60/(O60+P60))))*(T60/(S60+T60)))</f>
        <v>-2.04827586206897</v>
      </c>
      <c r="V60" s="0" t="n">
        <f aca="false">IF(L60=1,(MIN(35,(D60-C60)))*(M60/(M60+N60))*(Q60/(Q60+R60)),(MAX(-35,(D60-C60)))*(IF(N60=0,0.1,(N60/(M60+N60))))*(R60/(R60+Q60)))</f>
        <v>0.885057471264368</v>
      </c>
    </row>
    <row r="61" customFormat="false" ht="15" hidden="false" customHeight="false" outlineLevel="0" collapsed="false">
      <c r="A61" s="0" t="s">
        <v>198</v>
      </c>
      <c r="B61" s="0" t="s">
        <v>103</v>
      </c>
      <c r="C61" s="0" t="n">
        <v>20</v>
      </c>
      <c r="D61" s="0" t="n">
        <v>53</v>
      </c>
      <c r="E61" s="0" t="n">
        <v>95</v>
      </c>
      <c r="F61" s="0" t="n">
        <v>237</v>
      </c>
      <c r="G61" s="0" t="n">
        <v>280</v>
      </c>
      <c r="H61" s="0" t="n">
        <v>157</v>
      </c>
      <c r="I61" s="0" t="n">
        <v>3</v>
      </c>
      <c r="J61" s="0" t="n">
        <v>3</v>
      </c>
      <c r="K61" s="0" t="n">
        <v>0</v>
      </c>
      <c r="L61" s="0" t="n">
        <v>1</v>
      </c>
      <c r="M61" s="0" t="n">
        <f aca="false">VLOOKUP(A61,'Team Data'!$A$1:$P$140,2,FALSE())</f>
        <v>5</v>
      </c>
      <c r="N61" s="0" t="n">
        <f aca="false">VLOOKUP(A61,'Team Data'!$A$1:$P$140,3,FALSE())</f>
        <v>80</v>
      </c>
      <c r="O61" s="0" t="n">
        <f aca="false">VLOOKUP(B61,'Team Data'!$A$1:$P$140,2,FALSE())</f>
        <v>1</v>
      </c>
      <c r="P61" s="0" t="n">
        <f aca="false">VLOOKUP(B61,'Team Data'!$A$1:$P$140,3,FALSE())</f>
        <v>1</v>
      </c>
      <c r="Q61" s="0" t="n">
        <f aca="false">VLOOKUP(A61,'Team Data'!$A$1:$P$140,4,FALSE())</f>
        <v>113</v>
      </c>
      <c r="R61" s="0" t="n">
        <f aca="false">VLOOKUP(A61,'Team Data'!$A$1:$P$140,5,FALSE())</f>
        <v>61</v>
      </c>
      <c r="S61" s="0" t="n">
        <f aca="false">VLOOKUP(B61,'Team Data'!$A$1:$P$140,4,FALSE())</f>
        <v>7</v>
      </c>
      <c r="T61" s="0" t="n">
        <f aca="false">VLOOKUP(B61,'Team Data'!$A$1:$P$140,5,FALSE())</f>
        <v>80</v>
      </c>
      <c r="U61" s="0" t="n">
        <f aca="false">IF(K61=1,(MIN(35,(C61-D61)))*(O61/(O61+P61))*(S61/(S61+T61)),(MAX(-35,(C61-D61)))*(IF(P61=0,0.1,(P61/(O61+P61))))*(T61/(S61+T61)))</f>
        <v>-15.1724137931034</v>
      </c>
      <c r="V61" s="0" t="n">
        <f aca="false">IF(L61=1,(MIN(35,(D61-C61)))*(M61/(M61+N61))*(Q61/(Q61+R61)),(MAX(-35,(D61-C61)))*(IF(N61=0,0.1,(N61/(M61+N61))))*(R61/(R61+Q61)))</f>
        <v>1.2606490872211</v>
      </c>
    </row>
    <row r="62" customFormat="false" ht="15" hidden="false" customHeight="false" outlineLevel="0" collapsed="false">
      <c r="A62" s="0" t="s">
        <v>198</v>
      </c>
      <c r="B62" s="0" t="s">
        <v>132</v>
      </c>
      <c r="C62" s="0" t="n">
        <v>29</v>
      </c>
      <c r="D62" s="0" t="n">
        <v>17</v>
      </c>
      <c r="E62" s="0" t="n">
        <v>89</v>
      </c>
      <c r="F62" s="0" t="n">
        <v>162</v>
      </c>
      <c r="G62" s="0" t="n">
        <v>152</v>
      </c>
      <c r="H62" s="0" t="n">
        <v>245</v>
      </c>
      <c r="I62" s="0" t="n">
        <v>0</v>
      </c>
      <c r="J62" s="0" t="n">
        <v>4</v>
      </c>
      <c r="K62" s="0" t="n">
        <v>1</v>
      </c>
      <c r="L62" s="0" t="n">
        <v>0</v>
      </c>
      <c r="M62" s="0" t="n">
        <f aca="false">VLOOKUP(A62,'Team Data'!$A$1:$P$140,2,FALSE())</f>
        <v>5</v>
      </c>
      <c r="N62" s="0" t="n">
        <f aca="false">VLOOKUP(A62,'Team Data'!$A$1:$P$140,3,FALSE())</f>
        <v>80</v>
      </c>
      <c r="O62" s="0" t="n">
        <f aca="false">VLOOKUP(B62,'Team Data'!$A$1:$P$140,2,FALSE())</f>
        <v>0</v>
      </c>
      <c r="P62" s="0" t="n">
        <f aca="false">VLOOKUP(B62,'Team Data'!$A$1:$P$140,3,FALSE())</f>
        <v>2</v>
      </c>
      <c r="Q62" s="0" t="n">
        <f aca="false">VLOOKUP(A62,'Team Data'!$A$1:$P$140,4,FALSE())</f>
        <v>113</v>
      </c>
      <c r="R62" s="0" t="n">
        <f aca="false">VLOOKUP(A62,'Team Data'!$A$1:$P$140,5,FALSE())</f>
        <v>61</v>
      </c>
      <c r="S62" s="0" t="n">
        <f aca="false">VLOOKUP(B62,'Team Data'!$A$1:$P$140,4,FALSE())</f>
        <v>7</v>
      </c>
      <c r="T62" s="0" t="n">
        <f aca="false">VLOOKUP(B62,'Team Data'!$A$1:$P$140,5,FALSE())</f>
        <v>80</v>
      </c>
      <c r="U62" s="0" t="n">
        <f aca="false">IF(K62=1,(MIN(35,(C62-D62)))*(O62/(O62+P62))*(S62/(S62+T62)),(MAX(-35,(C62-D62)))*(IF(P62=0,0.1,(P62/(O62+P62))))*(T62/(S62+T62)))</f>
        <v>0</v>
      </c>
      <c r="V62" s="0" t="n">
        <f aca="false">IF(L62=1,(MIN(35,(D62-C62)))*(M62/(M62+N62))*(Q62/(Q62+R62)),(MAX(-35,(D62-C62)))*(IF(N62=0,0.1,(N62/(M62+N62))))*(R62/(R62+Q62)))</f>
        <v>-3.95943204868154</v>
      </c>
    </row>
    <row r="63" customFormat="false" ht="15" hidden="false" customHeight="false" outlineLevel="0" collapsed="false">
      <c r="A63" s="0" t="s">
        <v>198</v>
      </c>
      <c r="B63" s="0" t="s">
        <v>124</v>
      </c>
      <c r="C63" s="0" t="n">
        <v>7</v>
      </c>
      <c r="D63" s="0" t="n">
        <v>56</v>
      </c>
      <c r="E63" s="0" t="n">
        <v>64</v>
      </c>
      <c r="F63" s="0" t="n">
        <v>301</v>
      </c>
      <c r="G63" s="0" t="n">
        <v>145</v>
      </c>
      <c r="H63" s="0" t="n">
        <v>370</v>
      </c>
      <c r="I63" s="0" t="n">
        <v>0</v>
      </c>
      <c r="J63" s="0" t="n">
        <v>2</v>
      </c>
      <c r="K63" s="0" t="n">
        <v>0</v>
      </c>
      <c r="L63" s="0" t="n">
        <v>1</v>
      </c>
      <c r="M63" s="0" t="n">
        <f aca="false">VLOOKUP(A63,'Team Data'!$A$1:$P$140,2,FALSE())</f>
        <v>5</v>
      </c>
      <c r="N63" s="0" t="n">
        <f aca="false">VLOOKUP(A63,'Team Data'!$A$1:$P$140,3,FALSE())</f>
        <v>80</v>
      </c>
      <c r="O63" s="0" t="n">
        <f aca="false">VLOOKUP(B63,'Team Data'!$A$1:$P$140,2,FALSE())</f>
        <v>1</v>
      </c>
      <c r="P63" s="0" t="n">
        <f aca="false">VLOOKUP(B63,'Team Data'!$A$1:$P$140,3,FALSE())</f>
        <v>1</v>
      </c>
      <c r="Q63" s="0" t="n">
        <f aca="false">VLOOKUP(A63,'Team Data'!$A$1:$P$140,4,FALSE())</f>
        <v>113</v>
      </c>
      <c r="R63" s="0" t="n">
        <f aca="false">VLOOKUP(A63,'Team Data'!$A$1:$P$140,5,FALSE())</f>
        <v>61</v>
      </c>
      <c r="S63" s="0" t="n">
        <f aca="false">VLOOKUP(B63,'Team Data'!$A$1:$P$140,4,FALSE())</f>
        <v>7</v>
      </c>
      <c r="T63" s="0" t="n">
        <f aca="false">VLOOKUP(B63,'Team Data'!$A$1:$P$140,5,FALSE())</f>
        <v>80</v>
      </c>
      <c r="U63" s="0" t="n">
        <f aca="false">IF(K63=1,(MIN(35,(C63-D63)))*(O63/(O63+P63))*(S63/(S63+T63)),(MAX(-35,(C63-D63)))*(IF(P63=0,0.1,(P63/(O63+P63))))*(T63/(S63+T63)))</f>
        <v>-16.0919540229885</v>
      </c>
      <c r="V63" s="0" t="n">
        <f aca="false">IF(L63=1,(MIN(35,(D63-C63)))*(M63/(M63+N63))*(Q63/(Q63+R63)),(MAX(-35,(D63-C63)))*(IF(N63=0,0.1,(N63/(M63+N63))))*(R63/(R63+Q63)))</f>
        <v>1.33705206220419</v>
      </c>
    </row>
    <row r="64" customFormat="false" ht="15" hidden="false" customHeight="false" outlineLevel="0" collapsed="false">
      <c r="A64" s="0" t="s">
        <v>65</v>
      </c>
      <c r="B64" s="0" t="s">
        <v>126</v>
      </c>
      <c r="C64" s="0" t="n">
        <v>27</v>
      </c>
      <c r="D64" s="0" t="n">
        <v>21</v>
      </c>
      <c r="E64" s="0" t="n">
        <v>195</v>
      </c>
      <c r="F64" s="0" t="n">
        <v>169</v>
      </c>
      <c r="G64" s="0" t="n">
        <v>223</v>
      </c>
      <c r="H64" s="0" t="n">
        <v>291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f aca="false">VLOOKUP(A64,'Team Data'!$A$1:$P$140,2,FALSE())</f>
        <v>2</v>
      </c>
      <c r="N64" s="0" t="n">
        <f aca="false">VLOOKUP(A64,'Team Data'!$A$1:$P$140,3,FALSE())</f>
        <v>1</v>
      </c>
      <c r="O64" s="0" t="n">
        <f aca="false">VLOOKUP(B64,'Team Data'!$A$1:$P$140,2,FALSE())</f>
        <v>1</v>
      </c>
      <c r="P64" s="0" t="n">
        <f aca="false">VLOOKUP(B64,'Team Data'!$A$1:$P$140,3,FALSE())</f>
        <v>2</v>
      </c>
      <c r="Q64" s="0" t="n">
        <f aca="false">VLOOKUP(A64,'Team Data'!$A$1:$P$140,4,FALSE())</f>
        <v>3</v>
      </c>
      <c r="R64" s="0" t="n">
        <f aca="false">VLOOKUP(A64,'Team Data'!$A$1:$P$140,5,FALSE())</f>
        <v>4</v>
      </c>
      <c r="S64" s="0" t="n">
        <f aca="false">VLOOKUP(B64,'Team Data'!$A$1:$P$140,4,FALSE())</f>
        <v>4</v>
      </c>
      <c r="T64" s="0" t="n">
        <f aca="false">VLOOKUP(B64,'Team Data'!$A$1:$P$140,5,FALSE())</f>
        <v>4</v>
      </c>
      <c r="U64" s="0" t="n">
        <f aca="false">IF(K64=1,(MIN(35,(C64-D64)))*(O64/(O64+P64))*(S64/(S64+T64)),(MAX(-35,(C64-D64)))*(IF(P64=0,0.1,(P64/(O64+P64))))*(T64/(S64+T64)))</f>
        <v>1</v>
      </c>
      <c r="V64" s="0" t="n">
        <f aca="false">IF(L64=1,(MIN(35,(D64-C64)))*(M64/(M64+N64))*(Q64/(Q64+R64)),(MAX(-35,(D64-C64)))*(IF(N64=0,0.1,(N64/(M64+N64))))*(R64/(R64+Q64)))</f>
        <v>-1.14285714285714</v>
      </c>
    </row>
    <row r="65" customFormat="false" ht="15" hidden="false" customHeight="false" outlineLevel="0" collapsed="false">
      <c r="A65" s="0" t="s">
        <v>198</v>
      </c>
      <c r="B65" s="0" t="s">
        <v>25</v>
      </c>
      <c r="C65" s="0" t="n">
        <v>43</v>
      </c>
      <c r="D65" s="0" t="n">
        <v>41</v>
      </c>
      <c r="E65" s="0" t="n">
        <v>268</v>
      </c>
      <c r="F65" s="0" t="n">
        <v>216</v>
      </c>
      <c r="G65" s="0" t="n">
        <v>132</v>
      </c>
      <c r="H65" s="0" t="n">
        <v>322</v>
      </c>
      <c r="I65" s="0" t="n">
        <v>0</v>
      </c>
      <c r="J65" s="0" t="n">
        <v>2</v>
      </c>
      <c r="K65" s="0" t="n">
        <v>1</v>
      </c>
      <c r="L65" s="0" t="n">
        <v>0</v>
      </c>
      <c r="M65" s="0" t="n">
        <f aca="false">VLOOKUP(A65,'Team Data'!$A$1:$P$140,2,FALSE())</f>
        <v>5</v>
      </c>
      <c r="N65" s="0" t="n">
        <f aca="false">VLOOKUP(A65,'Team Data'!$A$1:$P$140,3,FALSE())</f>
        <v>80</v>
      </c>
      <c r="O65" s="0" t="n">
        <f aca="false">VLOOKUP(B65,'Team Data'!$A$1:$P$140,2,FALSE())</f>
        <v>0</v>
      </c>
      <c r="P65" s="0" t="n">
        <f aca="false">VLOOKUP(B65,'Team Data'!$A$1:$P$140,3,FALSE())</f>
        <v>2</v>
      </c>
      <c r="Q65" s="0" t="n">
        <f aca="false">VLOOKUP(A65,'Team Data'!$A$1:$P$140,4,FALSE())</f>
        <v>113</v>
      </c>
      <c r="R65" s="0" t="n">
        <f aca="false">VLOOKUP(A65,'Team Data'!$A$1:$P$140,5,FALSE())</f>
        <v>61</v>
      </c>
      <c r="S65" s="0" t="n">
        <f aca="false">VLOOKUP(B65,'Team Data'!$A$1:$P$140,4,FALSE())</f>
        <v>7</v>
      </c>
      <c r="T65" s="0" t="n">
        <f aca="false">VLOOKUP(B65,'Team Data'!$A$1:$P$140,5,FALSE())</f>
        <v>80</v>
      </c>
      <c r="U65" s="0" t="n">
        <f aca="false">IF(K65=1,(MIN(35,(C65-D65)))*(O65/(O65+P65))*(S65/(S65+T65)),(MAX(-35,(C65-D65)))*(IF(P65=0,0.1,(P65/(O65+P65))))*(T65/(S65+T65)))</f>
        <v>0</v>
      </c>
      <c r="V65" s="0" t="n">
        <f aca="false">IF(L65=1,(MIN(35,(D65-C65)))*(M65/(M65+N65))*(Q65/(Q65+R65)),(MAX(-35,(D65-C65)))*(IF(N65=0,0.1,(N65/(M65+N65))))*(R65/(R65+Q65)))</f>
        <v>-0.659905341446924</v>
      </c>
    </row>
    <row r="66" customFormat="false" ht="15" hidden="false" customHeight="false" outlineLevel="0" collapsed="false">
      <c r="A66" s="0" t="s">
        <v>13</v>
      </c>
      <c r="B66" s="0" t="s">
        <v>65</v>
      </c>
      <c r="C66" s="0" t="n">
        <v>24</v>
      </c>
      <c r="D66" s="0" t="n">
        <v>42</v>
      </c>
      <c r="E66" s="0" t="n">
        <v>109</v>
      </c>
      <c r="F66" s="0" t="n">
        <v>335</v>
      </c>
      <c r="G66" s="0" t="n">
        <v>325</v>
      </c>
      <c r="H66" s="0" t="n">
        <v>188</v>
      </c>
      <c r="I66" s="0" t="n">
        <v>4</v>
      </c>
      <c r="J66" s="0" t="n">
        <v>2</v>
      </c>
      <c r="K66" s="0" t="n">
        <v>0</v>
      </c>
      <c r="L66" s="0" t="n">
        <v>1</v>
      </c>
      <c r="M66" s="0" t="n">
        <f aca="false">VLOOKUP(A66,'Team Data'!$A$1:$P$140,2,FALSE())</f>
        <v>1</v>
      </c>
      <c r="N66" s="0" t="n">
        <f aca="false">VLOOKUP(A66,'Team Data'!$A$1:$P$140,3,FALSE())</f>
        <v>1</v>
      </c>
      <c r="O66" s="0" t="n">
        <f aca="false">VLOOKUP(B66,'Team Data'!$A$1:$P$140,2,FALSE())</f>
        <v>2</v>
      </c>
      <c r="P66" s="0" t="n">
        <f aca="false">VLOOKUP(B66,'Team Data'!$A$1:$P$140,3,FALSE())</f>
        <v>1</v>
      </c>
      <c r="Q66" s="0" t="n">
        <f aca="false">VLOOKUP(A66,'Team Data'!$A$1:$P$140,4,FALSE())</f>
        <v>7</v>
      </c>
      <c r="R66" s="0" t="n">
        <f aca="false">VLOOKUP(A66,'Team Data'!$A$1:$P$140,5,FALSE())</f>
        <v>81</v>
      </c>
      <c r="S66" s="0" t="n">
        <f aca="false">VLOOKUP(B66,'Team Data'!$A$1:$P$140,4,FALSE())</f>
        <v>3</v>
      </c>
      <c r="T66" s="0" t="n">
        <f aca="false">VLOOKUP(B66,'Team Data'!$A$1:$P$140,5,FALSE())</f>
        <v>4</v>
      </c>
      <c r="U66" s="0" t="n">
        <f aca="false">IF(K66=1,(MIN(35,(C66-D66)))*(O66/(O66+P66))*(S66/(S66+T66)),(MAX(-35,(C66-D66)))*(IF(P66=0,0.1,(P66/(O66+P66))))*(T66/(S66+T66)))</f>
        <v>-3.42857142857143</v>
      </c>
      <c r="V66" s="0" t="n">
        <f aca="false">IF(L66=1,(MIN(35,(D66-C66)))*(M66/(M66+N66))*(Q66/(Q66+R66)),(MAX(-35,(D66-C66)))*(IF(N66=0,0.1,(N66/(M66+N66))))*(R66/(R66+Q66)))</f>
        <v>0.715909090909091</v>
      </c>
    </row>
    <row r="67" customFormat="false" ht="15" hidden="false" customHeight="false" outlineLevel="0" collapsed="false">
      <c r="A67" s="0" t="s">
        <v>198</v>
      </c>
      <c r="B67" s="0" t="s">
        <v>76</v>
      </c>
      <c r="C67" s="0" t="n">
        <v>15</v>
      </c>
      <c r="D67" s="0" t="n">
        <v>42</v>
      </c>
      <c r="E67" s="0" t="n">
        <v>39</v>
      </c>
      <c r="F67" s="0" t="n">
        <v>506</v>
      </c>
      <c r="G67" s="0" t="n">
        <v>207</v>
      </c>
      <c r="H67" s="0" t="n">
        <v>21</v>
      </c>
      <c r="I67" s="0" t="n">
        <v>0</v>
      </c>
      <c r="J67" s="0" t="n">
        <v>0</v>
      </c>
      <c r="K67" s="0" t="n">
        <v>0</v>
      </c>
      <c r="L67" s="0" t="n">
        <v>1</v>
      </c>
      <c r="M67" s="0" t="n">
        <f aca="false">VLOOKUP(A67,'Team Data'!$A$1:$P$140,2,FALSE())</f>
        <v>5</v>
      </c>
      <c r="N67" s="0" t="n">
        <f aca="false">VLOOKUP(A67,'Team Data'!$A$1:$P$140,3,FALSE())</f>
        <v>80</v>
      </c>
      <c r="O67" s="0" t="n">
        <f aca="false">VLOOKUP(B67,'Team Data'!$A$1:$P$140,2,FALSE())</f>
        <v>1</v>
      </c>
      <c r="P67" s="0" t="n">
        <f aca="false">VLOOKUP(B67,'Team Data'!$A$1:$P$140,3,FALSE())</f>
        <v>1</v>
      </c>
      <c r="Q67" s="0" t="n">
        <f aca="false">VLOOKUP(A67,'Team Data'!$A$1:$P$140,4,FALSE())</f>
        <v>113</v>
      </c>
      <c r="R67" s="0" t="n">
        <f aca="false">VLOOKUP(A67,'Team Data'!$A$1:$P$140,5,FALSE())</f>
        <v>61</v>
      </c>
      <c r="S67" s="0" t="n">
        <f aca="false">VLOOKUP(B67,'Team Data'!$A$1:$P$140,4,FALSE())</f>
        <v>6</v>
      </c>
      <c r="T67" s="0" t="n">
        <f aca="false">VLOOKUP(B67,'Team Data'!$A$1:$P$140,5,FALSE())</f>
        <v>81</v>
      </c>
      <c r="U67" s="0" t="n">
        <f aca="false">IF(K67=1,(MIN(35,(C67-D67)))*(O67/(O67+P67))*(S67/(S67+T67)),(MAX(-35,(C67-D67)))*(IF(P67=0,0.1,(P67/(O67+P67))))*(T67/(S67+T67)))</f>
        <v>-12.5689655172414</v>
      </c>
      <c r="V67" s="0" t="n">
        <f aca="false">IF(L67=1,(MIN(35,(D67-C67)))*(M67/(M67+N67))*(Q67/(Q67+R67)),(MAX(-35,(D67-C67)))*(IF(N67=0,0.1,(N67/(M67+N67))))*(R67/(R67+Q67)))</f>
        <v>1.03144016227181</v>
      </c>
    </row>
    <row r="68" customFormat="false" ht="15" hidden="false" customHeight="false" outlineLevel="0" collapsed="false">
      <c r="A68" s="0" t="s">
        <v>198</v>
      </c>
      <c r="B68" s="0" t="s">
        <v>98</v>
      </c>
      <c r="C68" s="0" t="n">
        <v>3</v>
      </c>
      <c r="D68" s="0" t="n">
        <v>31</v>
      </c>
      <c r="E68" s="0" t="n">
        <v>148</v>
      </c>
      <c r="F68" s="0" t="n">
        <v>465</v>
      </c>
      <c r="G68" s="0" t="n">
        <v>96</v>
      </c>
      <c r="H68" s="0" t="n">
        <v>28</v>
      </c>
      <c r="I68" s="0" t="n">
        <v>1</v>
      </c>
      <c r="J68" s="0" t="n">
        <v>0</v>
      </c>
      <c r="K68" s="0" t="n">
        <v>0</v>
      </c>
      <c r="L68" s="0" t="n">
        <v>1</v>
      </c>
      <c r="M68" s="0" t="n">
        <f aca="false">VLOOKUP(A68,'Team Data'!$A$1:$P$140,2,FALSE())</f>
        <v>5</v>
      </c>
      <c r="N68" s="0" t="n">
        <f aca="false">VLOOKUP(A68,'Team Data'!$A$1:$P$140,3,FALSE())</f>
        <v>80</v>
      </c>
      <c r="O68" s="0" t="n">
        <f aca="false">VLOOKUP(B68,'Team Data'!$A$1:$P$140,2,FALSE())</f>
        <v>1</v>
      </c>
      <c r="P68" s="0" t="n">
        <f aca="false">VLOOKUP(B68,'Team Data'!$A$1:$P$140,3,FALSE())</f>
        <v>1</v>
      </c>
      <c r="Q68" s="0" t="n">
        <f aca="false">VLOOKUP(A68,'Team Data'!$A$1:$P$140,4,FALSE())</f>
        <v>113</v>
      </c>
      <c r="R68" s="0" t="n">
        <f aca="false">VLOOKUP(A68,'Team Data'!$A$1:$P$140,5,FALSE())</f>
        <v>61</v>
      </c>
      <c r="S68" s="0" t="n">
        <f aca="false">VLOOKUP(B68,'Team Data'!$A$1:$P$140,4,FALSE())</f>
        <v>7</v>
      </c>
      <c r="T68" s="0" t="n">
        <f aca="false">VLOOKUP(B68,'Team Data'!$A$1:$P$140,5,FALSE())</f>
        <v>80</v>
      </c>
      <c r="U68" s="0" t="n">
        <f aca="false">IF(K68=1,(MIN(35,(C68-D68)))*(O68/(O68+P68))*(S68/(S68+T68)),(MAX(-35,(C68-D68)))*(IF(P68=0,0.1,(P68/(O68+P68))))*(T68/(S68+T68)))</f>
        <v>-12.8735632183908</v>
      </c>
      <c r="V68" s="0" t="n">
        <f aca="false">IF(L68=1,(MIN(35,(D68-C68)))*(M68/(M68+N68))*(Q68/(Q68+R68)),(MAX(-35,(D68-C68)))*(IF(N68=0,0.1,(N68/(M68+N68))))*(R68/(R68+Q68)))</f>
        <v>1.06964164976335</v>
      </c>
    </row>
    <row r="69" customFormat="false" ht="15" hidden="false" customHeight="false" outlineLevel="0" collapsed="false">
      <c r="A69" s="0" t="s">
        <v>198</v>
      </c>
      <c r="B69" s="0" t="s">
        <v>111</v>
      </c>
      <c r="C69" s="0" t="n">
        <v>14</v>
      </c>
      <c r="D69" s="0" t="n">
        <v>38</v>
      </c>
      <c r="E69" s="0" t="n">
        <v>97</v>
      </c>
      <c r="F69" s="0" t="n">
        <v>227</v>
      </c>
      <c r="G69" s="0" t="n">
        <v>195</v>
      </c>
      <c r="H69" s="0" t="n">
        <v>142</v>
      </c>
      <c r="I69" s="0" t="n">
        <v>3</v>
      </c>
      <c r="J69" s="0" t="n">
        <v>1</v>
      </c>
      <c r="K69" s="0" t="n">
        <v>0</v>
      </c>
      <c r="L69" s="0" t="n">
        <v>1</v>
      </c>
      <c r="M69" s="0" t="n">
        <f aca="false">VLOOKUP(A69,'Team Data'!$A$1:$P$140,2,FALSE())</f>
        <v>5</v>
      </c>
      <c r="N69" s="0" t="n">
        <f aca="false">VLOOKUP(A69,'Team Data'!$A$1:$P$140,3,FALSE())</f>
        <v>80</v>
      </c>
      <c r="O69" s="0" t="n">
        <f aca="false">VLOOKUP(B69,'Team Data'!$A$1:$P$140,2,FALSE())</f>
        <v>1</v>
      </c>
      <c r="P69" s="0" t="n">
        <f aca="false">VLOOKUP(B69,'Team Data'!$A$1:$P$140,3,FALSE())</f>
        <v>1</v>
      </c>
      <c r="Q69" s="0" t="n">
        <f aca="false">VLOOKUP(A69,'Team Data'!$A$1:$P$140,4,FALSE())</f>
        <v>113</v>
      </c>
      <c r="R69" s="0" t="n">
        <f aca="false">VLOOKUP(A69,'Team Data'!$A$1:$P$140,5,FALSE())</f>
        <v>61</v>
      </c>
      <c r="S69" s="0" t="n">
        <f aca="false">VLOOKUP(B69,'Team Data'!$A$1:$P$140,4,FALSE())</f>
        <v>7</v>
      </c>
      <c r="T69" s="0" t="n">
        <f aca="false">VLOOKUP(B69,'Team Data'!$A$1:$P$140,5,FALSE())</f>
        <v>80</v>
      </c>
      <c r="U69" s="0" t="n">
        <f aca="false">IF(K69=1,(MIN(35,(C69-D69)))*(O69/(O69+P69))*(S69/(S69+T69)),(MAX(-35,(C69-D69)))*(IF(P69=0,0.1,(P69/(O69+P69))))*(T69/(S69+T69)))</f>
        <v>-11.0344827586207</v>
      </c>
      <c r="V69" s="0" t="n">
        <f aca="false">IF(L69=1,(MIN(35,(D69-C69)))*(M69/(M69+N69))*(Q69/(Q69+R69)),(MAX(-35,(D69-C69)))*(IF(N69=0,0.1,(N69/(M69+N69))))*(R69/(R69+Q69)))</f>
        <v>0.91683569979716</v>
      </c>
    </row>
    <row r="70" customFormat="false" ht="15" hidden="false" customHeight="false" outlineLevel="0" collapsed="false">
      <c r="A70" s="0" t="s">
        <v>35</v>
      </c>
      <c r="B70" s="0" t="s">
        <v>128</v>
      </c>
      <c r="C70" s="0" t="n">
        <v>9</v>
      </c>
      <c r="D70" s="0" t="n">
        <v>19</v>
      </c>
      <c r="E70" s="0" t="n">
        <v>80</v>
      </c>
      <c r="F70" s="0" t="n">
        <v>108</v>
      </c>
      <c r="G70" s="0" t="n">
        <v>301</v>
      </c>
      <c r="H70" s="0" t="n">
        <v>100</v>
      </c>
      <c r="I70" s="0" t="n">
        <v>3</v>
      </c>
      <c r="J70" s="0" t="n">
        <v>0</v>
      </c>
      <c r="K70" s="0" t="n">
        <v>0</v>
      </c>
      <c r="L70" s="0" t="n">
        <v>1</v>
      </c>
      <c r="M70" s="0" t="n">
        <f aca="false">VLOOKUP(A70,'Team Data'!$A$1:$P$140,2,FALSE())</f>
        <v>1</v>
      </c>
      <c r="N70" s="0" t="n">
        <f aca="false">VLOOKUP(A70,'Team Data'!$A$1:$P$140,3,FALSE())</f>
        <v>1</v>
      </c>
      <c r="O70" s="0" t="n">
        <f aca="false">VLOOKUP(B70,'Team Data'!$A$1:$P$140,2,FALSE())</f>
        <v>2</v>
      </c>
      <c r="P70" s="0" t="n">
        <f aca="false">VLOOKUP(B70,'Team Data'!$A$1:$P$140,3,FALSE())</f>
        <v>0</v>
      </c>
      <c r="Q70" s="0" t="n">
        <f aca="false">VLOOKUP(A70,'Team Data'!$A$1:$P$140,4,FALSE())</f>
        <v>3</v>
      </c>
      <c r="R70" s="0" t="n">
        <f aca="false">VLOOKUP(A70,'Team Data'!$A$1:$P$140,5,FALSE())</f>
        <v>1</v>
      </c>
      <c r="S70" s="0" t="n">
        <f aca="false">VLOOKUP(B70,'Team Data'!$A$1:$P$140,4,FALSE())</f>
        <v>2</v>
      </c>
      <c r="T70" s="0" t="n">
        <f aca="false">VLOOKUP(B70,'Team Data'!$A$1:$P$140,5,FALSE())</f>
        <v>2</v>
      </c>
      <c r="U70" s="0" t="n">
        <f aca="false">IF(K70=1,(MIN(35,(C70-D70)))*(O70/(O70+P70))*(S70/(S70+T70)),(MAX(-35,(C70-D70)))*(IF(P70=0,0.1,(P70/(O70+P70))))*(T70/(S70+T70)))</f>
        <v>-0.5</v>
      </c>
      <c r="V70" s="0" t="n">
        <f aca="false">IF(L70=1,(MIN(35,(D70-C70)))*(M70/(M70+N70))*(Q70/(Q70+R70)),(MAX(-35,(D70-C70)))*(IF(N70=0,0.1,(N70/(M70+N70))))*(R70/(R70+Q70)))</f>
        <v>3.75</v>
      </c>
    </row>
    <row r="71" customFormat="false" ht="15" hidden="false" customHeight="false" outlineLevel="0" collapsed="false">
      <c r="A71" s="0" t="s">
        <v>198</v>
      </c>
      <c r="B71" s="0" t="s">
        <v>130</v>
      </c>
      <c r="C71" s="0" t="n">
        <v>16</v>
      </c>
      <c r="D71" s="0" t="n">
        <v>45</v>
      </c>
      <c r="E71" s="0" t="n">
        <v>177</v>
      </c>
      <c r="F71" s="0" t="n">
        <v>250</v>
      </c>
      <c r="G71" s="0" t="n">
        <v>245</v>
      </c>
      <c r="H71" s="0" t="n">
        <v>275</v>
      </c>
      <c r="I71" s="0" t="n">
        <v>2</v>
      </c>
      <c r="J71" s="0" t="n">
        <v>0</v>
      </c>
      <c r="K71" s="0" t="n">
        <v>0</v>
      </c>
      <c r="L71" s="0" t="n">
        <v>1</v>
      </c>
      <c r="M71" s="0" t="n">
        <f aca="false">VLOOKUP(A71,'Team Data'!$A$1:$P$140,2,FALSE())</f>
        <v>5</v>
      </c>
      <c r="N71" s="0" t="n">
        <f aca="false">VLOOKUP(A71,'Team Data'!$A$1:$P$140,3,FALSE())</f>
        <v>80</v>
      </c>
      <c r="O71" s="0" t="n">
        <f aca="false">VLOOKUP(B71,'Team Data'!$A$1:$P$140,2,FALSE())</f>
        <v>2</v>
      </c>
      <c r="P71" s="0" t="n">
        <f aca="false">VLOOKUP(B71,'Team Data'!$A$1:$P$140,3,FALSE())</f>
        <v>0</v>
      </c>
      <c r="Q71" s="0" t="n">
        <f aca="false">VLOOKUP(A71,'Team Data'!$A$1:$P$140,4,FALSE())</f>
        <v>113</v>
      </c>
      <c r="R71" s="0" t="n">
        <f aca="false">VLOOKUP(A71,'Team Data'!$A$1:$P$140,5,FALSE())</f>
        <v>61</v>
      </c>
      <c r="S71" s="0" t="n">
        <f aca="false">VLOOKUP(B71,'Team Data'!$A$1:$P$140,4,FALSE())</f>
        <v>5</v>
      </c>
      <c r="T71" s="0" t="n">
        <f aca="false">VLOOKUP(B71,'Team Data'!$A$1:$P$140,5,FALSE())</f>
        <v>82</v>
      </c>
      <c r="U71" s="0" t="n">
        <f aca="false">IF(K71=1,(MIN(35,(C71-D71)))*(O71/(O71+P71))*(S71/(S71+T71)),(MAX(-35,(C71-D71)))*(IF(P71=0,0.1,(P71/(O71+P71))))*(T71/(S71+T71)))</f>
        <v>-2.73333333333333</v>
      </c>
      <c r="V71" s="0" t="n">
        <f aca="false">IF(L71=1,(MIN(35,(D71-C71)))*(M71/(M71+N71))*(Q71/(Q71+R71)),(MAX(-35,(D71-C71)))*(IF(N71=0,0.1,(N71/(M71+N71))))*(R71/(R71+Q71)))</f>
        <v>1.1078431372549</v>
      </c>
    </row>
    <row r="72" customFormat="false" ht="15" hidden="false" customHeight="false" outlineLevel="0" collapsed="false">
      <c r="A72" s="0" t="s">
        <v>198</v>
      </c>
      <c r="B72" s="0" t="s">
        <v>14</v>
      </c>
      <c r="C72" s="0" t="n">
        <v>3</v>
      </c>
      <c r="D72" s="0" t="n">
        <v>59</v>
      </c>
      <c r="E72" s="0" t="n">
        <v>67</v>
      </c>
      <c r="F72" s="0" t="n">
        <v>569</v>
      </c>
      <c r="G72" s="0" t="n">
        <v>98</v>
      </c>
      <c r="H72" s="0" t="n">
        <v>79</v>
      </c>
      <c r="I72" s="0" t="n">
        <v>0</v>
      </c>
      <c r="J72" s="0" t="n">
        <v>0</v>
      </c>
      <c r="K72" s="0" t="n">
        <v>0</v>
      </c>
      <c r="L72" s="0" t="n">
        <v>1</v>
      </c>
      <c r="M72" s="0" t="n">
        <f aca="false">VLOOKUP(A72,'Team Data'!$A$1:$P$140,2,FALSE())</f>
        <v>5</v>
      </c>
      <c r="N72" s="0" t="n">
        <f aca="false">VLOOKUP(A72,'Team Data'!$A$1:$P$140,3,FALSE())</f>
        <v>80</v>
      </c>
      <c r="O72" s="0" t="n">
        <f aca="false">VLOOKUP(B72,'Team Data'!$A$1:$P$140,2,FALSE())</f>
        <v>1</v>
      </c>
      <c r="P72" s="0" t="n">
        <f aca="false">VLOOKUP(B72,'Team Data'!$A$1:$P$140,3,FALSE())</f>
        <v>1</v>
      </c>
      <c r="Q72" s="0" t="n">
        <f aca="false">VLOOKUP(A72,'Team Data'!$A$1:$P$140,4,FALSE())</f>
        <v>113</v>
      </c>
      <c r="R72" s="0" t="n">
        <f aca="false">VLOOKUP(A72,'Team Data'!$A$1:$P$140,5,FALSE())</f>
        <v>61</v>
      </c>
      <c r="S72" s="0" t="n">
        <f aca="false">VLOOKUP(B72,'Team Data'!$A$1:$P$140,4,FALSE())</f>
        <v>7</v>
      </c>
      <c r="T72" s="0" t="n">
        <f aca="false">VLOOKUP(B72,'Team Data'!$A$1:$P$140,5,FALSE())</f>
        <v>80</v>
      </c>
      <c r="U72" s="0" t="n">
        <f aca="false">IF(K72=1,(MIN(35,(C72-D72)))*(O72/(O72+P72))*(S72/(S72+T72)),(MAX(-35,(C72-D72)))*(IF(P72=0,0.1,(P72/(O72+P72))))*(T72/(S72+T72)))</f>
        <v>-16.0919540229885</v>
      </c>
      <c r="V72" s="0" t="n">
        <f aca="false">IF(L72=1,(MIN(35,(D72-C72)))*(M72/(M72+N72))*(Q72/(Q72+R72)),(MAX(-35,(D72-C72)))*(IF(N72=0,0.1,(N72/(M72+N72))))*(R72/(R72+Q72)))</f>
        <v>1.33705206220419</v>
      </c>
    </row>
    <row r="73" customFormat="false" ht="15" hidden="false" customHeight="false" outlineLevel="0" collapsed="false">
      <c r="A73" s="0" t="s">
        <v>198</v>
      </c>
      <c r="B73" s="0" t="s">
        <v>31</v>
      </c>
      <c r="C73" s="0" t="n">
        <v>7</v>
      </c>
      <c r="D73" s="0" t="n">
        <v>42</v>
      </c>
      <c r="E73" s="0" t="n">
        <v>48</v>
      </c>
      <c r="F73" s="0" t="n">
        <v>112</v>
      </c>
      <c r="G73" s="0" t="n">
        <v>196</v>
      </c>
      <c r="H73" s="0" t="n">
        <v>435</v>
      </c>
      <c r="I73" s="0" t="n">
        <v>2</v>
      </c>
      <c r="J73" s="0" t="n">
        <v>1</v>
      </c>
      <c r="K73" s="0" t="n">
        <v>0</v>
      </c>
      <c r="L73" s="0" t="n">
        <v>1</v>
      </c>
      <c r="M73" s="0" t="n">
        <f aca="false">VLOOKUP(A73,'Team Data'!$A$1:$P$140,2,FALSE())</f>
        <v>5</v>
      </c>
      <c r="N73" s="0" t="n">
        <f aca="false">VLOOKUP(A73,'Team Data'!$A$1:$P$140,3,FALSE())</f>
        <v>80</v>
      </c>
      <c r="O73" s="0" t="n">
        <f aca="false">VLOOKUP(B73,'Team Data'!$A$1:$P$140,2,FALSE())</f>
        <v>1</v>
      </c>
      <c r="P73" s="0" t="n">
        <f aca="false">VLOOKUP(B73,'Team Data'!$A$1:$P$140,3,FALSE())</f>
        <v>1</v>
      </c>
      <c r="Q73" s="0" t="n">
        <f aca="false">VLOOKUP(A73,'Team Data'!$A$1:$P$140,4,FALSE())</f>
        <v>113</v>
      </c>
      <c r="R73" s="0" t="n">
        <f aca="false">VLOOKUP(A73,'Team Data'!$A$1:$P$140,5,FALSE())</f>
        <v>61</v>
      </c>
      <c r="S73" s="0" t="n">
        <f aca="false">VLOOKUP(B73,'Team Data'!$A$1:$P$140,4,FALSE())</f>
        <v>7</v>
      </c>
      <c r="T73" s="0" t="n">
        <f aca="false">VLOOKUP(B73,'Team Data'!$A$1:$P$140,5,FALSE())</f>
        <v>80</v>
      </c>
      <c r="U73" s="0" t="n">
        <f aca="false">IF(K73=1,(MIN(35,(C73-D73)))*(O73/(O73+P73))*(S73/(S73+T73)),(MAX(-35,(C73-D73)))*(IF(P73=0,0.1,(P73/(O73+P73))))*(T73/(S73+T73)))</f>
        <v>-16.0919540229885</v>
      </c>
      <c r="V73" s="0" t="n">
        <f aca="false">IF(L73=1,(MIN(35,(D73-C73)))*(M73/(M73+N73))*(Q73/(Q73+R73)),(MAX(-35,(D73-C73)))*(IF(N73=0,0.1,(N73/(M73+N73))))*(R73/(R73+Q73)))</f>
        <v>1.33705206220419</v>
      </c>
    </row>
    <row r="74" customFormat="false" ht="15" hidden="false" customHeight="false" outlineLevel="0" collapsed="false">
      <c r="A74" s="0" t="s">
        <v>198</v>
      </c>
      <c r="B74" s="0" t="s">
        <v>54</v>
      </c>
      <c r="C74" s="0" t="n">
        <v>0</v>
      </c>
      <c r="D74" s="0" t="n">
        <v>47</v>
      </c>
      <c r="E74" s="0" t="n">
        <v>49</v>
      </c>
      <c r="F74" s="0" t="n">
        <v>297</v>
      </c>
      <c r="G74" s="0" t="n">
        <v>111</v>
      </c>
      <c r="H74" s="0" t="n">
        <v>211</v>
      </c>
      <c r="I74" s="0" t="n">
        <v>2</v>
      </c>
      <c r="J74" s="0" t="n">
        <v>2</v>
      </c>
      <c r="K74" s="0" t="n">
        <v>0</v>
      </c>
      <c r="L74" s="0" t="n">
        <v>1</v>
      </c>
      <c r="M74" s="0" t="n">
        <f aca="false">VLOOKUP(A74,'Team Data'!$A$1:$P$140,2,FALSE())</f>
        <v>5</v>
      </c>
      <c r="N74" s="0" t="n">
        <f aca="false">VLOOKUP(A74,'Team Data'!$A$1:$P$140,3,FALSE())</f>
        <v>80</v>
      </c>
      <c r="O74" s="0" t="n">
        <f aca="false">VLOOKUP(B74,'Team Data'!$A$1:$P$140,2,FALSE())</f>
        <v>1</v>
      </c>
      <c r="P74" s="0" t="n">
        <f aca="false">VLOOKUP(B74,'Team Data'!$A$1:$P$140,3,FALSE())</f>
        <v>1</v>
      </c>
      <c r="Q74" s="0" t="n">
        <f aca="false">VLOOKUP(A74,'Team Data'!$A$1:$P$140,4,FALSE())</f>
        <v>113</v>
      </c>
      <c r="R74" s="0" t="n">
        <f aca="false">VLOOKUP(A74,'Team Data'!$A$1:$P$140,5,FALSE())</f>
        <v>61</v>
      </c>
      <c r="S74" s="0" t="n">
        <f aca="false">VLOOKUP(B74,'Team Data'!$A$1:$P$140,4,FALSE())</f>
        <v>7</v>
      </c>
      <c r="T74" s="0" t="n">
        <f aca="false">VLOOKUP(B74,'Team Data'!$A$1:$P$140,5,FALSE())</f>
        <v>80</v>
      </c>
      <c r="U74" s="0" t="n">
        <f aca="false">IF(K74=1,(MIN(35,(C74-D74)))*(O74/(O74+P74))*(S74/(S74+T74)),(MAX(-35,(C74-D74)))*(IF(P74=0,0.1,(P74/(O74+P74))))*(T74/(S74+T74)))</f>
        <v>-16.0919540229885</v>
      </c>
      <c r="V74" s="0" t="n">
        <f aca="false">IF(L74=1,(MIN(35,(D74-C74)))*(M74/(M74+N74))*(Q74/(Q74+R74)),(MAX(-35,(D74-C74)))*(IF(N74=0,0.1,(N74/(M74+N74))))*(R74/(R74+Q74)))</f>
        <v>1.33705206220419</v>
      </c>
    </row>
    <row r="75" customFormat="false" ht="15" hidden="false" customHeight="false" outlineLevel="0" collapsed="false">
      <c r="A75" s="0" t="s">
        <v>140</v>
      </c>
      <c r="B75" s="0" t="s">
        <v>78</v>
      </c>
      <c r="C75" s="0" t="n">
        <v>14</v>
      </c>
      <c r="D75" s="0" t="n">
        <v>49</v>
      </c>
      <c r="E75" s="0" t="n">
        <v>164</v>
      </c>
      <c r="F75" s="0" t="n">
        <v>323</v>
      </c>
      <c r="G75" s="0" t="n">
        <v>203</v>
      </c>
      <c r="H75" s="0" t="n">
        <v>163</v>
      </c>
      <c r="I75" s="0" t="n">
        <v>2</v>
      </c>
      <c r="J75" s="0" t="n">
        <v>1</v>
      </c>
      <c r="K75" s="0" t="n">
        <v>0</v>
      </c>
      <c r="L75" s="0" t="n">
        <v>1</v>
      </c>
      <c r="M75" s="0" t="n">
        <f aca="false">VLOOKUP(A75,'Team Data'!$A$1:$P$140,2,FALSE())</f>
        <v>0</v>
      </c>
      <c r="N75" s="0" t="n">
        <f aca="false">VLOOKUP(A75,'Team Data'!$A$1:$P$140,3,FALSE())</f>
        <v>2</v>
      </c>
      <c r="O75" s="0" t="n">
        <f aca="false">VLOOKUP(B75,'Team Data'!$A$1:$P$140,2,FALSE())</f>
        <v>1</v>
      </c>
      <c r="P75" s="0" t="n">
        <f aca="false">VLOOKUP(B75,'Team Data'!$A$1:$P$140,3,FALSE())</f>
        <v>1</v>
      </c>
      <c r="Q75" s="0" t="n">
        <f aca="false">VLOOKUP(A75,'Team Data'!$A$1:$P$140,4,FALSE())</f>
        <v>3</v>
      </c>
      <c r="R75" s="0" t="n">
        <f aca="false">VLOOKUP(A75,'Team Data'!$A$1:$P$140,5,FALSE())</f>
        <v>1</v>
      </c>
      <c r="S75" s="0" t="n">
        <f aca="false">VLOOKUP(B75,'Team Data'!$A$1:$P$140,4,FALSE())</f>
        <v>5</v>
      </c>
      <c r="T75" s="0" t="n">
        <f aca="false">VLOOKUP(B75,'Team Data'!$A$1:$P$140,5,FALSE())</f>
        <v>82</v>
      </c>
      <c r="U75" s="0" t="n">
        <f aca="false">IF(K75=1,(MIN(35,(C75-D75)))*(O75/(O75+P75))*(S75/(S75+T75)),(MAX(-35,(C75-D75)))*(IF(P75=0,0.1,(P75/(O75+P75))))*(T75/(S75+T75)))</f>
        <v>-16.4942528735632</v>
      </c>
      <c r="V75" s="0" t="n">
        <f aca="false">IF(L75=1,(MIN(35,(D75-C75)))*(M75/(M75+N75))*(Q75/(Q75+R75)),(MAX(-35,(D75-C75)))*(IF(N75=0,0.1,(N75/(M75+N75))))*(R75/(R75+Q75)))</f>
        <v>0</v>
      </c>
    </row>
    <row r="76" customFormat="false" ht="15" hidden="false" customHeight="false" outlineLevel="0" collapsed="false">
      <c r="A76" s="0" t="s">
        <v>104</v>
      </c>
      <c r="B76" s="0" t="s">
        <v>127</v>
      </c>
      <c r="C76" s="0" t="n">
        <v>26</v>
      </c>
      <c r="D76" s="0" t="n">
        <v>42</v>
      </c>
      <c r="E76" s="0" t="n">
        <v>102</v>
      </c>
      <c r="F76" s="0" t="n">
        <v>164</v>
      </c>
      <c r="G76" s="0" t="n">
        <v>234</v>
      </c>
      <c r="H76" s="0" t="n">
        <v>341</v>
      </c>
      <c r="I76" s="0" t="n">
        <v>0</v>
      </c>
      <c r="J76" s="0" t="n">
        <v>1</v>
      </c>
      <c r="K76" s="0" t="n">
        <v>0</v>
      </c>
      <c r="L76" s="0" t="n">
        <v>1</v>
      </c>
      <c r="M76" s="0" t="n">
        <f aca="false">VLOOKUP(A76,'Team Data'!$A$1:$P$140,2,FALSE())</f>
        <v>2</v>
      </c>
      <c r="N76" s="0" t="n">
        <f aca="false">VLOOKUP(A76,'Team Data'!$A$1:$P$140,3,FALSE())</f>
        <v>1</v>
      </c>
      <c r="O76" s="0" t="n">
        <f aca="false">VLOOKUP(B76,'Team Data'!$A$1:$P$140,2,FALSE())</f>
        <v>3</v>
      </c>
      <c r="P76" s="0" t="n">
        <f aca="false">VLOOKUP(B76,'Team Data'!$A$1:$P$140,3,FALSE())</f>
        <v>0</v>
      </c>
      <c r="Q76" s="0" t="n">
        <f aca="false">VLOOKUP(A76,'Team Data'!$A$1:$P$140,4,FALSE())</f>
        <v>9</v>
      </c>
      <c r="R76" s="0" t="n">
        <f aca="false">VLOOKUP(A76,'Team Data'!$A$1:$P$140,5,FALSE())</f>
        <v>82</v>
      </c>
      <c r="S76" s="0" t="n">
        <f aca="false">VLOOKUP(B76,'Team Data'!$A$1:$P$140,4,FALSE())</f>
        <v>4</v>
      </c>
      <c r="T76" s="0" t="n">
        <f aca="false">VLOOKUP(B76,'Team Data'!$A$1:$P$140,5,FALSE())</f>
        <v>3</v>
      </c>
      <c r="U76" s="0" t="n">
        <f aca="false">IF(K76=1,(MIN(35,(C76-D76)))*(O76/(O76+P76))*(S76/(S76+T76)),(MAX(-35,(C76-D76)))*(IF(P76=0,0.1,(P76/(O76+P76))))*(T76/(S76+T76)))</f>
        <v>-0.685714285714286</v>
      </c>
      <c r="V76" s="0" t="n">
        <f aca="false">IF(L76=1,(MIN(35,(D76-C76)))*(M76/(M76+N76))*(Q76/(Q76+R76)),(MAX(-35,(D76-C76)))*(IF(N76=0,0.1,(N76/(M76+N76))))*(R76/(R76+Q76)))</f>
        <v>1.05494505494505</v>
      </c>
    </row>
    <row r="77" customFormat="false" ht="15" hidden="false" customHeight="false" outlineLevel="0" collapsed="false">
      <c r="A77" s="0" t="s">
        <v>104</v>
      </c>
      <c r="B77" s="0" t="s">
        <v>34</v>
      </c>
      <c r="C77" s="0" t="n">
        <v>27</v>
      </c>
      <c r="D77" s="0" t="n">
        <v>21</v>
      </c>
      <c r="E77" s="0" t="n">
        <v>137</v>
      </c>
      <c r="F77" s="0" t="n">
        <v>107</v>
      </c>
      <c r="G77" s="0" t="n">
        <v>316</v>
      </c>
      <c r="H77" s="0" t="n">
        <v>174</v>
      </c>
      <c r="I77" s="0" t="n">
        <v>2</v>
      </c>
      <c r="J77" s="0" t="n">
        <v>1</v>
      </c>
      <c r="K77" s="0" t="n">
        <v>1</v>
      </c>
      <c r="L77" s="0" t="n">
        <v>0</v>
      </c>
      <c r="M77" s="0" t="n">
        <f aca="false">VLOOKUP(A77,'Team Data'!$A$1:$P$140,2,FALSE())</f>
        <v>2</v>
      </c>
      <c r="N77" s="0" t="n">
        <f aca="false">VLOOKUP(A77,'Team Data'!$A$1:$P$140,3,FALSE())</f>
        <v>1</v>
      </c>
      <c r="O77" s="0" t="n">
        <f aca="false">VLOOKUP(B77,'Team Data'!$A$1:$P$140,2,FALSE())</f>
        <v>1</v>
      </c>
      <c r="P77" s="0" t="n">
        <f aca="false">VLOOKUP(B77,'Team Data'!$A$1:$P$140,3,FALSE())</f>
        <v>2</v>
      </c>
      <c r="Q77" s="0" t="n">
        <f aca="false">VLOOKUP(A77,'Team Data'!$A$1:$P$140,4,FALSE())</f>
        <v>9</v>
      </c>
      <c r="R77" s="0" t="n">
        <f aca="false">VLOOKUP(A77,'Team Data'!$A$1:$P$140,5,FALSE())</f>
        <v>82</v>
      </c>
      <c r="S77" s="0" t="n">
        <f aca="false">VLOOKUP(B77,'Team Data'!$A$1:$P$140,4,FALSE())</f>
        <v>5</v>
      </c>
      <c r="T77" s="0" t="n">
        <f aca="false">VLOOKUP(B77,'Team Data'!$A$1:$P$140,5,FALSE())</f>
        <v>3</v>
      </c>
      <c r="U77" s="0" t="n">
        <f aca="false">IF(K77=1,(MIN(35,(C77-D77)))*(O77/(O77+P77))*(S77/(S77+T77)),(MAX(-35,(C77-D77)))*(IF(P77=0,0.1,(P77/(O77+P77))))*(T77/(S77+T77)))</f>
        <v>1.25</v>
      </c>
      <c r="V77" s="0" t="n">
        <f aca="false">IF(L77=1,(MIN(35,(D77-C77)))*(M77/(M77+N77))*(Q77/(Q77+R77)),(MAX(-35,(D77-C77)))*(IF(N77=0,0.1,(N77/(M77+N77))))*(R77/(R77+Q77)))</f>
        <v>-1.8021978021978</v>
      </c>
    </row>
    <row r="78" customFormat="false" ht="15" hidden="false" customHeight="false" outlineLevel="0" collapsed="false">
      <c r="A78" s="0" t="s">
        <v>198</v>
      </c>
      <c r="B78" s="0" t="s">
        <v>6</v>
      </c>
      <c r="C78" s="0" t="n">
        <v>0</v>
      </c>
      <c r="D78" s="0" t="n">
        <v>34</v>
      </c>
      <c r="E78" s="0" t="n">
        <v>54</v>
      </c>
      <c r="F78" s="0" t="n">
        <v>431</v>
      </c>
      <c r="G78" s="0" t="n">
        <v>53</v>
      </c>
      <c r="H78" s="0" t="n">
        <v>19</v>
      </c>
      <c r="I78" s="0" t="n">
        <v>2</v>
      </c>
      <c r="J78" s="0" t="n">
        <v>0</v>
      </c>
      <c r="K78" s="0" t="n">
        <v>0</v>
      </c>
      <c r="L78" s="0" t="n">
        <v>1</v>
      </c>
      <c r="M78" s="0" t="n">
        <f aca="false">VLOOKUP(A78,'Team Data'!$A$1:$P$140,2,FALSE())</f>
        <v>5</v>
      </c>
      <c r="N78" s="0" t="n">
        <f aca="false">VLOOKUP(A78,'Team Data'!$A$1:$P$140,3,FALSE())</f>
        <v>80</v>
      </c>
      <c r="O78" s="0" t="n">
        <f aca="false">VLOOKUP(B78,'Team Data'!$A$1:$P$140,2,FALSE())</f>
        <v>1</v>
      </c>
      <c r="P78" s="0" t="n">
        <f aca="false">VLOOKUP(B78,'Team Data'!$A$1:$P$140,3,FALSE())</f>
        <v>1</v>
      </c>
      <c r="Q78" s="0" t="n">
        <f aca="false">VLOOKUP(A78,'Team Data'!$A$1:$P$140,4,FALSE())</f>
        <v>113</v>
      </c>
      <c r="R78" s="0" t="n">
        <f aca="false">VLOOKUP(A78,'Team Data'!$A$1:$P$140,5,FALSE())</f>
        <v>61</v>
      </c>
      <c r="S78" s="0" t="n">
        <f aca="false">VLOOKUP(B78,'Team Data'!$A$1:$P$140,4,FALSE())</f>
        <v>8</v>
      </c>
      <c r="T78" s="0" t="n">
        <f aca="false">VLOOKUP(B78,'Team Data'!$A$1:$P$140,5,FALSE())</f>
        <v>80</v>
      </c>
      <c r="U78" s="0" t="n">
        <f aca="false">IF(K78=1,(MIN(35,(C78-D78)))*(O78/(O78+P78))*(S78/(S78+T78)),(MAX(-35,(C78-D78)))*(IF(P78=0,0.1,(P78/(O78+P78))))*(T78/(S78+T78)))</f>
        <v>-15.4545454545455</v>
      </c>
      <c r="V78" s="0" t="n">
        <f aca="false">IF(L78=1,(MIN(35,(D78-C78)))*(M78/(M78+N78))*(Q78/(Q78+R78)),(MAX(-35,(D78-C78)))*(IF(N78=0,0.1,(N78/(M78+N78))))*(R78/(R78+Q78)))</f>
        <v>1.29885057471264</v>
      </c>
    </row>
    <row r="79" customFormat="false" ht="15" hidden="false" customHeight="false" outlineLevel="0" collapsed="false">
      <c r="A79" s="0" t="s">
        <v>126</v>
      </c>
      <c r="B79" s="0" t="s">
        <v>44</v>
      </c>
      <c r="C79" s="0" t="n">
        <v>21</v>
      </c>
      <c r="D79" s="0" t="n">
        <v>6</v>
      </c>
      <c r="E79" s="0" t="n">
        <v>248</v>
      </c>
      <c r="F79" s="0" t="n">
        <v>118</v>
      </c>
      <c r="G79" s="0" t="n">
        <v>116</v>
      </c>
      <c r="H79" s="0" t="n">
        <v>176</v>
      </c>
      <c r="I79" s="0" t="n">
        <v>0</v>
      </c>
      <c r="J79" s="0" t="n">
        <v>1</v>
      </c>
      <c r="K79" s="0" t="n">
        <v>1</v>
      </c>
      <c r="L79" s="0" t="n">
        <v>0</v>
      </c>
      <c r="M79" s="0" t="n">
        <f aca="false">VLOOKUP(A79,'Team Data'!$A$1:$P$140,2,FALSE())</f>
        <v>1</v>
      </c>
      <c r="N79" s="0" t="n">
        <f aca="false">VLOOKUP(A79,'Team Data'!$A$1:$P$140,3,FALSE())</f>
        <v>2</v>
      </c>
      <c r="O79" s="0" t="n">
        <f aca="false">VLOOKUP(B79,'Team Data'!$A$1:$P$140,2,FALSE())</f>
        <v>1</v>
      </c>
      <c r="P79" s="0" t="n">
        <f aca="false">VLOOKUP(B79,'Team Data'!$A$1:$P$140,3,FALSE())</f>
        <v>2</v>
      </c>
      <c r="Q79" s="0" t="n">
        <f aca="false">VLOOKUP(A79,'Team Data'!$A$1:$P$140,4,FALSE())</f>
        <v>4</v>
      </c>
      <c r="R79" s="0" t="n">
        <f aca="false">VLOOKUP(A79,'Team Data'!$A$1:$P$140,5,FALSE())</f>
        <v>4</v>
      </c>
      <c r="S79" s="0" t="n">
        <f aca="false">VLOOKUP(B79,'Team Data'!$A$1:$P$140,4,FALSE())</f>
        <v>3</v>
      </c>
      <c r="T79" s="0" t="n">
        <f aca="false">VLOOKUP(B79,'Team Data'!$A$1:$P$140,5,FALSE())</f>
        <v>5</v>
      </c>
      <c r="U79" s="0" t="n">
        <f aca="false">IF(K79=1,(MIN(35,(C79-D79)))*(O79/(O79+P79))*(S79/(S79+T79)),(MAX(-35,(C79-D79)))*(IF(P79=0,0.1,(P79/(O79+P79))))*(T79/(S79+T79)))</f>
        <v>1.875</v>
      </c>
      <c r="V79" s="0" t="n">
        <f aca="false">IF(L79=1,(MIN(35,(D79-C79)))*(M79/(M79+N79))*(Q79/(Q79+R79)),(MAX(-35,(D79-C79)))*(IF(N79=0,0.1,(N79/(M79+N79))))*(R79/(R79+Q79)))</f>
        <v>-5</v>
      </c>
    </row>
    <row r="80" customFormat="false" ht="15" hidden="false" customHeight="false" outlineLevel="0" collapsed="false">
      <c r="A80" s="0" t="s">
        <v>24</v>
      </c>
      <c r="B80" s="0" t="s">
        <v>79</v>
      </c>
      <c r="C80" s="0" t="n">
        <v>7</v>
      </c>
      <c r="D80" s="0" t="n">
        <v>38</v>
      </c>
      <c r="E80" s="0" t="n">
        <v>119</v>
      </c>
      <c r="F80" s="0" t="n">
        <v>205</v>
      </c>
      <c r="G80" s="0" t="n">
        <v>30</v>
      </c>
      <c r="H80" s="0" t="n">
        <v>159</v>
      </c>
      <c r="I80" s="0" t="n">
        <v>2</v>
      </c>
      <c r="J80" s="0" t="n">
        <v>0</v>
      </c>
      <c r="K80" s="0" t="n">
        <v>0</v>
      </c>
      <c r="L80" s="0" t="n">
        <v>1</v>
      </c>
      <c r="M80" s="0" t="n">
        <f aca="false">VLOOKUP(A80,'Team Data'!$A$1:$P$140,2,FALSE())</f>
        <v>1</v>
      </c>
      <c r="N80" s="0" t="n">
        <f aca="false">VLOOKUP(A80,'Team Data'!$A$1:$P$140,3,FALSE())</f>
        <v>1</v>
      </c>
      <c r="O80" s="0" t="n">
        <f aca="false">VLOOKUP(B80,'Team Data'!$A$1:$P$140,2,FALSE())</f>
        <v>2</v>
      </c>
      <c r="P80" s="0" t="n">
        <f aca="false">VLOOKUP(B80,'Team Data'!$A$1:$P$140,3,FALSE())</f>
        <v>0</v>
      </c>
      <c r="Q80" s="0" t="n">
        <f aca="false">VLOOKUP(A80,'Team Data'!$A$1:$P$140,4,FALSE())</f>
        <v>7</v>
      </c>
      <c r="R80" s="0" t="n">
        <f aca="false">VLOOKUP(A80,'Team Data'!$A$1:$P$140,5,FALSE())</f>
        <v>80</v>
      </c>
      <c r="S80" s="0" t="n">
        <f aca="false">VLOOKUP(B80,'Team Data'!$A$1:$P$140,4,FALSE())</f>
        <v>6</v>
      </c>
      <c r="T80" s="0" t="n">
        <f aca="false">VLOOKUP(B80,'Team Data'!$A$1:$P$140,5,FALSE())</f>
        <v>81</v>
      </c>
      <c r="U80" s="0" t="n">
        <f aca="false">IF(K80=1,(MIN(35,(C80-D80)))*(O80/(O80+P80))*(S80/(S80+T80)),(MAX(-35,(C80-D80)))*(IF(P80=0,0.1,(P80/(O80+P80))))*(T80/(S80+T80)))</f>
        <v>-2.88620689655172</v>
      </c>
      <c r="V80" s="0" t="n">
        <f aca="false">IF(L80=1,(MIN(35,(D80-C80)))*(M80/(M80+N80))*(Q80/(Q80+R80)),(MAX(-35,(D80-C80)))*(IF(N80=0,0.1,(N80/(M80+N80))))*(R80/(R80+Q80)))</f>
        <v>1.24712643678161</v>
      </c>
    </row>
    <row r="81" customFormat="false" ht="15" hidden="false" customHeight="false" outlineLevel="0" collapsed="false">
      <c r="A81" s="0" t="s">
        <v>198</v>
      </c>
      <c r="B81" s="0" t="s">
        <v>82</v>
      </c>
      <c r="C81" s="0" t="n">
        <v>0</v>
      </c>
      <c r="D81" s="0" t="n">
        <v>38</v>
      </c>
      <c r="E81" s="0" t="n">
        <v>19</v>
      </c>
      <c r="F81" s="0" t="n">
        <v>128</v>
      </c>
      <c r="G81" s="0" t="n">
        <v>116</v>
      </c>
      <c r="H81" s="0" t="n">
        <v>245</v>
      </c>
      <c r="I81" s="0" t="n">
        <v>4</v>
      </c>
      <c r="J81" s="0" t="n">
        <v>0</v>
      </c>
      <c r="K81" s="0" t="n">
        <v>0</v>
      </c>
      <c r="L81" s="0" t="n">
        <v>1</v>
      </c>
      <c r="M81" s="0" t="n">
        <f aca="false">VLOOKUP(A81,'Team Data'!$A$1:$P$140,2,FALSE())</f>
        <v>5</v>
      </c>
      <c r="N81" s="0" t="n">
        <f aca="false">VLOOKUP(A81,'Team Data'!$A$1:$P$140,3,FALSE())</f>
        <v>80</v>
      </c>
      <c r="O81" s="0" t="n">
        <f aca="false">VLOOKUP(B81,'Team Data'!$A$1:$P$140,2,FALSE())</f>
        <v>3</v>
      </c>
      <c r="P81" s="0" t="n">
        <f aca="false">VLOOKUP(B81,'Team Data'!$A$1:$P$140,3,FALSE())</f>
        <v>0</v>
      </c>
      <c r="Q81" s="0" t="n">
        <f aca="false">VLOOKUP(A81,'Team Data'!$A$1:$P$140,4,FALSE())</f>
        <v>113</v>
      </c>
      <c r="R81" s="0" t="n">
        <f aca="false">VLOOKUP(A81,'Team Data'!$A$1:$P$140,5,FALSE())</f>
        <v>61</v>
      </c>
      <c r="S81" s="0" t="n">
        <f aca="false">VLOOKUP(B81,'Team Data'!$A$1:$P$140,4,FALSE())</f>
        <v>7</v>
      </c>
      <c r="T81" s="0" t="n">
        <f aca="false">VLOOKUP(B81,'Team Data'!$A$1:$P$140,5,FALSE())</f>
        <v>83</v>
      </c>
      <c r="U81" s="0" t="n">
        <f aca="false">IF(K81=1,(MIN(35,(C81-D81)))*(O81/(O81+P81))*(S81/(S81+T81)),(MAX(-35,(C81-D81)))*(IF(P81=0,0.1,(P81/(O81+P81))))*(T81/(S81+T81)))</f>
        <v>-3.22777777777778</v>
      </c>
      <c r="V81" s="0" t="n">
        <f aca="false">IF(L81=1,(MIN(35,(D81-C81)))*(M81/(M81+N81))*(Q81/(Q81+R81)),(MAX(-35,(D81-C81)))*(IF(N81=0,0.1,(N81/(M81+N81))))*(R81/(R81+Q81)))</f>
        <v>1.33705206220419</v>
      </c>
    </row>
    <row r="82" customFormat="false" ht="15" hidden="false" customHeight="false" outlineLevel="0" collapsed="false">
      <c r="A82" s="0" t="s">
        <v>80</v>
      </c>
      <c r="B82" s="0" t="s">
        <v>38</v>
      </c>
      <c r="C82" s="0" t="n">
        <v>17</v>
      </c>
      <c r="D82" s="0" t="n">
        <v>34</v>
      </c>
      <c r="E82" s="0" t="n">
        <v>47</v>
      </c>
      <c r="F82" s="0" t="n">
        <v>217</v>
      </c>
      <c r="G82" s="0" t="n">
        <v>272</v>
      </c>
      <c r="H82" s="0" t="n">
        <v>202</v>
      </c>
      <c r="I82" s="0" t="n">
        <v>1</v>
      </c>
      <c r="J82" s="0" t="n">
        <v>1</v>
      </c>
      <c r="K82" s="0" t="n">
        <v>0</v>
      </c>
      <c r="L82" s="0" t="n">
        <v>1</v>
      </c>
      <c r="M82" s="0" t="n">
        <f aca="false">VLOOKUP(A82,'Team Data'!$A$1:$P$140,2,FALSE())</f>
        <v>1</v>
      </c>
      <c r="N82" s="0" t="n">
        <f aca="false">VLOOKUP(A82,'Team Data'!$A$1:$P$140,3,FALSE())</f>
        <v>2</v>
      </c>
      <c r="O82" s="0" t="n">
        <f aca="false">VLOOKUP(B82,'Team Data'!$A$1:$P$140,2,FALSE())</f>
        <v>1</v>
      </c>
      <c r="P82" s="0" t="n">
        <f aca="false">VLOOKUP(B82,'Team Data'!$A$1:$P$140,3,FALSE())</f>
        <v>1</v>
      </c>
      <c r="Q82" s="0" t="n">
        <f aca="false">VLOOKUP(A82,'Team Data'!$A$1:$P$140,4,FALSE())</f>
        <v>7</v>
      </c>
      <c r="R82" s="0" t="n">
        <f aca="false">VLOOKUP(A82,'Team Data'!$A$1:$P$140,5,FALSE())</f>
        <v>83</v>
      </c>
      <c r="S82" s="0" t="n">
        <f aca="false">VLOOKUP(B82,'Team Data'!$A$1:$P$140,4,FALSE())</f>
        <v>3</v>
      </c>
      <c r="T82" s="0" t="n">
        <f aca="false">VLOOKUP(B82,'Team Data'!$A$1:$P$140,5,FALSE())</f>
        <v>2</v>
      </c>
      <c r="U82" s="0" t="n">
        <f aca="false">IF(K82=1,(MIN(35,(C82-D82)))*(O82/(O82+P82))*(S82/(S82+T82)),(MAX(-35,(C82-D82)))*(IF(P82=0,0.1,(P82/(O82+P82))))*(T82/(S82+T82)))</f>
        <v>-3.4</v>
      </c>
      <c r="V82" s="0" t="n">
        <f aca="false">IF(L82=1,(MIN(35,(D82-C82)))*(M82/(M82+N82))*(Q82/(Q82+R82)),(MAX(-35,(D82-C82)))*(IF(N82=0,0.1,(N82/(M82+N82))))*(R82/(R82+Q82)))</f>
        <v>0.440740740740741</v>
      </c>
    </row>
    <row r="83" customFormat="false" ht="15" hidden="false" customHeight="false" outlineLevel="0" collapsed="false">
      <c r="A83" s="0" t="s">
        <v>50</v>
      </c>
      <c r="B83" s="0" t="s">
        <v>82</v>
      </c>
      <c r="C83" s="0" t="n">
        <v>7</v>
      </c>
      <c r="D83" s="0" t="n">
        <v>33</v>
      </c>
      <c r="E83" s="0" t="n">
        <v>85</v>
      </c>
      <c r="F83" s="0" t="n">
        <v>209</v>
      </c>
      <c r="G83" s="0" t="n">
        <v>85</v>
      </c>
      <c r="H83" s="0" t="n">
        <v>164</v>
      </c>
      <c r="I83" s="0" t="n">
        <v>2</v>
      </c>
      <c r="J83" s="0" t="n">
        <v>1</v>
      </c>
      <c r="K83" s="0" t="n">
        <v>0</v>
      </c>
      <c r="L83" s="0" t="n">
        <v>1</v>
      </c>
      <c r="M83" s="0" t="n">
        <f aca="false">VLOOKUP(A83,'Team Data'!$A$1:$P$140,2,FALSE())</f>
        <v>1</v>
      </c>
      <c r="N83" s="0" t="n">
        <f aca="false">VLOOKUP(A83,'Team Data'!$A$1:$P$140,3,FALSE())</f>
        <v>2</v>
      </c>
      <c r="O83" s="0" t="n">
        <f aca="false">VLOOKUP(B83,'Team Data'!$A$1:$P$140,2,FALSE())</f>
        <v>3</v>
      </c>
      <c r="P83" s="0" t="n">
        <f aca="false">VLOOKUP(B83,'Team Data'!$A$1:$P$140,3,FALSE())</f>
        <v>0</v>
      </c>
      <c r="Q83" s="0" t="n">
        <f aca="false">VLOOKUP(A83,'Team Data'!$A$1:$P$140,4,FALSE())</f>
        <v>9</v>
      </c>
      <c r="R83" s="0" t="n">
        <f aca="false">VLOOKUP(A83,'Team Data'!$A$1:$P$140,5,FALSE())</f>
        <v>81</v>
      </c>
      <c r="S83" s="0" t="n">
        <f aca="false">VLOOKUP(B83,'Team Data'!$A$1:$P$140,4,FALSE())</f>
        <v>7</v>
      </c>
      <c r="T83" s="0" t="n">
        <f aca="false">VLOOKUP(B83,'Team Data'!$A$1:$P$140,5,FALSE())</f>
        <v>83</v>
      </c>
      <c r="U83" s="0" t="n">
        <f aca="false">IF(K83=1,(MIN(35,(C83-D83)))*(O83/(O83+P83))*(S83/(S83+T83)),(MAX(-35,(C83-D83)))*(IF(P83=0,0.1,(P83/(O83+P83))))*(T83/(S83+T83)))</f>
        <v>-2.39777777777778</v>
      </c>
      <c r="V83" s="0" t="n">
        <f aca="false">IF(L83=1,(MIN(35,(D83-C83)))*(M83/(M83+N83))*(Q83/(Q83+R83)),(MAX(-35,(D83-C83)))*(IF(N83=0,0.1,(N83/(M83+N83))))*(R83/(R83+Q83)))</f>
        <v>0.866666666666667</v>
      </c>
    </row>
    <row r="84" customFormat="false" ht="15" hidden="false" customHeight="false" outlineLevel="0" collapsed="false">
      <c r="A84" s="0" t="s">
        <v>101</v>
      </c>
      <c r="B84" s="0" t="s">
        <v>34</v>
      </c>
      <c r="C84" s="0" t="n">
        <v>17</v>
      </c>
      <c r="D84" s="0" t="n">
        <v>28</v>
      </c>
      <c r="E84" s="0" t="n">
        <v>49</v>
      </c>
      <c r="F84" s="0" t="n">
        <v>69</v>
      </c>
      <c r="G84" s="0" t="n">
        <v>219</v>
      </c>
      <c r="H84" s="0" t="n">
        <v>279</v>
      </c>
      <c r="I84" s="0" t="n">
        <v>2</v>
      </c>
      <c r="J84" s="0" t="n">
        <v>1</v>
      </c>
      <c r="K84" s="0" t="n">
        <v>0</v>
      </c>
      <c r="L84" s="0" t="n">
        <v>1</v>
      </c>
      <c r="M84" s="0" t="n">
        <f aca="false">VLOOKUP(A84,'Team Data'!$A$1:$P$140,2,FALSE())</f>
        <v>1</v>
      </c>
      <c r="N84" s="0" t="n">
        <f aca="false">VLOOKUP(A84,'Team Data'!$A$1:$P$140,3,FALSE())</f>
        <v>2</v>
      </c>
      <c r="O84" s="0" t="n">
        <f aca="false">VLOOKUP(B84,'Team Data'!$A$1:$P$140,2,FALSE())</f>
        <v>1</v>
      </c>
      <c r="P84" s="0" t="n">
        <f aca="false">VLOOKUP(B84,'Team Data'!$A$1:$P$140,3,FALSE())</f>
        <v>2</v>
      </c>
      <c r="Q84" s="0" t="n">
        <f aca="false">VLOOKUP(A84,'Team Data'!$A$1:$P$140,4,FALSE())</f>
        <v>7</v>
      </c>
      <c r="R84" s="0" t="n">
        <f aca="false">VLOOKUP(A84,'Team Data'!$A$1:$P$140,5,FALSE())</f>
        <v>83</v>
      </c>
      <c r="S84" s="0" t="n">
        <f aca="false">VLOOKUP(B84,'Team Data'!$A$1:$P$140,4,FALSE())</f>
        <v>5</v>
      </c>
      <c r="T84" s="0" t="n">
        <f aca="false">VLOOKUP(B84,'Team Data'!$A$1:$P$140,5,FALSE())</f>
        <v>3</v>
      </c>
      <c r="U84" s="0" t="n">
        <f aca="false">IF(K84=1,(MIN(35,(C84-D84)))*(O84/(O84+P84))*(S84/(S84+T84)),(MAX(-35,(C84-D84)))*(IF(P84=0,0.1,(P84/(O84+P84))))*(T84/(S84+T84)))</f>
        <v>-2.75</v>
      </c>
      <c r="V84" s="0" t="n">
        <f aca="false">IF(L84=1,(MIN(35,(D84-C84)))*(M84/(M84+N84))*(Q84/(Q84+R84)),(MAX(-35,(D84-C84)))*(IF(N84=0,0.1,(N84/(M84+N84))))*(R84/(R84+Q84)))</f>
        <v>0.285185185185185</v>
      </c>
    </row>
    <row r="85" customFormat="false" ht="15" hidden="false" customHeight="false" outlineLevel="0" collapsed="false">
      <c r="A85" s="0" t="s">
        <v>198</v>
      </c>
      <c r="B85" s="0" t="s">
        <v>22</v>
      </c>
      <c r="C85" s="0" t="n">
        <v>17</v>
      </c>
      <c r="D85" s="0" t="n">
        <v>21</v>
      </c>
      <c r="E85" s="0" t="n">
        <v>72</v>
      </c>
      <c r="F85" s="0" t="n">
        <v>151</v>
      </c>
      <c r="G85" s="0" t="n">
        <v>204</v>
      </c>
      <c r="H85" s="0" t="n">
        <v>189</v>
      </c>
      <c r="I85" s="0" t="n">
        <v>1</v>
      </c>
      <c r="J85" s="0" t="n">
        <v>1</v>
      </c>
      <c r="K85" s="0" t="n">
        <v>0</v>
      </c>
      <c r="L85" s="0" t="n">
        <v>1</v>
      </c>
      <c r="M85" s="0" t="n">
        <f aca="false">VLOOKUP(A85,'Team Data'!$A$1:$P$140,2,FALSE())</f>
        <v>5</v>
      </c>
      <c r="N85" s="0" t="n">
        <f aca="false">VLOOKUP(A85,'Team Data'!$A$1:$P$140,3,FALSE())</f>
        <v>80</v>
      </c>
      <c r="O85" s="0" t="n">
        <f aca="false">VLOOKUP(B85,'Team Data'!$A$1:$P$140,2,FALSE())</f>
        <v>1</v>
      </c>
      <c r="P85" s="0" t="n">
        <f aca="false">VLOOKUP(B85,'Team Data'!$A$1:$P$140,3,FALSE())</f>
        <v>1</v>
      </c>
      <c r="Q85" s="0" t="n">
        <f aca="false">VLOOKUP(A85,'Team Data'!$A$1:$P$140,4,FALSE())</f>
        <v>113</v>
      </c>
      <c r="R85" s="0" t="n">
        <f aca="false">VLOOKUP(A85,'Team Data'!$A$1:$P$140,5,FALSE())</f>
        <v>61</v>
      </c>
      <c r="S85" s="0" t="n">
        <f aca="false">VLOOKUP(B85,'Team Data'!$A$1:$P$140,4,FALSE())</f>
        <v>6</v>
      </c>
      <c r="T85" s="0" t="n">
        <f aca="false">VLOOKUP(B85,'Team Data'!$A$1:$P$140,5,FALSE())</f>
        <v>81</v>
      </c>
      <c r="U85" s="0" t="n">
        <f aca="false">IF(K85=1,(MIN(35,(C85-D85)))*(O85/(O85+P85))*(S85/(S85+T85)),(MAX(-35,(C85-D85)))*(IF(P85=0,0.1,(P85/(O85+P85))))*(T85/(S85+T85)))</f>
        <v>-1.86206896551724</v>
      </c>
      <c r="V85" s="0" t="n">
        <f aca="false">IF(L85=1,(MIN(35,(D85-C85)))*(M85/(M85+N85))*(Q85/(Q85+R85)),(MAX(-35,(D85-C85)))*(IF(N85=0,0.1,(N85/(M85+N85))))*(R85/(R85+Q85)))</f>
        <v>0.152805949966193</v>
      </c>
    </row>
    <row r="86" customFormat="false" ht="15" hidden="false" customHeight="false" outlineLevel="0" collapsed="false">
      <c r="A86" s="0" t="s">
        <v>198</v>
      </c>
      <c r="B86" s="0" t="s">
        <v>21</v>
      </c>
      <c r="C86" s="0" t="n">
        <v>20</v>
      </c>
      <c r="D86" s="0" t="n">
        <v>13</v>
      </c>
      <c r="E86" s="0" t="n">
        <v>258</v>
      </c>
      <c r="F86" s="0" t="n">
        <v>104</v>
      </c>
      <c r="G86" s="0" t="n">
        <v>206</v>
      </c>
      <c r="H86" s="0" t="n">
        <v>262</v>
      </c>
      <c r="I86" s="0" t="n">
        <v>1</v>
      </c>
      <c r="J86" s="0" t="n">
        <v>2</v>
      </c>
      <c r="K86" s="0" t="n">
        <v>1</v>
      </c>
      <c r="L86" s="0" t="n">
        <v>0</v>
      </c>
      <c r="M86" s="0" t="n">
        <f aca="false">VLOOKUP(A86,'Team Data'!$A$1:$P$140,2,FALSE())</f>
        <v>5</v>
      </c>
      <c r="N86" s="0" t="n">
        <f aca="false">VLOOKUP(A86,'Team Data'!$A$1:$P$140,3,FALSE())</f>
        <v>80</v>
      </c>
      <c r="O86" s="0" t="n">
        <f aca="false">VLOOKUP(B86,'Team Data'!$A$1:$P$140,2,FALSE())</f>
        <v>0</v>
      </c>
      <c r="P86" s="0" t="n">
        <f aca="false">VLOOKUP(B86,'Team Data'!$A$1:$P$140,3,FALSE())</f>
        <v>2</v>
      </c>
      <c r="Q86" s="0" t="n">
        <f aca="false">VLOOKUP(A86,'Team Data'!$A$1:$P$140,4,FALSE())</f>
        <v>113</v>
      </c>
      <c r="R86" s="0" t="n">
        <f aca="false">VLOOKUP(A86,'Team Data'!$A$1:$P$140,5,FALSE())</f>
        <v>61</v>
      </c>
      <c r="S86" s="0" t="n">
        <f aca="false">VLOOKUP(B86,'Team Data'!$A$1:$P$140,4,FALSE())</f>
        <v>7</v>
      </c>
      <c r="T86" s="0" t="n">
        <f aca="false">VLOOKUP(B86,'Team Data'!$A$1:$P$140,5,FALSE())</f>
        <v>80</v>
      </c>
      <c r="U86" s="0" t="n">
        <f aca="false">IF(K86=1,(MIN(35,(C86-D86)))*(O86/(O86+P86))*(S86/(S86+T86)),(MAX(-35,(C86-D86)))*(IF(P86=0,0.1,(P86/(O86+P86))))*(T86/(S86+T86)))</f>
        <v>0</v>
      </c>
      <c r="V86" s="0" t="n">
        <f aca="false">IF(L86=1,(MIN(35,(D86-C86)))*(M86/(M86+N86))*(Q86/(Q86+R86)),(MAX(-35,(D86-C86)))*(IF(N86=0,0.1,(N86/(M86+N86))))*(R86/(R86+Q86)))</f>
        <v>-2.30966869506423</v>
      </c>
    </row>
    <row r="87" customFormat="false" ht="15" hidden="false" customHeight="false" outlineLevel="0" collapsed="false">
      <c r="A87" s="0" t="s">
        <v>198</v>
      </c>
      <c r="B87" s="0" t="s">
        <v>101</v>
      </c>
      <c r="C87" s="0" t="n">
        <v>0</v>
      </c>
      <c r="D87" s="0" t="n">
        <v>52</v>
      </c>
      <c r="E87" s="0" t="n">
        <v>104</v>
      </c>
      <c r="F87" s="0" t="n">
        <v>203</v>
      </c>
      <c r="G87" s="0" t="n">
        <v>43</v>
      </c>
      <c r="H87" s="0" t="n">
        <v>250</v>
      </c>
      <c r="I87" s="0" t="n">
        <v>1</v>
      </c>
      <c r="J87" s="0" t="n">
        <v>2</v>
      </c>
      <c r="K87" s="0" t="n">
        <v>0</v>
      </c>
      <c r="L87" s="0" t="n">
        <v>1</v>
      </c>
      <c r="M87" s="0" t="n">
        <f aca="false">VLOOKUP(A87,'Team Data'!$A$1:$P$140,2,FALSE())</f>
        <v>5</v>
      </c>
      <c r="N87" s="0" t="n">
        <f aca="false">VLOOKUP(A87,'Team Data'!$A$1:$P$140,3,FALSE())</f>
        <v>80</v>
      </c>
      <c r="O87" s="0" t="n">
        <f aca="false">VLOOKUP(B87,'Team Data'!$A$1:$P$140,2,FALSE())</f>
        <v>1</v>
      </c>
      <c r="P87" s="0" t="n">
        <f aca="false">VLOOKUP(B87,'Team Data'!$A$1:$P$140,3,FALSE())</f>
        <v>2</v>
      </c>
      <c r="Q87" s="0" t="n">
        <f aca="false">VLOOKUP(A87,'Team Data'!$A$1:$P$140,4,FALSE())</f>
        <v>113</v>
      </c>
      <c r="R87" s="0" t="n">
        <f aca="false">VLOOKUP(A87,'Team Data'!$A$1:$P$140,5,FALSE())</f>
        <v>61</v>
      </c>
      <c r="S87" s="0" t="n">
        <f aca="false">VLOOKUP(B87,'Team Data'!$A$1:$P$140,4,FALSE())</f>
        <v>7</v>
      </c>
      <c r="T87" s="0" t="n">
        <f aca="false">VLOOKUP(B87,'Team Data'!$A$1:$P$140,5,FALSE())</f>
        <v>83</v>
      </c>
      <c r="U87" s="0" t="n">
        <f aca="false">IF(K87=1,(MIN(35,(C87-D87)))*(O87/(O87+P87))*(S87/(S87+T87)),(MAX(-35,(C87-D87)))*(IF(P87=0,0.1,(P87/(O87+P87))))*(T87/(S87+T87)))</f>
        <v>-21.5185185185185</v>
      </c>
      <c r="V87" s="0" t="n">
        <f aca="false">IF(L87=1,(MIN(35,(D87-C87)))*(M87/(M87+N87))*(Q87/(Q87+R87)),(MAX(-35,(D87-C87)))*(IF(N87=0,0.1,(N87/(M87+N87))))*(R87/(R87+Q87)))</f>
        <v>1.33705206220419</v>
      </c>
    </row>
    <row r="88" customFormat="false" ht="15" hidden="false" customHeight="false" outlineLevel="0" collapsed="false">
      <c r="A88" s="0" t="s">
        <v>198</v>
      </c>
      <c r="B88" s="0" t="s">
        <v>42</v>
      </c>
      <c r="C88" s="0" t="n">
        <v>10</v>
      </c>
      <c r="D88" s="0" t="n">
        <v>59</v>
      </c>
      <c r="E88" s="0" t="n">
        <v>84</v>
      </c>
      <c r="F88" s="0" t="n">
        <v>284</v>
      </c>
      <c r="G88" s="0" t="n">
        <v>125</v>
      </c>
      <c r="H88" s="0" t="n">
        <v>279</v>
      </c>
      <c r="I88" s="0" t="n">
        <v>0</v>
      </c>
      <c r="J88" s="0" t="n">
        <v>0</v>
      </c>
      <c r="K88" s="0" t="n">
        <v>0</v>
      </c>
      <c r="L88" s="0" t="n">
        <v>1</v>
      </c>
      <c r="M88" s="0" t="n">
        <f aca="false">VLOOKUP(A88,'Team Data'!$A$1:$P$140,2,FALSE())</f>
        <v>5</v>
      </c>
      <c r="N88" s="0" t="n">
        <f aca="false">VLOOKUP(A88,'Team Data'!$A$1:$P$140,3,FALSE())</f>
        <v>80</v>
      </c>
      <c r="O88" s="0" t="n">
        <f aca="false">VLOOKUP(B88,'Team Data'!$A$1:$P$140,2,FALSE())</f>
        <v>2</v>
      </c>
      <c r="P88" s="0" t="n">
        <f aca="false">VLOOKUP(B88,'Team Data'!$A$1:$P$140,3,FALSE())</f>
        <v>0</v>
      </c>
      <c r="Q88" s="0" t="n">
        <f aca="false">VLOOKUP(A88,'Team Data'!$A$1:$P$140,4,FALSE())</f>
        <v>113</v>
      </c>
      <c r="R88" s="0" t="n">
        <f aca="false">VLOOKUP(A88,'Team Data'!$A$1:$P$140,5,FALSE())</f>
        <v>61</v>
      </c>
      <c r="S88" s="0" t="n">
        <f aca="false">VLOOKUP(B88,'Team Data'!$A$1:$P$140,4,FALSE())</f>
        <v>6</v>
      </c>
      <c r="T88" s="0" t="n">
        <f aca="false">VLOOKUP(B88,'Team Data'!$A$1:$P$140,5,FALSE())</f>
        <v>81</v>
      </c>
      <c r="U88" s="0" t="n">
        <f aca="false">IF(K88=1,(MIN(35,(C88-D88)))*(O88/(O88+P88))*(S88/(S88+T88)),(MAX(-35,(C88-D88)))*(IF(P88=0,0.1,(P88/(O88+P88))))*(T88/(S88+T88)))</f>
        <v>-3.25862068965517</v>
      </c>
      <c r="V88" s="0" t="n">
        <f aca="false">IF(L88=1,(MIN(35,(D88-C88)))*(M88/(M88+N88))*(Q88/(Q88+R88)),(MAX(-35,(D88-C88)))*(IF(N88=0,0.1,(N88/(M88+N88))))*(R88/(R88+Q88)))</f>
        <v>1.33705206220419</v>
      </c>
    </row>
    <row r="89" customFormat="false" ht="15" hidden="false" customHeight="false" outlineLevel="0" collapsed="false">
      <c r="A89" s="0" t="s">
        <v>198</v>
      </c>
      <c r="B89" s="0" t="s">
        <v>9</v>
      </c>
      <c r="C89" s="0" t="n">
        <v>3</v>
      </c>
      <c r="D89" s="0" t="n">
        <v>55</v>
      </c>
      <c r="E89" s="0" t="n">
        <v>52</v>
      </c>
      <c r="F89" s="0" t="n">
        <v>299</v>
      </c>
      <c r="G89" s="0" t="n">
        <v>198</v>
      </c>
      <c r="H89" s="0" t="n">
        <v>348</v>
      </c>
      <c r="I89" s="0" t="n">
        <v>2</v>
      </c>
      <c r="J89" s="0" t="n">
        <v>1</v>
      </c>
      <c r="K89" s="0" t="n">
        <v>0</v>
      </c>
      <c r="L89" s="0" t="n">
        <v>1</v>
      </c>
      <c r="M89" s="0" t="n">
        <f aca="false">VLOOKUP(A89,'Team Data'!$A$1:$P$140,2,FALSE())</f>
        <v>5</v>
      </c>
      <c r="N89" s="0" t="n">
        <f aca="false">VLOOKUP(A89,'Team Data'!$A$1:$P$140,3,FALSE())</f>
        <v>80</v>
      </c>
      <c r="O89" s="0" t="n">
        <f aca="false">VLOOKUP(B89,'Team Data'!$A$1:$P$140,2,FALSE())</f>
        <v>2</v>
      </c>
      <c r="P89" s="0" t="n">
        <f aca="false">VLOOKUP(B89,'Team Data'!$A$1:$P$140,3,FALSE())</f>
        <v>0</v>
      </c>
      <c r="Q89" s="0" t="n">
        <f aca="false">VLOOKUP(A89,'Team Data'!$A$1:$P$140,4,FALSE())</f>
        <v>113</v>
      </c>
      <c r="R89" s="0" t="n">
        <f aca="false">VLOOKUP(A89,'Team Data'!$A$1:$P$140,5,FALSE())</f>
        <v>61</v>
      </c>
      <c r="S89" s="0" t="n">
        <f aca="false">VLOOKUP(B89,'Team Data'!$A$1:$P$140,4,FALSE())</f>
        <v>5</v>
      </c>
      <c r="T89" s="0" t="n">
        <f aca="false">VLOOKUP(B89,'Team Data'!$A$1:$P$140,5,FALSE())</f>
        <v>82</v>
      </c>
      <c r="U89" s="0" t="n">
        <f aca="false">IF(K89=1,(MIN(35,(C89-D89)))*(O89/(O89+P89))*(S89/(S89+T89)),(MAX(-35,(C89-D89)))*(IF(P89=0,0.1,(P89/(O89+P89))))*(T89/(S89+T89)))</f>
        <v>-3.29885057471264</v>
      </c>
      <c r="V89" s="0" t="n">
        <f aca="false">IF(L89=1,(MIN(35,(D89-C89)))*(M89/(M89+N89))*(Q89/(Q89+R89)),(MAX(-35,(D89-C89)))*(IF(N89=0,0.1,(N89/(M89+N89))))*(R89/(R89+Q89)))</f>
        <v>1.33705206220419</v>
      </c>
    </row>
    <row r="90" customFormat="false" ht="15" hidden="false" customHeight="false" outlineLevel="0" collapsed="false">
      <c r="A90" s="0" t="s">
        <v>198</v>
      </c>
      <c r="B90" s="0" t="s">
        <v>70</v>
      </c>
      <c r="C90" s="0" t="n">
        <v>14</v>
      </c>
      <c r="D90" s="0" t="n">
        <v>38</v>
      </c>
      <c r="E90" s="0" t="n">
        <v>145</v>
      </c>
      <c r="F90" s="0" t="n">
        <v>196</v>
      </c>
      <c r="G90" s="0" t="n">
        <v>145</v>
      </c>
      <c r="H90" s="0" t="n">
        <v>200</v>
      </c>
      <c r="I90" s="0" t="n">
        <v>1</v>
      </c>
      <c r="J90" s="0" t="n">
        <v>0</v>
      </c>
      <c r="K90" s="0" t="n">
        <v>0</v>
      </c>
      <c r="L90" s="0" t="n">
        <v>1</v>
      </c>
      <c r="M90" s="0" t="n">
        <f aca="false">VLOOKUP(A90,'Team Data'!$A$1:$P$140,2,FALSE())</f>
        <v>5</v>
      </c>
      <c r="N90" s="0" t="n">
        <f aca="false">VLOOKUP(A90,'Team Data'!$A$1:$P$140,3,FALSE())</f>
        <v>80</v>
      </c>
      <c r="O90" s="0" t="n">
        <f aca="false">VLOOKUP(B90,'Team Data'!$A$1:$P$140,2,FALSE())</f>
        <v>1</v>
      </c>
      <c r="P90" s="0" t="n">
        <f aca="false">VLOOKUP(B90,'Team Data'!$A$1:$P$140,3,FALSE())</f>
        <v>1</v>
      </c>
      <c r="Q90" s="0" t="n">
        <f aca="false">VLOOKUP(A90,'Team Data'!$A$1:$P$140,4,FALSE())</f>
        <v>113</v>
      </c>
      <c r="R90" s="0" t="n">
        <f aca="false">VLOOKUP(A90,'Team Data'!$A$1:$P$140,5,FALSE())</f>
        <v>61</v>
      </c>
      <c r="S90" s="0" t="n">
        <f aca="false">VLOOKUP(B90,'Team Data'!$A$1:$P$140,4,FALSE())</f>
        <v>6</v>
      </c>
      <c r="T90" s="0" t="n">
        <f aca="false">VLOOKUP(B90,'Team Data'!$A$1:$P$140,5,FALSE())</f>
        <v>81</v>
      </c>
      <c r="U90" s="0" t="n">
        <f aca="false">IF(K90=1,(MIN(35,(C90-D90)))*(O90/(O90+P90))*(S90/(S90+T90)),(MAX(-35,(C90-D90)))*(IF(P90=0,0.1,(P90/(O90+P90))))*(T90/(S90+T90)))</f>
        <v>-11.1724137931034</v>
      </c>
      <c r="V90" s="0" t="n">
        <f aca="false">IF(L90=1,(MIN(35,(D90-C90)))*(M90/(M90+N90))*(Q90/(Q90+R90)),(MAX(-35,(D90-C90)))*(IF(N90=0,0.1,(N90/(M90+N90))))*(R90/(R90+Q90)))</f>
        <v>0.91683569979716</v>
      </c>
    </row>
    <row r="91" customFormat="false" ht="15" hidden="false" customHeight="false" outlineLevel="0" collapsed="false">
      <c r="A91" s="0" t="s">
        <v>198</v>
      </c>
      <c r="B91" s="0" t="s">
        <v>91</v>
      </c>
      <c r="C91" s="0" t="n">
        <v>10</v>
      </c>
      <c r="D91" s="0" t="n">
        <v>31</v>
      </c>
      <c r="E91" s="0" t="n">
        <v>126</v>
      </c>
      <c r="F91" s="0" t="n">
        <v>182</v>
      </c>
      <c r="G91" s="0" t="n">
        <v>94</v>
      </c>
      <c r="H91" s="0" t="n">
        <v>137</v>
      </c>
      <c r="I91" s="0" t="n">
        <v>3</v>
      </c>
      <c r="J91" s="0" t="n">
        <v>2</v>
      </c>
      <c r="K91" s="0" t="n">
        <v>0</v>
      </c>
      <c r="L91" s="0" t="n">
        <v>1</v>
      </c>
      <c r="M91" s="0" t="n">
        <f aca="false">VLOOKUP(A91,'Team Data'!$A$1:$P$140,2,FALSE())</f>
        <v>5</v>
      </c>
      <c r="N91" s="0" t="n">
        <f aca="false">VLOOKUP(A91,'Team Data'!$A$1:$P$140,3,FALSE())</f>
        <v>80</v>
      </c>
      <c r="O91" s="0" t="n">
        <f aca="false">VLOOKUP(B91,'Team Data'!$A$1:$P$140,2,FALSE())</f>
        <v>1</v>
      </c>
      <c r="P91" s="0" t="n">
        <f aca="false">VLOOKUP(B91,'Team Data'!$A$1:$P$140,3,FALSE())</f>
        <v>1</v>
      </c>
      <c r="Q91" s="0" t="n">
        <f aca="false">VLOOKUP(A91,'Team Data'!$A$1:$P$140,4,FALSE())</f>
        <v>113</v>
      </c>
      <c r="R91" s="0" t="n">
        <f aca="false">VLOOKUP(A91,'Team Data'!$A$1:$P$140,5,FALSE())</f>
        <v>61</v>
      </c>
      <c r="S91" s="0" t="n">
        <f aca="false">VLOOKUP(B91,'Team Data'!$A$1:$P$140,4,FALSE())</f>
        <v>7</v>
      </c>
      <c r="T91" s="0" t="n">
        <f aca="false">VLOOKUP(B91,'Team Data'!$A$1:$P$140,5,FALSE())</f>
        <v>80</v>
      </c>
      <c r="U91" s="0" t="n">
        <f aca="false">IF(K91=1,(MIN(35,(C91-D91)))*(O91/(O91+P91))*(S91/(S91+T91)),(MAX(-35,(C91-D91)))*(IF(P91=0,0.1,(P91/(O91+P91))))*(T91/(S91+T91)))</f>
        <v>-9.6551724137931</v>
      </c>
      <c r="V91" s="0" t="n">
        <f aca="false">IF(L91=1,(MIN(35,(D91-C91)))*(M91/(M91+N91))*(Q91/(Q91+R91)),(MAX(-35,(D91-C91)))*(IF(N91=0,0.1,(N91/(M91+N91))))*(R91/(R91+Q91)))</f>
        <v>0.802231237322515</v>
      </c>
    </row>
    <row r="92" customFormat="false" ht="15" hidden="false" customHeight="false" outlineLevel="0" collapsed="false">
      <c r="A92" s="0" t="s">
        <v>198</v>
      </c>
      <c r="B92" s="0" t="s">
        <v>50</v>
      </c>
      <c r="C92" s="0" t="n">
        <v>7</v>
      </c>
      <c r="D92" s="0" t="n">
        <v>49</v>
      </c>
      <c r="E92" s="0" t="n">
        <v>195</v>
      </c>
      <c r="F92" s="0" t="n">
        <v>174</v>
      </c>
      <c r="G92" s="0" t="n">
        <v>90</v>
      </c>
      <c r="H92" s="0" t="n">
        <v>352</v>
      </c>
      <c r="I92" s="0" t="n">
        <v>2</v>
      </c>
      <c r="J92" s="0" t="n">
        <v>1</v>
      </c>
      <c r="K92" s="0" t="n">
        <v>0</v>
      </c>
      <c r="L92" s="0" t="n">
        <v>1</v>
      </c>
      <c r="M92" s="0" t="n">
        <f aca="false">VLOOKUP(A92,'Team Data'!$A$1:$P$140,2,FALSE())</f>
        <v>5</v>
      </c>
      <c r="N92" s="0" t="n">
        <f aca="false">VLOOKUP(A92,'Team Data'!$A$1:$P$140,3,FALSE())</f>
        <v>80</v>
      </c>
      <c r="O92" s="0" t="n">
        <f aca="false">VLOOKUP(B92,'Team Data'!$A$1:$P$140,2,FALSE())</f>
        <v>1</v>
      </c>
      <c r="P92" s="0" t="n">
        <f aca="false">VLOOKUP(B92,'Team Data'!$A$1:$P$140,3,FALSE())</f>
        <v>2</v>
      </c>
      <c r="Q92" s="0" t="n">
        <f aca="false">VLOOKUP(A92,'Team Data'!$A$1:$P$140,4,FALSE())</f>
        <v>113</v>
      </c>
      <c r="R92" s="0" t="n">
        <f aca="false">VLOOKUP(A92,'Team Data'!$A$1:$P$140,5,FALSE())</f>
        <v>61</v>
      </c>
      <c r="S92" s="0" t="n">
        <f aca="false">VLOOKUP(B92,'Team Data'!$A$1:$P$140,4,FALSE())</f>
        <v>9</v>
      </c>
      <c r="T92" s="0" t="n">
        <f aca="false">VLOOKUP(B92,'Team Data'!$A$1:$P$140,5,FALSE())</f>
        <v>81</v>
      </c>
      <c r="U92" s="0" t="n">
        <f aca="false">IF(K92=1,(MIN(35,(C92-D92)))*(O92/(O92+P92))*(S92/(S92+T92)),(MAX(-35,(C92-D92)))*(IF(P92=0,0.1,(P92/(O92+P92))))*(T92/(S92+T92)))</f>
        <v>-21</v>
      </c>
      <c r="V92" s="0" t="n">
        <f aca="false">IF(L92=1,(MIN(35,(D92-C92)))*(M92/(M92+N92))*(Q92/(Q92+R92)),(MAX(-35,(D92-C92)))*(IF(N92=0,0.1,(N92/(M92+N92))))*(R92/(R92+Q92)))</f>
        <v>1.33705206220419</v>
      </c>
    </row>
    <row r="93" customFormat="false" ht="15" hidden="false" customHeight="false" outlineLevel="0" collapsed="false">
      <c r="A93" s="0" t="s">
        <v>198</v>
      </c>
      <c r="B93" s="0" t="s">
        <v>41</v>
      </c>
      <c r="C93" s="0" t="n">
        <v>0</v>
      </c>
      <c r="D93" s="0" t="n">
        <v>31</v>
      </c>
      <c r="E93" s="0" t="n">
        <v>8</v>
      </c>
      <c r="F93" s="0" t="n">
        <v>162</v>
      </c>
      <c r="G93" s="0" t="n">
        <v>109</v>
      </c>
      <c r="H93" s="0" t="n">
        <v>351</v>
      </c>
      <c r="I93" s="0" t="n">
        <v>2</v>
      </c>
      <c r="J93" s="0" t="n">
        <v>1</v>
      </c>
      <c r="K93" s="0" t="n">
        <v>0</v>
      </c>
      <c r="L93" s="0" t="n">
        <v>1</v>
      </c>
      <c r="M93" s="0" t="n">
        <f aca="false">VLOOKUP(A93,'Team Data'!$A$1:$P$140,2,FALSE())</f>
        <v>5</v>
      </c>
      <c r="N93" s="0" t="n">
        <f aca="false">VLOOKUP(A93,'Team Data'!$A$1:$P$140,3,FALSE())</f>
        <v>80</v>
      </c>
      <c r="O93" s="0" t="n">
        <f aca="false">VLOOKUP(B93,'Team Data'!$A$1:$P$140,2,FALSE())</f>
        <v>1</v>
      </c>
      <c r="P93" s="0" t="n">
        <f aca="false">VLOOKUP(B93,'Team Data'!$A$1:$P$140,3,FALSE())</f>
        <v>1</v>
      </c>
      <c r="Q93" s="0" t="n">
        <f aca="false">VLOOKUP(A93,'Team Data'!$A$1:$P$140,4,FALSE())</f>
        <v>113</v>
      </c>
      <c r="R93" s="0" t="n">
        <f aca="false">VLOOKUP(A93,'Team Data'!$A$1:$P$140,5,FALSE())</f>
        <v>61</v>
      </c>
      <c r="S93" s="0" t="n">
        <f aca="false">VLOOKUP(B93,'Team Data'!$A$1:$P$140,4,FALSE())</f>
        <v>6</v>
      </c>
      <c r="T93" s="0" t="n">
        <f aca="false">VLOOKUP(B93,'Team Data'!$A$1:$P$140,5,FALSE())</f>
        <v>81</v>
      </c>
      <c r="U93" s="0" t="n">
        <f aca="false">IF(K93=1,(MIN(35,(C93-D93)))*(O93/(O93+P93))*(S93/(S93+T93)),(MAX(-35,(C93-D93)))*(IF(P93=0,0.1,(P93/(O93+P93))))*(T93/(S93+T93)))</f>
        <v>-14.4310344827586</v>
      </c>
      <c r="V93" s="0" t="n">
        <f aca="false">IF(L93=1,(MIN(35,(D93-C93)))*(M93/(M93+N93))*(Q93/(Q93+R93)),(MAX(-35,(D93-C93)))*(IF(N93=0,0.1,(N93/(M93+N93))))*(R93/(R93+Q93)))</f>
        <v>1.184246112238</v>
      </c>
    </row>
    <row r="94" customFormat="false" ht="15" hidden="false" customHeight="false" outlineLevel="0" collapsed="false">
      <c r="A94" s="0" t="s">
        <v>198</v>
      </c>
      <c r="B94" s="0" t="s">
        <v>105</v>
      </c>
      <c r="C94" s="0" t="n">
        <v>14</v>
      </c>
      <c r="D94" s="0" t="n">
        <v>39</v>
      </c>
      <c r="E94" s="0" t="n">
        <v>45</v>
      </c>
      <c r="F94" s="0" t="n">
        <v>241</v>
      </c>
      <c r="G94" s="0" t="n">
        <v>186</v>
      </c>
      <c r="H94" s="0" t="n">
        <v>154</v>
      </c>
      <c r="I94" s="0" t="n">
        <v>2</v>
      </c>
      <c r="J94" s="0" t="n">
        <v>0</v>
      </c>
      <c r="K94" s="0" t="n">
        <v>0</v>
      </c>
      <c r="L94" s="0" t="n">
        <v>1</v>
      </c>
      <c r="M94" s="0" t="n">
        <f aca="false">VLOOKUP(A94,'Team Data'!$A$1:$P$140,2,FALSE())</f>
        <v>5</v>
      </c>
      <c r="N94" s="0" t="n">
        <f aca="false">VLOOKUP(A94,'Team Data'!$A$1:$P$140,3,FALSE())</f>
        <v>80</v>
      </c>
      <c r="O94" s="0" t="n">
        <f aca="false">VLOOKUP(B94,'Team Data'!$A$1:$P$140,2,FALSE())</f>
        <v>1</v>
      </c>
      <c r="P94" s="0" t="n">
        <f aca="false">VLOOKUP(B94,'Team Data'!$A$1:$P$140,3,FALSE())</f>
        <v>1</v>
      </c>
      <c r="Q94" s="0" t="n">
        <f aca="false">VLOOKUP(A94,'Team Data'!$A$1:$P$140,4,FALSE())</f>
        <v>113</v>
      </c>
      <c r="R94" s="0" t="n">
        <f aca="false">VLOOKUP(A94,'Team Data'!$A$1:$P$140,5,FALSE())</f>
        <v>61</v>
      </c>
      <c r="S94" s="0" t="n">
        <f aca="false">VLOOKUP(B94,'Team Data'!$A$1:$P$140,4,FALSE())</f>
        <v>6</v>
      </c>
      <c r="T94" s="0" t="n">
        <f aca="false">VLOOKUP(B94,'Team Data'!$A$1:$P$140,5,FALSE())</f>
        <v>81</v>
      </c>
      <c r="U94" s="0" t="n">
        <f aca="false">IF(K94=1,(MIN(35,(C94-D94)))*(O94/(O94+P94))*(S94/(S94+T94)),(MAX(-35,(C94-D94)))*(IF(P94=0,0.1,(P94/(O94+P94))))*(T94/(S94+T94)))</f>
        <v>-11.6379310344828</v>
      </c>
      <c r="V94" s="0" t="n">
        <f aca="false">IF(L94=1,(MIN(35,(D94-C94)))*(M94/(M94+N94))*(Q94/(Q94+R94)),(MAX(-35,(D94-C94)))*(IF(N94=0,0.1,(N94/(M94+N94))))*(R94/(R94+Q94)))</f>
        <v>0.955037187288709</v>
      </c>
    </row>
    <row r="95" customFormat="false" ht="15" hidden="false" customHeight="false" outlineLevel="0" collapsed="false">
      <c r="A95" s="0" t="s">
        <v>198</v>
      </c>
      <c r="B95" s="0" t="s">
        <v>107</v>
      </c>
      <c r="C95" s="0" t="n">
        <v>3</v>
      </c>
      <c r="D95" s="0" t="n">
        <v>49</v>
      </c>
      <c r="E95" s="0" t="n">
        <v>104</v>
      </c>
      <c r="F95" s="0" t="n">
        <v>317</v>
      </c>
      <c r="G95" s="0" t="n">
        <v>119</v>
      </c>
      <c r="H95" s="0" t="n">
        <v>226</v>
      </c>
      <c r="I95" s="0" t="n">
        <v>5</v>
      </c>
      <c r="J95" s="0" t="n">
        <v>1</v>
      </c>
      <c r="K95" s="0" t="n">
        <v>0</v>
      </c>
      <c r="L95" s="0" t="n">
        <v>1</v>
      </c>
      <c r="M95" s="0" t="n">
        <f aca="false">VLOOKUP(A95,'Team Data'!$A$1:$P$140,2,FALSE())</f>
        <v>5</v>
      </c>
      <c r="N95" s="0" t="n">
        <f aca="false">VLOOKUP(A95,'Team Data'!$A$1:$P$140,3,FALSE())</f>
        <v>80</v>
      </c>
      <c r="O95" s="0" t="n">
        <f aca="false">VLOOKUP(B95,'Team Data'!$A$1:$P$140,2,FALSE())</f>
        <v>1</v>
      </c>
      <c r="P95" s="0" t="n">
        <f aca="false">VLOOKUP(B95,'Team Data'!$A$1:$P$140,3,FALSE())</f>
        <v>1</v>
      </c>
      <c r="Q95" s="0" t="n">
        <f aca="false">VLOOKUP(A95,'Team Data'!$A$1:$P$140,4,FALSE())</f>
        <v>113</v>
      </c>
      <c r="R95" s="0" t="n">
        <f aca="false">VLOOKUP(A95,'Team Data'!$A$1:$P$140,5,FALSE())</f>
        <v>61</v>
      </c>
      <c r="S95" s="0" t="n">
        <f aca="false">VLOOKUP(B95,'Team Data'!$A$1:$P$140,4,FALSE())</f>
        <v>7</v>
      </c>
      <c r="T95" s="0" t="n">
        <f aca="false">VLOOKUP(B95,'Team Data'!$A$1:$P$140,5,FALSE())</f>
        <v>80</v>
      </c>
      <c r="U95" s="0" t="n">
        <f aca="false">IF(K95=1,(MIN(35,(C95-D95)))*(O95/(O95+P95))*(S95/(S95+T95)),(MAX(-35,(C95-D95)))*(IF(P95=0,0.1,(P95/(O95+P95))))*(T95/(S95+T95)))</f>
        <v>-16.0919540229885</v>
      </c>
      <c r="V95" s="0" t="n">
        <f aca="false">IF(L95=1,(MIN(35,(D95-C95)))*(M95/(M95+N95))*(Q95/(Q95+R95)),(MAX(-35,(D95-C95)))*(IF(N95=0,0.1,(N95/(M95+N95))))*(R95/(R95+Q95)))</f>
        <v>1.33705206220419</v>
      </c>
    </row>
    <row r="96" customFormat="false" ht="15" hidden="false" customHeight="false" outlineLevel="0" collapsed="false">
      <c r="A96" s="0" t="s">
        <v>198</v>
      </c>
      <c r="B96" s="0" t="s">
        <v>60</v>
      </c>
      <c r="C96" s="0" t="n">
        <v>6</v>
      </c>
      <c r="D96" s="0" t="n">
        <v>80</v>
      </c>
      <c r="E96" s="0" t="n">
        <v>86</v>
      </c>
      <c r="F96" s="0" t="n">
        <v>232</v>
      </c>
      <c r="G96" s="0" t="n">
        <v>43</v>
      </c>
      <c r="H96" s="0" t="n">
        <v>296</v>
      </c>
      <c r="I96" s="0" t="n">
        <v>1</v>
      </c>
      <c r="J96" s="0" t="n">
        <v>0</v>
      </c>
      <c r="K96" s="0" t="n">
        <v>0</v>
      </c>
      <c r="L96" s="0" t="n">
        <v>1</v>
      </c>
      <c r="M96" s="0" t="n">
        <f aca="false">VLOOKUP(A96,'Team Data'!$A$1:$P$140,2,FALSE())</f>
        <v>5</v>
      </c>
      <c r="N96" s="0" t="n">
        <f aca="false">VLOOKUP(A96,'Team Data'!$A$1:$P$140,3,FALSE())</f>
        <v>80</v>
      </c>
      <c r="O96" s="0" t="n">
        <f aca="false">VLOOKUP(B96,'Team Data'!$A$1:$P$140,2,FALSE())</f>
        <v>1</v>
      </c>
      <c r="P96" s="0" t="n">
        <f aca="false">VLOOKUP(B96,'Team Data'!$A$1:$P$140,3,FALSE())</f>
        <v>1</v>
      </c>
      <c r="Q96" s="0" t="n">
        <f aca="false">VLOOKUP(A96,'Team Data'!$A$1:$P$140,4,FALSE())</f>
        <v>113</v>
      </c>
      <c r="R96" s="0" t="n">
        <f aca="false">VLOOKUP(A96,'Team Data'!$A$1:$P$140,5,FALSE())</f>
        <v>61</v>
      </c>
      <c r="S96" s="0" t="n">
        <f aca="false">VLOOKUP(B96,'Team Data'!$A$1:$P$140,4,FALSE())</f>
        <v>7</v>
      </c>
      <c r="T96" s="0" t="n">
        <f aca="false">VLOOKUP(B96,'Team Data'!$A$1:$P$140,5,FALSE())</f>
        <v>80</v>
      </c>
      <c r="U96" s="0" t="n">
        <f aca="false">IF(K96=1,(MIN(35,(C96-D96)))*(O96/(O96+P96))*(S96/(S96+T96)),(MAX(-35,(C96-D96)))*(IF(P96=0,0.1,(P96/(O96+P96))))*(T96/(S96+T96)))</f>
        <v>-16.0919540229885</v>
      </c>
      <c r="V96" s="0" t="n">
        <f aca="false">IF(L96=1,(MIN(35,(D96-C96)))*(M96/(M96+N96))*(Q96/(Q96+R96)),(MAX(-35,(D96-C96)))*(IF(N96=0,0.1,(N96/(M96+N96))))*(R96/(R96+Q96)))</f>
        <v>1.33705206220419</v>
      </c>
    </row>
    <row r="97" customFormat="false" ht="15" hidden="false" customHeight="false" outlineLevel="0" collapsed="false">
      <c r="A97" s="0" t="s">
        <v>198</v>
      </c>
      <c r="B97" s="0" t="s">
        <v>59</v>
      </c>
      <c r="C97" s="0" t="n">
        <v>7</v>
      </c>
      <c r="D97" s="0" t="n">
        <v>38</v>
      </c>
      <c r="E97" s="0" t="n">
        <v>56</v>
      </c>
      <c r="F97" s="0" t="n">
        <v>243</v>
      </c>
      <c r="G97" s="0" t="n">
        <v>149</v>
      </c>
      <c r="H97" s="0" t="n">
        <v>231</v>
      </c>
      <c r="I97" s="0" t="n">
        <v>4</v>
      </c>
      <c r="J97" s="0" t="n">
        <v>3</v>
      </c>
      <c r="K97" s="0" t="n">
        <v>0</v>
      </c>
      <c r="L97" s="0" t="n">
        <v>1</v>
      </c>
      <c r="M97" s="0" t="n">
        <f aca="false">VLOOKUP(A97,'Team Data'!$A$1:$P$140,2,FALSE())</f>
        <v>5</v>
      </c>
      <c r="N97" s="0" t="n">
        <f aca="false">VLOOKUP(A97,'Team Data'!$A$1:$P$140,3,FALSE())</f>
        <v>80</v>
      </c>
      <c r="O97" s="0" t="n">
        <f aca="false">VLOOKUP(B97,'Team Data'!$A$1:$P$140,2,FALSE())</f>
        <v>1</v>
      </c>
      <c r="P97" s="0" t="n">
        <f aca="false">VLOOKUP(B97,'Team Data'!$A$1:$P$140,3,FALSE())</f>
        <v>1</v>
      </c>
      <c r="Q97" s="0" t="n">
        <f aca="false">VLOOKUP(A97,'Team Data'!$A$1:$P$140,4,FALSE())</f>
        <v>113</v>
      </c>
      <c r="R97" s="0" t="n">
        <f aca="false">VLOOKUP(A97,'Team Data'!$A$1:$P$140,5,FALSE())</f>
        <v>61</v>
      </c>
      <c r="S97" s="0" t="n">
        <f aca="false">VLOOKUP(B97,'Team Data'!$A$1:$P$140,4,FALSE())</f>
        <v>8</v>
      </c>
      <c r="T97" s="0" t="n">
        <f aca="false">VLOOKUP(B97,'Team Data'!$A$1:$P$140,5,FALSE())</f>
        <v>80</v>
      </c>
      <c r="U97" s="0" t="n">
        <f aca="false">IF(K97=1,(MIN(35,(C97-D97)))*(O97/(O97+P97))*(S97/(S97+T97)),(MAX(-35,(C97-D97)))*(IF(P97=0,0.1,(P97/(O97+P97))))*(T97/(S97+T97)))</f>
        <v>-14.0909090909091</v>
      </c>
      <c r="V97" s="0" t="n">
        <f aca="false">IF(L97=1,(MIN(35,(D97-C97)))*(M97/(M97+N97))*(Q97/(Q97+R97)),(MAX(-35,(D97-C97)))*(IF(N97=0,0.1,(N97/(M97+N97))))*(R97/(R97+Q97)))</f>
        <v>1.184246112238</v>
      </c>
    </row>
    <row r="98" customFormat="false" ht="15" hidden="false" customHeight="false" outlineLevel="0" collapsed="false">
      <c r="A98" s="0" t="s">
        <v>58</v>
      </c>
      <c r="B98" s="0" t="s">
        <v>51</v>
      </c>
      <c r="C98" s="0" t="n">
        <v>13</v>
      </c>
      <c r="D98" s="0" t="n">
        <v>20</v>
      </c>
      <c r="E98" s="0" t="n">
        <v>91</v>
      </c>
      <c r="F98" s="0" t="n">
        <v>173</v>
      </c>
      <c r="G98" s="0" t="n">
        <v>230</v>
      </c>
      <c r="H98" s="0" t="n">
        <v>118</v>
      </c>
      <c r="I98" s="0" t="n">
        <v>0</v>
      </c>
      <c r="J98" s="0" t="n">
        <v>0</v>
      </c>
      <c r="K98" s="0" t="n">
        <v>0</v>
      </c>
      <c r="L98" s="0" t="n">
        <v>1</v>
      </c>
      <c r="M98" s="0" t="n">
        <f aca="false">VLOOKUP(A98,'Team Data'!$A$1:$P$140,2,FALSE())</f>
        <v>1</v>
      </c>
      <c r="N98" s="0" t="n">
        <f aca="false">VLOOKUP(A98,'Team Data'!$A$1:$P$140,3,FALSE())</f>
        <v>1</v>
      </c>
      <c r="O98" s="0" t="n">
        <f aca="false">VLOOKUP(B98,'Team Data'!$A$1:$P$140,2,FALSE())</f>
        <v>2</v>
      </c>
      <c r="P98" s="0" t="n">
        <f aca="false">VLOOKUP(B98,'Team Data'!$A$1:$P$140,3,FALSE())</f>
        <v>0</v>
      </c>
      <c r="Q98" s="0" t="n">
        <f aca="false">VLOOKUP(A98,'Team Data'!$A$1:$P$140,4,FALSE())</f>
        <v>7</v>
      </c>
      <c r="R98" s="0" t="n">
        <f aca="false">VLOOKUP(A98,'Team Data'!$A$1:$P$140,5,FALSE())</f>
        <v>80</v>
      </c>
      <c r="S98" s="0" t="n">
        <f aca="false">VLOOKUP(B98,'Team Data'!$A$1:$P$140,4,FALSE())</f>
        <v>6</v>
      </c>
      <c r="T98" s="0" t="n">
        <f aca="false">VLOOKUP(B98,'Team Data'!$A$1:$P$140,5,FALSE())</f>
        <v>81</v>
      </c>
      <c r="U98" s="0" t="n">
        <f aca="false">IF(K98=1,(MIN(35,(C98-D98)))*(O98/(O98+P98))*(S98/(S98+T98)),(MAX(-35,(C98-D98)))*(IF(P98=0,0.1,(P98/(O98+P98))))*(T98/(S98+T98)))</f>
        <v>-0.651724137931035</v>
      </c>
      <c r="V98" s="0" t="n">
        <f aca="false">IF(L98=1,(MIN(35,(D98-C98)))*(M98/(M98+N98))*(Q98/(Q98+R98)),(MAX(-35,(D98-C98)))*(IF(N98=0,0.1,(N98/(M98+N98))))*(R98/(R98+Q98)))</f>
        <v>0.281609195402299</v>
      </c>
    </row>
    <row r="99" customFormat="false" ht="15" hidden="false" customHeight="false" outlineLevel="0" collapsed="false">
      <c r="A99" s="0" t="s">
        <v>102</v>
      </c>
      <c r="B99" s="0" t="s">
        <v>118</v>
      </c>
      <c r="C99" s="0" t="n">
        <v>21</v>
      </c>
      <c r="D99" s="0" t="n">
        <v>24</v>
      </c>
      <c r="E99" s="0" t="n">
        <v>38</v>
      </c>
      <c r="F99" s="0" t="n">
        <v>177</v>
      </c>
      <c r="G99" s="0" t="n">
        <v>335</v>
      </c>
      <c r="H99" s="0" t="n">
        <v>165</v>
      </c>
      <c r="I99" s="0" t="n">
        <v>1</v>
      </c>
      <c r="J99" s="0" t="n">
        <v>0</v>
      </c>
      <c r="K99" s="0" t="n">
        <v>0</v>
      </c>
      <c r="L99" s="0" t="n">
        <v>1</v>
      </c>
      <c r="M99" s="0" t="n">
        <f aca="false">VLOOKUP(A99,'Team Data'!$A$1:$P$140,2,FALSE())</f>
        <v>0</v>
      </c>
      <c r="N99" s="0" t="n">
        <f aca="false">VLOOKUP(A99,'Team Data'!$A$1:$P$140,3,FALSE())</f>
        <v>2</v>
      </c>
      <c r="O99" s="0" t="n">
        <f aca="false">VLOOKUP(B99,'Team Data'!$A$1:$P$140,2,FALSE())</f>
        <v>2</v>
      </c>
      <c r="P99" s="0" t="n">
        <f aca="false">VLOOKUP(B99,'Team Data'!$A$1:$P$140,3,FALSE())</f>
        <v>0</v>
      </c>
      <c r="Q99" s="0" t="n">
        <f aca="false">VLOOKUP(A99,'Team Data'!$A$1:$P$140,4,FALSE())</f>
        <v>4</v>
      </c>
      <c r="R99" s="0" t="n">
        <f aca="false">VLOOKUP(A99,'Team Data'!$A$1:$P$140,5,FALSE())</f>
        <v>0</v>
      </c>
      <c r="S99" s="0" t="n">
        <f aca="false">VLOOKUP(B99,'Team Data'!$A$1:$P$140,4,FALSE())</f>
        <v>5</v>
      </c>
      <c r="T99" s="0" t="n">
        <f aca="false">VLOOKUP(B99,'Team Data'!$A$1:$P$140,5,FALSE())</f>
        <v>82</v>
      </c>
      <c r="U99" s="0" t="n">
        <f aca="false">IF(K99=1,(MIN(35,(C99-D99)))*(O99/(O99+P99))*(S99/(S99+T99)),(MAX(-35,(C99-D99)))*(IF(P99=0,0.1,(P99/(O99+P99))))*(T99/(S99+T99)))</f>
        <v>-0.282758620689655</v>
      </c>
      <c r="V99" s="0" t="n">
        <f aca="false">IF(L99=1,(MIN(35,(D99-C99)))*(M99/(M99+N99))*(Q99/(Q99+R99)),(MAX(-35,(D99-C99)))*(IF(N99=0,0.1,(N99/(M99+N99))))*(R99/(R99+Q99)))</f>
        <v>0</v>
      </c>
    </row>
    <row r="100" customFormat="false" ht="15" hidden="false" customHeight="false" outlineLevel="0" collapsed="false">
      <c r="A100" s="0" t="s">
        <v>198</v>
      </c>
      <c r="B100" s="0" t="s">
        <v>80</v>
      </c>
      <c r="C100" s="0" t="n">
        <v>14</v>
      </c>
      <c r="D100" s="0" t="n">
        <v>51</v>
      </c>
      <c r="E100" s="0" t="n">
        <v>70</v>
      </c>
      <c r="F100" s="0" t="n">
        <v>235</v>
      </c>
      <c r="G100" s="0" t="n">
        <v>167</v>
      </c>
      <c r="H100" s="0" t="n">
        <v>295</v>
      </c>
      <c r="I100" s="0" t="n">
        <v>2</v>
      </c>
      <c r="J100" s="0" t="n">
        <v>0</v>
      </c>
      <c r="K100" s="0" t="n">
        <v>0</v>
      </c>
      <c r="L100" s="0" t="n">
        <v>1</v>
      </c>
      <c r="M100" s="0" t="n">
        <f aca="false">VLOOKUP(A100,'Team Data'!$A$1:$P$140,2,FALSE())</f>
        <v>5</v>
      </c>
      <c r="N100" s="0" t="n">
        <f aca="false">VLOOKUP(A100,'Team Data'!$A$1:$P$140,3,FALSE())</f>
        <v>80</v>
      </c>
      <c r="O100" s="0" t="n">
        <f aca="false">VLOOKUP(B100,'Team Data'!$A$1:$P$140,2,FALSE())</f>
        <v>1</v>
      </c>
      <c r="P100" s="0" t="n">
        <f aca="false">VLOOKUP(B100,'Team Data'!$A$1:$P$140,3,FALSE())</f>
        <v>2</v>
      </c>
      <c r="Q100" s="0" t="n">
        <f aca="false">VLOOKUP(A100,'Team Data'!$A$1:$P$140,4,FALSE())</f>
        <v>113</v>
      </c>
      <c r="R100" s="0" t="n">
        <f aca="false">VLOOKUP(A100,'Team Data'!$A$1:$P$140,5,FALSE())</f>
        <v>61</v>
      </c>
      <c r="S100" s="0" t="n">
        <f aca="false">VLOOKUP(B100,'Team Data'!$A$1:$P$140,4,FALSE())</f>
        <v>7</v>
      </c>
      <c r="T100" s="0" t="n">
        <f aca="false">VLOOKUP(B100,'Team Data'!$A$1:$P$140,5,FALSE())</f>
        <v>83</v>
      </c>
      <c r="U100" s="0" t="n">
        <f aca="false">IF(K100=1,(MIN(35,(C100-D100)))*(O100/(O100+P100))*(S100/(S100+T100)),(MAX(-35,(C100-D100)))*(IF(P100=0,0.1,(P100/(O100+P100))))*(T100/(S100+T100)))</f>
        <v>-21.5185185185185</v>
      </c>
      <c r="V100" s="0" t="n">
        <f aca="false">IF(L100=1,(MIN(35,(D100-C100)))*(M100/(M100+N100))*(Q100/(Q100+R100)),(MAX(-35,(D100-C100)))*(IF(N100=0,0.1,(N100/(M100+N100))))*(R100/(R100+Q100)))</f>
        <v>1.33705206220419</v>
      </c>
    </row>
    <row r="101" customFormat="false" ht="15" hidden="false" customHeight="false" outlineLevel="0" collapsed="false">
      <c r="A101" s="0" t="s">
        <v>12</v>
      </c>
      <c r="B101" s="0" t="s">
        <v>131</v>
      </c>
      <c r="C101" s="0" t="n">
        <v>10</v>
      </c>
      <c r="D101" s="0" t="n">
        <v>43</v>
      </c>
      <c r="E101" s="0" t="n">
        <v>61</v>
      </c>
      <c r="F101" s="0" t="n">
        <v>141</v>
      </c>
      <c r="G101" s="0" t="n">
        <v>244</v>
      </c>
      <c r="H101" s="0" t="n">
        <v>301</v>
      </c>
      <c r="I101" s="0" t="n">
        <v>1</v>
      </c>
      <c r="J101" s="0" t="n">
        <v>1</v>
      </c>
      <c r="K101" s="0" t="n">
        <v>0</v>
      </c>
      <c r="L101" s="0" t="n">
        <v>1</v>
      </c>
      <c r="M101" s="0" t="n">
        <f aca="false">VLOOKUP(A101,'Team Data'!$A$1:$P$140,2,FALSE())</f>
        <v>1</v>
      </c>
      <c r="N101" s="0" t="n">
        <f aca="false">VLOOKUP(A101,'Team Data'!$A$1:$P$140,3,FALSE())</f>
        <v>1</v>
      </c>
      <c r="O101" s="0" t="n">
        <f aca="false">VLOOKUP(B101,'Team Data'!$A$1:$P$140,2,FALSE())</f>
        <v>2</v>
      </c>
      <c r="P101" s="0" t="n">
        <f aca="false">VLOOKUP(B101,'Team Data'!$A$1:$P$140,3,FALSE())</f>
        <v>0</v>
      </c>
      <c r="Q101" s="0" t="n">
        <f aca="false">VLOOKUP(A101,'Team Data'!$A$1:$P$140,4,FALSE())</f>
        <v>7</v>
      </c>
      <c r="R101" s="0" t="n">
        <f aca="false">VLOOKUP(A101,'Team Data'!$A$1:$P$140,5,FALSE())</f>
        <v>80</v>
      </c>
      <c r="S101" s="0" t="n">
        <f aca="false">VLOOKUP(B101,'Team Data'!$A$1:$P$140,4,FALSE())</f>
        <v>6</v>
      </c>
      <c r="T101" s="0" t="n">
        <f aca="false">VLOOKUP(B101,'Team Data'!$A$1:$P$140,5,FALSE())</f>
        <v>81</v>
      </c>
      <c r="U101" s="0" t="n">
        <f aca="false">IF(K101=1,(MIN(35,(C101-D101)))*(O101/(O101+P101))*(S101/(S101+T101)),(MAX(-35,(C101-D101)))*(IF(P101=0,0.1,(P101/(O101+P101))))*(T101/(S101+T101)))</f>
        <v>-3.07241379310345</v>
      </c>
      <c r="V101" s="0" t="n">
        <f aca="false">IF(L101=1,(MIN(35,(D101-C101)))*(M101/(M101+N101))*(Q101/(Q101+R101)),(MAX(-35,(D101-C101)))*(IF(N101=0,0.1,(N101/(M101+N101))))*(R101/(R101+Q101)))</f>
        <v>1.32758620689655</v>
      </c>
    </row>
    <row r="102" customFormat="false" ht="15" hidden="false" customHeight="false" outlineLevel="0" collapsed="false">
      <c r="A102" s="0" t="s">
        <v>107</v>
      </c>
      <c r="B102" s="0" t="s">
        <v>15</v>
      </c>
      <c r="C102" s="0" t="n">
        <v>8</v>
      </c>
      <c r="D102" s="0" t="n">
        <v>43</v>
      </c>
      <c r="E102" s="0" t="n">
        <v>50</v>
      </c>
      <c r="F102" s="0" t="n">
        <v>343</v>
      </c>
      <c r="G102" s="0" t="n">
        <v>171</v>
      </c>
      <c r="H102" s="0" t="n">
        <v>267</v>
      </c>
      <c r="I102" s="0" t="n">
        <v>2</v>
      </c>
      <c r="J102" s="0" t="n">
        <v>1</v>
      </c>
      <c r="K102" s="0" t="n">
        <v>0</v>
      </c>
      <c r="L102" s="0" t="n">
        <v>1</v>
      </c>
      <c r="M102" s="0" t="n">
        <f aca="false">VLOOKUP(A102,'Team Data'!$A$1:$P$140,2,FALSE())</f>
        <v>1</v>
      </c>
      <c r="N102" s="0" t="n">
        <f aca="false">VLOOKUP(A102,'Team Data'!$A$1:$P$140,3,FALSE())</f>
        <v>1</v>
      </c>
      <c r="O102" s="0" t="n">
        <f aca="false">VLOOKUP(B102,'Team Data'!$A$1:$P$140,2,FALSE())</f>
        <v>2</v>
      </c>
      <c r="P102" s="0" t="n">
        <f aca="false">VLOOKUP(B102,'Team Data'!$A$1:$P$140,3,FALSE())</f>
        <v>0</v>
      </c>
      <c r="Q102" s="0" t="n">
        <f aca="false">VLOOKUP(A102,'Team Data'!$A$1:$P$140,4,FALSE())</f>
        <v>7</v>
      </c>
      <c r="R102" s="0" t="n">
        <f aca="false">VLOOKUP(A102,'Team Data'!$A$1:$P$140,5,FALSE())</f>
        <v>80</v>
      </c>
      <c r="S102" s="0" t="n">
        <f aca="false">VLOOKUP(B102,'Team Data'!$A$1:$P$140,4,FALSE())</f>
        <v>2</v>
      </c>
      <c r="T102" s="0" t="n">
        <f aca="false">VLOOKUP(B102,'Team Data'!$A$1:$P$140,5,FALSE())</f>
        <v>2</v>
      </c>
      <c r="U102" s="0" t="n">
        <f aca="false">IF(K102=1,(MIN(35,(C102-D102)))*(O102/(O102+P102))*(S102/(S102+T102)),(MAX(-35,(C102-D102)))*(IF(P102=0,0.1,(P102/(O102+P102))))*(T102/(S102+T102)))</f>
        <v>-1.75</v>
      </c>
      <c r="V102" s="0" t="n">
        <f aca="false">IF(L102=1,(MIN(35,(D102-C102)))*(M102/(M102+N102))*(Q102/(Q102+R102)),(MAX(-35,(D102-C102)))*(IF(N102=0,0.1,(N102/(M102+N102))))*(R102/(R102+Q102)))</f>
        <v>1.40804597701149</v>
      </c>
    </row>
    <row r="103" customFormat="false" ht="15" hidden="false" customHeight="false" outlineLevel="0" collapsed="false">
      <c r="A103" s="0" t="s">
        <v>198</v>
      </c>
      <c r="B103" s="0" t="s">
        <v>36</v>
      </c>
      <c r="C103" s="0" t="n">
        <v>3</v>
      </c>
      <c r="D103" s="0" t="n">
        <v>52</v>
      </c>
      <c r="E103" s="0" t="n">
        <v>62</v>
      </c>
      <c r="F103" s="0" t="n">
        <v>214</v>
      </c>
      <c r="G103" s="0" t="n">
        <v>148</v>
      </c>
      <c r="H103" s="0" t="n">
        <v>300</v>
      </c>
      <c r="I103" s="0" t="n">
        <v>2</v>
      </c>
      <c r="J103" s="0" t="n">
        <v>2</v>
      </c>
      <c r="K103" s="0" t="n">
        <v>0</v>
      </c>
      <c r="L103" s="0" t="n">
        <v>1</v>
      </c>
      <c r="M103" s="0" t="n">
        <f aca="false">VLOOKUP(A103,'Team Data'!$A$1:$P$140,2,FALSE())</f>
        <v>5</v>
      </c>
      <c r="N103" s="0" t="n">
        <f aca="false">VLOOKUP(A103,'Team Data'!$A$1:$P$140,3,FALSE())</f>
        <v>80</v>
      </c>
      <c r="O103" s="0" t="n">
        <f aca="false">VLOOKUP(B103,'Team Data'!$A$1:$P$140,2,FALSE())</f>
        <v>2</v>
      </c>
      <c r="P103" s="0" t="n">
        <f aca="false">VLOOKUP(B103,'Team Data'!$A$1:$P$140,3,FALSE())</f>
        <v>0</v>
      </c>
      <c r="Q103" s="0" t="n">
        <f aca="false">VLOOKUP(A103,'Team Data'!$A$1:$P$140,4,FALSE())</f>
        <v>113</v>
      </c>
      <c r="R103" s="0" t="n">
        <f aca="false">VLOOKUP(A103,'Team Data'!$A$1:$P$140,5,FALSE())</f>
        <v>61</v>
      </c>
      <c r="S103" s="0" t="n">
        <f aca="false">VLOOKUP(B103,'Team Data'!$A$1:$P$140,4,FALSE())</f>
        <v>6</v>
      </c>
      <c r="T103" s="0" t="n">
        <f aca="false">VLOOKUP(B103,'Team Data'!$A$1:$P$140,5,FALSE())</f>
        <v>81</v>
      </c>
      <c r="U103" s="0" t="n">
        <f aca="false">IF(K103=1,(MIN(35,(C103-D103)))*(O103/(O103+P103))*(S103/(S103+T103)),(MAX(-35,(C103-D103)))*(IF(P103=0,0.1,(P103/(O103+P103))))*(T103/(S103+T103)))</f>
        <v>-3.25862068965517</v>
      </c>
      <c r="V103" s="0" t="n">
        <f aca="false">IF(L103=1,(MIN(35,(D103-C103)))*(M103/(M103+N103))*(Q103/(Q103+R103)),(MAX(-35,(D103-C103)))*(IF(N103=0,0.1,(N103/(M103+N103))))*(R103/(R103+Q103)))</f>
        <v>1.33705206220419</v>
      </c>
    </row>
    <row r="104" customFormat="false" ht="15" hidden="false" customHeight="false" outlineLevel="0" collapsed="false">
      <c r="A104" s="0" t="s">
        <v>140</v>
      </c>
      <c r="B104" s="0" t="s">
        <v>40</v>
      </c>
      <c r="C104" s="0" t="n">
        <v>20</v>
      </c>
      <c r="D104" s="0" t="n">
        <v>70</v>
      </c>
      <c r="E104" s="0" t="n">
        <v>110</v>
      </c>
      <c r="F104" s="0" t="n">
        <v>234</v>
      </c>
      <c r="G104" s="0" t="n">
        <v>115</v>
      </c>
      <c r="H104" s="0" t="n">
        <v>259</v>
      </c>
      <c r="I104" s="0" t="n">
        <v>4</v>
      </c>
      <c r="J104" s="0" t="n">
        <v>2</v>
      </c>
      <c r="K104" s="0" t="n">
        <v>0</v>
      </c>
      <c r="L104" s="0" t="n">
        <v>1</v>
      </c>
      <c r="M104" s="0" t="n">
        <f aca="false">VLOOKUP(A104,'Team Data'!$A$1:$P$140,2,FALSE())</f>
        <v>0</v>
      </c>
      <c r="N104" s="0" t="n">
        <f aca="false">VLOOKUP(A104,'Team Data'!$A$1:$P$140,3,FALSE())</f>
        <v>2</v>
      </c>
      <c r="O104" s="0" t="n">
        <f aca="false">VLOOKUP(B104,'Team Data'!$A$1:$P$140,2,FALSE())</f>
        <v>2</v>
      </c>
      <c r="P104" s="0" t="n">
        <f aca="false">VLOOKUP(B104,'Team Data'!$A$1:$P$140,3,FALSE())</f>
        <v>0</v>
      </c>
      <c r="Q104" s="0" t="n">
        <f aca="false">VLOOKUP(A104,'Team Data'!$A$1:$P$140,4,FALSE())</f>
        <v>3</v>
      </c>
      <c r="R104" s="0" t="n">
        <f aca="false">VLOOKUP(A104,'Team Data'!$A$1:$P$140,5,FALSE())</f>
        <v>1</v>
      </c>
      <c r="S104" s="0" t="n">
        <f aca="false">VLOOKUP(B104,'Team Data'!$A$1:$P$140,4,FALSE())</f>
        <v>5</v>
      </c>
      <c r="T104" s="0" t="n">
        <f aca="false">VLOOKUP(B104,'Team Data'!$A$1:$P$140,5,FALSE())</f>
        <v>82</v>
      </c>
      <c r="U104" s="0" t="n">
        <f aca="false">IF(K104=1,(MIN(35,(C104-D104)))*(O104/(O104+P104))*(S104/(S104+T104)),(MAX(-35,(C104-D104)))*(IF(P104=0,0.1,(P104/(O104+P104))))*(T104/(S104+T104)))</f>
        <v>-3.29885057471264</v>
      </c>
      <c r="V104" s="0" t="n">
        <f aca="false">IF(L104=1,(MIN(35,(D104-C104)))*(M104/(M104+N104))*(Q104/(Q104+R104)),(MAX(-35,(D104-C104)))*(IF(N104=0,0.1,(N104/(M104+N104))))*(R104/(R104+Q104)))</f>
        <v>0</v>
      </c>
    </row>
    <row r="105" customFormat="false" ht="15" hidden="false" customHeight="false" outlineLevel="0" collapsed="false">
      <c r="A105" s="0" t="s">
        <v>8</v>
      </c>
      <c r="B105" s="0" t="s">
        <v>56</v>
      </c>
      <c r="C105" s="0" t="n">
        <v>45</v>
      </c>
      <c r="D105" s="0" t="n">
        <v>17</v>
      </c>
      <c r="E105" s="0" t="n">
        <v>155</v>
      </c>
      <c r="F105" s="0" t="n">
        <v>63</v>
      </c>
      <c r="G105" s="0" t="n">
        <v>188</v>
      </c>
      <c r="H105" s="0" t="n">
        <v>146</v>
      </c>
      <c r="I105" s="0" t="n">
        <v>3</v>
      </c>
      <c r="J105" s="0" t="n">
        <v>3</v>
      </c>
      <c r="K105" s="0" t="n">
        <v>1</v>
      </c>
      <c r="L105" s="0" t="n">
        <v>0</v>
      </c>
      <c r="M105" s="0" t="n">
        <f aca="false">VLOOKUP(A105,'Team Data'!$A$1:$P$140,2,FALSE())</f>
        <v>2</v>
      </c>
      <c r="N105" s="0" t="n">
        <f aca="false">VLOOKUP(A105,'Team Data'!$A$1:$P$140,3,FALSE())</f>
        <v>0</v>
      </c>
      <c r="O105" s="0" t="n">
        <f aca="false">VLOOKUP(B105,'Team Data'!$A$1:$P$140,2,FALSE())</f>
        <v>1</v>
      </c>
      <c r="P105" s="0" t="n">
        <f aca="false">VLOOKUP(B105,'Team Data'!$A$1:$P$140,3,FALSE())</f>
        <v>1</v>
      </c>
      <c r="Q105" s="0" t="n">
        <f aca="false">VLOOKUP(A105,'Team Data'!$A$1:$P$140,4,FALSE())</f>
        <v>1</v>
      </c>
      <c r="R105" s="0" t="n">
        <f aca="false">VLOOKUP(A105,'Team Data'!$A$1:$P$140,5,FALSE())</f>
        <v>3</v>
      </c>
      <c r="S105" s="0" t="n">
        <f aca="false">VLOOKUP(B105,'Team Data'!$A$1:$P$140,4,FALSE())</f>
        <v>7</v>
      </c>
      <c r="T105" s="0" t="n">
        <f aca="false">VLOOKUP(B105,'Team Data'!$A$1:$P$140,5,FALSE())</f>
        <v>80</v>
      </c>
      <c r="U105" s="0" t="n">
        <f aca="false">IF(K105=1,(MIN(35,(C105-D105)))*(O105/(O105+P105))*(S105/(S105+T105)),(MAX(-35,(C105-D105)))*(IF(P105=0,0.1,(P105/(O105+P105))))*(T105/(S105+T105)))</f>
        <v>1.1264367816092</v>
      </c>
      <c r="V105" s="0" t="n">
        <f aca="false">IF(L105=1,(MIN(35,(D105-C105)))*(M105/(M105+N105))*(Q105/(Q105+R105)),(MAX(-35,(D105-C105)))*(IF(N105=0,0.1,(N105/(M105+N105))))*(R105/(R105+Q105)))</f>
        <v>-2.1</v>
      </c>
    </row>
    <row r="106" customFormat="false" ht="15" hidden="false" customHeight="false" outlineLevel="0" collapsed="false">
      <c r="A106" s="0" t="s">
        <v>25</v>
      </c>
      <c r="B106" s="0" t="s">
        <v>92</v>
      </c>
      <c r="C106" s="0" t="n">
        <v>9</v>
      </c>
      <c r="D106" s="0" t="n">
        <v>41</v>
      </c>
      <c r="E106" s="0" t="n">
        <v>143</v>
      </c>
      <c r="F106" s="0" t="n">
        <v>127</v>
      </c>
      <c r="G106" s="0" t="n">
        <v>179</v>
      </c>
      <c r="H106" s="0" t="n">
        <v>293</v>
      </c>
      <c r="I106" s="0" t="n">
        <v>1</v>
      </c>
      <c r="J106" s="0" t="n">
        <v>1</v>
      </c>
      <c r="K106" s="0" t="n">
        <v>0</v>
      </c>
      <c r="L106" s="0" t="n">
        <v>1</v>
      </c>
      <c r="M106" s="0" t="n">
        <f aca="false">VLOOKUP(A106,'Team Data'!$A$1:$P$140,2,FALSE())</f>
        <v>0</v>
      </c>
      <c r="N106" s="0" t="n">
        <f aca="false">VLOOKUP(A106,'Team Data'!$A$1:$P$140,3,FALSE())</f>
        <v>2</v>
      </c>
      <c r="O106" s="0" t="n">
        <f aca="false">VLOOKUP(B106,'Team Data'!$A$1:$P$140,2,FALSE())</f>
        <v>2</v>
      </c>
      <c r="P106" s="0" t="n">
        <f aca="false">VLOOKUP(B106,'Team Data'!$A$1:$P$140,3,FALSE())</f>
        <v>0</v>
      </c>
      <c r="Q106" s="0" t="n">
        <f aca="false">VLOOKUP(A106,'Team Data'!$A$1:$P$140,4,FALSE())</f>
        <v>7</v>
      </c>
      <c r="R106" s="0" t="n">
        <f aca="false">VLOOKUP(A106,'Team Data'!$A$1:$P$140,5,FALSE())</f>
        <v>80</v>
      </c>
      <c r="S106" s="0" t="n">
        <f aca="false">VLOOKUP(B106,'Team Data'!$A$1:$P$140,4,FALSE())</f>
        <v>1</v>
      </c>
      <c r="T106" s="0" t="n">
        <f aca="false">VLOOKUP(B106,'Team Data'!$A$1:$P$140,5,FALSE())</f>
        <v>3</v>
      </c>
      <c r="U106" s="0" t="n">
        <f aca="false">IF(K106=1,(MIN(35,(C106-D106)))*(O106/(O106+P106))*(S106/(S106+T106)),(MAX(-35,(C106-D106)))*(IF(P106=0,0.1,(P106/(O106+P106))))*(T106/(S106+T106)))</f>
        <v>-2.4</v>
      </c>
      <c r="V106" s="0" t="n">
        <f aca="false">IF(L106=1,(MIN(35,(D106-C106)))*(M106/(M106+N106))*(Q106/(Q106+R106)),(MAX(-35,(D106-C106)))*(IF(N106=0,0.1,(N106/(M106+N106))))*(R106/(R106+Q106)))</f>
        <v>0</v>
      </c>
    </row>
    <row r="107" customFormat="false" ht="15" hidden="false" customHeight="false" outlineLevel="0" collapsed="false">
      <c r="A107" s="0" t="s">
        <v>72</v>
      </c>
      <c r="B107" s="0" t="s">
        <v>71</v>
      </c>
      <c r="C107" s="0" t="n">
        <v>38</v>
      </c>
      <c r="D107" s="0" t="n">
        <v>13</v>
      </c>
      <c r="E107" s="0" t="n">
        <v>252</v>
      </c>
      <c r="F107" s="0" t="n">
        <v>13</v>
      </c>
      <c r="G107" s="0" t="n">
        <v>227</v>
      </c>
      <c r="H107" s="0" t="n">
        <v>279</v>
      </c>
      <c r="I107" s="0" t="n">
        <v>1</v>
      </c>
      <c r="J107" s="0" t="n">
        <v>0</v>
      </c>
      <c r="K107" s="0" t="n">
        <v>1</v>
      </c>
      <c r="L107" s="0" t="n">
        <v>0</v>
      </c>
      <c r="M107" s="0" t="n">
        <f aca="false">VLOOKUP(A107,'Team Data'!$A$1:$P$140,2,FALSE())</f>
        <v>2</v>
      </c>
      <c r="N107" s="0" t="n">
        <f aca="false">VLOOKUP(A107,'Team Data'!$A$1:$P$140,3,FALSE())</f>
        <v>0</v>
      </c>
      <c r="O107" s="0" t="n">
        <f aca="false">VLOOKUP(B107,'Team Data'!$A$1:$P$140,2,FALSE())</f>
        <v>1</v>
      </c>
      <c r="P107" s="0" t="n">
        <f aca="false">VLOOKUP(B107,'Team Data'!$A$1:$P$140,3,FALSE())</f>
        <v>1</v>
      </c>
      <c r="Q107" s="0" t="n">
        <f aca="false">VLOOKUP(A107,'Team Data'!$A$1:$P$140,4,FALSE())</f>
        <v>1</v>
      </c>
      <c r="R107" s="0" t="n">
        <f aca="false">VLOOKUP(A107,'Team Data'!$A$1:$P$140,5,FALSE())</f>
        <v>3</v>
      </c>
      <c r="S107" s="0" t="n">
        <f aca="false">VLOOKUP(B107,'Team Data'!$A$1:$P$140,4,FALSE())</f>
        <v>7</v>
      </c>
      <c r="T107" s="0" t="n">
        <f aca="false">VLOOKUP(B107,'Team Data'!$A$1:$P$140,5,FALSE())</f>
        <v>80</v>
      </c>
      <c r="U107" s="0" t="n">
        <f aca="false">IF(K107=1,(MIN(35,(C107-D107)))*(O107/(O107+P107))*(S107/(S107+T107)),(MAX(-35,(C107-D107)))*(IF(P107=0,0.1,(P107/(O107+P107))))*(T107/(S107+T107)))</f>
        <v>1.00574712643678</v>
      </c>
      <c r="V107" s="0" t="n">
        <f aca="false">IF(L107=1,(MIN(35,(D107-C107)))*(M107/(M107+N107))*(Q107/(Q107+R107)),(MAX(-35,(D107-C107)))*(IF(N107=0,0.1,(N107/(M107+N107))))*(R107/(R107+Q107)))</f>
        <v>-1.875</v>
      </c>
    </row>
    <row r="108" customFormat="false" ht="15" hidden="false" customHeight="false" outlineLevel="0" collapsed="false">
      <c r="A108" s="0" t="s">
        <v>73</v>
      </c>
      <c r="B108" s="0" t="s">
        <v>52</v>
      </c>
      <c r="C108" s="0" t="n">
        <v>38</v>
      </c>
      <c r="D108" s="0" t="n">
        <v>21</v>
      </c>
      <c r="E108" s="0" t="n">
        <v>177</v>
      </c>
      <c r="F108" s="0" t="n">
        <v>81</v>
      </c>
      <c r="G108" s="0" t="n">
        <v>292</v>
      </c>
      <c r="H108" s="0" t="n">
        <v>174</v>
      </c>
      <c r="I108" s="0" t="n">
        <v>1</v>
      </c>
      <c r="J108" s="0" t="n">
        <v>3</v>
      </c>
      <c r="K108" s="0" t="n">
        <v>1</v>
      </c>
      <c r="L108" s="0" t="n">
        <v>0</v>
      </c>
      <c r="M108" s="0" t="n">
        <f aca="false">VLOOKUP(A108,'Team Data'!$A$1:$P$140,2,FALSE())</f>
        <v>2</v>
      </c>
      <c r="N108" s="0" t="n">
        <f aca="false">VLOOKUP(A108,'Team Data'!$A$1:$P$140,3,FALSE())</f>
        <v>0</v>
      </c>
      <c r="O108" s="0" t="n">
        <f aca="false">VLOOKUP(B108,'Team Data'!$A$1:$P$140,2,FALSE())</f>
        <v>1</v>
      </c>
      <c r="P108" s="0" t="n">
        <f aca="false">VLOOKUP(B108,'Team Data'!$A$1:$P$140,3,FALSE())</f>
        <v>1</v>
      </c>
      <c r="Q108" s="0" t="n">
        <f aca="false">VLOOKUP(A108,'Team Data'!$A$1:$P$140,4,FALSE())</f>
        <v>6</v>
      </c>
      <c r="R108" s="0" t="n">
        <f aca="false">VLOOKUP(A108,'Team Data'!$A$1:$P$140,5,FALSE())</f>
        <v>81</v>
      </c>
      <c r="S108" s="0" t="n">
        <f aca="false">VLOOKUP(B108,'Team Data'!$A$1:$P$140,4,FALSE())</f>
        <v>7</v>
      </c>
      <c r="T108" s="0" t="n">
        <f aca="false">VLOOKUP(B108,'Team Data'!$A$1:$P$140,5,FALSE())</f>
        <v>80</v>
      </c>
      <c r="U108" s="0" t="n">
        <f aca="false">IF(K108=1,(MIN(35,(C108-D108)))*(O108/(O108+P108))*(S108/(S108+T108)),(MAX(-35,(C108-D108)))*(IF(P108=0,0.1,(P108/(O108+P108))))*(T108/(S108+T108)))</f>
        <v>0.683908045977012</v>
      </c>
      <c r="V108" s="0" t="n">
        <f aca="false">IF(L108=1,(MIN(35,(D108-C108)))*(M108/(M108+N108))*(Q108/(Q108+R108)),(MAX(-35,(D108-C108)))*(IF(N108=0,0.1,(N108/(M108+N108))))*(R108/(R108+Q108)))</f>
        <v>-1.58275862068966</v>
      </c>
    </row>
    <row r="109" customFormat="false" ht="15" hidden="false" customHeight="false" outlineLevel="0" collapsed="false">
      <c r="A109" s="0" t="s">
        <v>89</v>
      </c>
      <c r="B109" s="0" t="s">
        <v>68</v>
      </c>
      <c r="C109" s="0" t="n">
        <v>10</v>
      </c>
      <c r="D109" s="0" t="n">
        <v>17</v>
      </c>
      <c r="E109" s="0" t="n">
        <v>100</v>
      </c>
      <c r="F109" s="0" t="n">
        <v>152</v>
      </c>
      <c r="G109" s="0" t="n">
        <v>189</v>
      </c>
      <c r="H109" s="0" t="n">
        <v>111</v>
      </c>
      <c r="I109" s="0" t="n">
        <v>2</v>
      </c>
      <c r="J109" s="0" t="n">
        <v>0</v>
      </c>
      <c r="K109" s="0" t="n">
        <v>0</v>
      </c>
      <c r="L109" s="0" t="n">
        <v>1</v>
      </c>
      <c r="M109" s="0" t="n">
        <f aca="false">VLOOKUP(A109,'Team Data'!$A$1:$P$140,2,FALSE())</f>
        <v>1</v>
      </c>
      <c r="N109" s="0" t="n">
        <f aca="false">VLOOKUP(A109,'Team Data'!$A$1:$P$140,3,FALSE())</f>
        <v>1</v>
      </c>
      <c r="O109" s="0" t="n">
        <f aca="false">VLOOKUP(B109,'Team Data'!$A$1:$P$140,2,FALSE())</f>
        <v>2</v>
      </c>
      <c r="P109" s="0" t="n">
        <f aca="false">VLOOKUP(B109,'Team Data'!$A$1:$P$140,3,FALSE())</f>
        <v>0</v>
      </c>
      <c r="Q109" s="0" t="n">
        <f aca="false">VLOOKUP(A109,'Team Data'!$A$1:$P$140,4,FALSE())</f>
        <v>3</v>
      </c>
      <c r="R109" s="0" t="n">
        <f aca="false">VLOOKUP(A109,'Team Data'!$A$1:$P$140,5,FALSE())</f>
        <v>1</v>
      </c>
      <c r="S109" s="0" t="n">
        <f aca="false">VLOOKUP(B109,'Team Data'!$A$1:$P$140,4,FALSE())</f>
        <v>2</v>
      </c>
      <c r="T109" s="0" t="n">
        <f aca="false">VLOOKUP(B109,'Team Data'!$A$1:$P$140,5,FALSE())</f>
        <v>2</v>
      </c>
      <c r="U109" s="0" t="n">
        <f aca="false">IF(K109=1,(MIN(35,(C109-D109)))*(O109/(O109+P109))*(S109/(S109+T109)),(MAX(-35,(C109-D109)))*(IF(P109=0,0.1,(P109/(O109+P109))))*(T109/(S109+T109)))</f>
        <v>-0.35</v>
      </c>
      <c r="V109" s="0" t="n">
        <f aca="false">IF(L109=1,(MIN(35,(D109-C109)))*(M109/(M109+N109))*(Q109/(Q109+R109)),(MAX(-35,(D109-C109)))*(IF(N109=0,0.1,(N109/(M109+N109))))*(R109/(R109+Q109)))</f>
        <v>2.625</v>
      </c>
    </row>
    <row r="110" customFormat="false" ht="15" hidden="false" customHeight="false" outlineLevel="0" collapsed="false">
      <c r="A110" s="0" t="s">
        <v>198</v>
      </c>
      <c r="B110" s="0" t="s">
        <v>106</v>
      </c>
      <c r="C110" s="0" t="n">
        <v>9</v>
      </c>
      <c r="D110" s="0" t="n">
        <v>45</v>
      </c>
      <c r="E110" s="0" t="n">
        <v>21</v>
      </c>
      <c r="F110" s="0" t="n">
        <v>405</v>
      </c>
      <c r="G110" s="0" t="n">
        <v>182</v>
      </c>
      <c r="H110" s="0" t="n">
        <v>97</v>
      </c>
      <c r="I110" s="0" t="n">
        <v>0</v>
      </c>
      <c r="J110" s="0" t="n">
        <v>2</v>
      </c>
      <c r="K110" s="0" t="n">
        <v>0</v>
      </c>
      <c r="L110" s="0" t="n">
        <v>1</v>
      </c>
      <c r="M110" s="0" t="n">
        <f aca="false">VLOOKUP(A110,'Team Data'!$A$1:$P$140,2,FALSE())</f>
        <v>5</v>
      </c>
      <c r="N110" s="0" t="n">
        <f aca="false">VLOOKUP(A110,'Team Data'!$A$1:$P$140,3,FALSE())</f>
        <v>80</v>
      </c>
      <c r="O110" s="0" t="n">
        <f aca="false">VLOOKUP(B110,'Team Data'!$A$1:$P$140,2,FALSE())</f>
        <v>2</v>
      </c>
      <c r="P110" s="0" t="n">
        <f aca="false">VLOOKUP(B110,'Team Data'!$A$1:$P$140,3,FALSE())</f>
        <v>0</v>
      </c>
      <c r="Q110" s="0" t="n">
        <f aca="false">VLOOKUP(A110,'Team Data'!$A$1:$P$140,4,FALSE())</f>
        <v>113</v>
      </c>
      <c r="R110" s="0" t="n">
        <f aca="false">VLOOKUP(A110,'Team Data'!$A$1:$P$140,5,FALSE())</f>
        <v>61</v>
      </c>
      <c r="S110" s="0" t="n">
        <f aca="false">VLOOKUP(B110,'Team Data'!$A$1:$P$140,4,FALSE())</f>
        <v>6</v>
      </c>
      <c r="T110" s="0" t="n">
        <f aca="false">VLOOKUP(B110,'Team Data'!$A$1:$P$140,5,FALSE())</f>
        <v>81</v>
      </c>
      <c r="U110" s="0" t="n">
        <f aca="false">IF(K110=1,(MIN(35,(C110-D110)))*(O110/(O110+P110))*(S110/(S110+T110)),(MAX(-35,(C110-D110)))*(IF(P110=0,0.1,(P110/(O110+P110))))*(T110/(S110+T110)))</f>
        <v>-3.25862068965517</v>
      </c>
      <c r="V110" s="0" t="n">
        <f aca="false">IF(L110=1,(MIN(35,(D110-C110)))*(M110/(M110+N110))*(Q110/(Q110+R110)),(MAX(-35,(D110-C110)))*(IF(N110=0,0.1,(N110/(M110+N110))))*(R110/(R110+Q110)))</f>
        <v>1.33705206220419</v>
      </c>
    </row>
    <row r="111" customFormat="false" ht="15" hidden="false" customHeight="false" outlineLevel="0" collapsed="false">
      <c r="A111" s="0" t="s">
        <v>112</v>
      </c>
      <c r="B111" s="0" t="s">
        <v>43</v>
      </c>
      <c r="C111" s="0" t="n">
        <v>45</v>
      </c>
      <c r="D111" s="0" t="n">
        <v>24</v>
      </c>
      <c r="E111" s="0" t="n">
        <v>299</v>
      </c>
      <c r="F111" s="0" t="n">
        <v>135</v>
      </c>
      <c r="G111" s="0" t="n">
        <v>148</v>
      </c>
      <c r="H111" s="0" t="n">
        <v>221</v>
      </c>
      <c r="I111" s="0" t="n">
        <v>0</v>
      </c>
      <c r="J111" s="0" t="n">
        <v>2</v>
      </c>
      <c r="K111" s="0" t="n">
        <v>1</v>
      </c>
      <c r="L111" s="0" t="n">
        <v>0</v>
      </c>
      <c r="M111" s="0" t="n">
        <f aca="false">VLOOKUP(A111,'Team Data'!$A$1:$P$140,2,FALSE())</f>
        <v>2</v>
      </c>
      <c r="N111" s="0" t="n">
        <f aca="false">VLOOKUP(A111,'Team Data'!$A$1:$P$140,3,FALSE())</f>
        <v>0</v>
      </c>
      <c r="O111" s="0" t="n">
        <f aca="false">VLOOKUP(B111,'Team Data'!$A$1:$P$140,2,FALSE())</f>
        <v>0</v>
      </c>
      <c r="P111" s="0" t="n">
        <f aca="false">VLOOKUP(B111,'Team Data'!$A$1:$P$140,3,FALSE())</f>
        <v>2</v>
      </c>
      <c r="Q111" s="0" t="n">
        <f aca="false">VLOOKUP(A111,'Team Data'!$A$1:$P$140,4,FALSE())</f>
        <v>5</v>
      </c>
      <c r="R111" s="0" t="n">
        <f aca="false">VLOOKUP(A111,'Team Data'!$A$1:$P$140,5,FALSE())</f>
        <v>82</v>
      </c>
      <c r="S111" s="0" t="n">
        <f aca="false">VLOOKUP(B111,'Team Data'!$A$1:$P$140,4,FALSE())</f>
        <v>4</v>
      </c>
      <c r="T111" s="0" t="n">
        <f aca="false">VLOOKUP(B111,'Team Data'!$A$1:$P$140,5,FALSE())</f>
        <v>0</v>
      </c>
      <c r="U111" s="0" t="n">
        <f aca="false">IF(K111=1,(MIN(35,(C111-D111)))*(O111/(O111+P111))*(S111/(S111+T111)),(MAX(-35,(C111-D111)))*(IF(P111=0,0.1,(P111/(O111+P111))))*(T111/(S111+T111)))</f>
        <v>0</v>
      </c>
      <c r="V111" s="0" t="n">
        <f aca="false">IF(L111=1,(MIN(35,(D111-C111)))*(M111/(M111+N111))*(Q111/(Q111+R111)),(MAX(-35,(D111-C111)))*(IF(N111=0,0.1,(N111/(M111+N111))))*(R111/(R111+Q111)))</f>
        <v>-1.97931034482759</v>
      </c>
    </row>
    <row r="112" customFormat="false" ht="15" hidden="false" customHeight="false" outlineLevel="0" collapsed="false">
      <c r="A112" s="0" t="s">
        <v>88</v>
      </c>
      <c r="B112" s="0" t="s">
        <v>113</v>
      </c>
      <c r="C112" s="0" t="n">
        <v>23</v>
      </c>
      <c r="D112" s="0" t="n">
        <v>24</v>
      </c>
      <c r="E112" s="0" t="n">
        <v>94</v>
      </c>
      <c r="F112" s="0" t="n">
        <v>141</v>
      </c>
      <c r="G112" s="0" t="n">
        <v>278</v>
      </c>
      <c r="H112" s="0" t="n">
        <v>195</v>
      </c>
      <c r="I112" s="0" t="n">
        <v>1</v>
      </c>
      <c r="J112" s="0" t="n">
        <v>2</v>
      </c>
      <c r="K112" s="0" t="n">
        <v>0</v>
      </c>
      <c r="L112" s="0" t="n">
        <v>1</v>
      </c>
      <c r="M112" s="0" t="n">
        <f aca="false">VLOOKUP(A112,'Team Data'!$A$1:$P$140,2,FALSE())</f>
        <v>1</v>
      </c>
      <c r="N112" s="0" t="n">
        <f aca="false">VLOOKUP(A112,'Team Data'!$A$1:$P$140,3,FALSE())</f>
        <v>1</v>
      </c>
      <c r="O112" s="0" t="n">
        <f aca="false">VLOOKUP(B112,'Team Data'!$A$1:$P$140,2,FALSE())</f>
        <v>2</v>
      </c>
      <c r="P112" s="0" t="n">
        <f aca="false">VLOOKUP(B112,'Team Data'!$A$1:$P$140,3,FALSE())</f>
        <v>0</v>
      </c>
      <c r="Q112" s="0" t="n">
        <f aca="false">VLOOKUP(A112,'Team Data'!$A$1:$P$140,4,FALSE())</f>
        <v>3</v>
      </c>
      <c r="R112" s="0" t="n">
        <f aca="false">VLOOKUP(A112,'Team Data'!$A$1:$P$140,5,FALSE())</f>
        <v>1</v>
      </c>
      <c r="S112" s="0" t="n">
        <f aca="false">VLOOKUP(B112,'Team Data'!$A$1:$P$140,4,FALSE())</f>
        <v>1</v>
      </c>
      <c r="T112" s="0" t="n">
        <f aca="false">VLOOKUP(B112,'Team Data'!$A$1:$P$140,5,FALSE())</f>
        <v>3</v>
      </c>
      <c r="U112" s="0" t="n">
        <f aca="false">IF(K112=1,(MIN(35,(C112-D112)))*(O112/(O112+P112))*(S112/(S112+T112)),(MAX(-35,(C112-D112)))*(IF(P112=0,0.1,(P112/(O112+P112))))*(T112/(S112+T112)))</f>
        <v>-0.075</v>
      </c>
      <c r="V112" s="0" t="n">
        <f aca="false">IF(L112=1,(MIN(35,(D112-C112)))*(M112/(M112+N112))*(Q112/(Q112+R112)),(MAX(-35,(D112-C112)))*(IF(N112=0,0.1,(N112/(M112+N112))))*(R112/(R112+Q112)))</f>
        <v>0.375</v>
      </c>
    </row>
    <row r="113" customFormat="false" ht="15" hidden="false" customHeight="false" outlineLevel="0" collapsed="false">
      <c r="A113" s="0" t="s">
        <v>11</v>
      </c>
      <c r="B113" s="0" t="s">
        <v>114</v>
      </c>
      <c r="C113" s="0" t="n">
        <v>20</v>
      </c>
      <c r="D113" s="0" t="n">
        <v>48</v>
      </c>
      <c r="E113" s="0" t="n">
        <v>115</v>
      </c>
      <c r="F113" s="0" t="n">
        <v>92</v>
      </c>
      <c r="G113" s="0" t="n">
        <v>254</v>
      </c>
      <c r="H113" s="0" t="n">
        <v>163</v>
      </c>
      <c r="I113" s="0" t="n">
        <v>4</v>
      </c>
      <c r="J113" s="0" t="n">
        <v>1</v>
      </c>
      <c r="K113" s="0" t="n">
        <v>0</v>
      </c>
      <c r="L113" s="0" t="n">
        <v>1</v>
      </c>
      <c r="M113" s="0" t="n">
        <f aca="false">VLOOKUP(A113,'Team Data'!$A$1:$P$140,2,FALSE())</f>
        <v>1</v>
      </c>
      <c r="N113" s="0" t="n">
        <f aca="false">VLOOKUP(A113,'Team Data'!$A$1:$P$140,3,FALSE())</f>
        <v>1</v>
      </c>
      <c r="O113" s="0" t="n">
        <f aca="false">VLOOKUP(B113,'Team Data'!$A$1:$P$140,2,FALSE())</f>
        <v>2</v>
      </c>
      <c r="P113" s="0" t="n">
        <f aca="false">VLOOKUP(B113,'Team Data'!$A$1:$P$140,3,FALSE())</f>
        <v>0</v>
      </c>
      <c r="Q113" s="0" t="n">
        <f aca="false">VLOOKUP(A113,'Team Data'!$A$1:$P$140,4,FALSE())</f>
        <v>7</v>
      </c>
      <c r="R113" s="0" t="n">
        <f aca="false">VLOOKUP(A113,'Team Data'!$A$1:$P$140,5,FALSE())</f>
        <v>80</v>
      </c>
      <c r="S113" s="0" t="n">
        <f aca="false">VLOOKUP(B113,'Team Data'!$A$1:$P$140,4,FALSE())</f>
        <v>2</v>
      </c>
      <c r="T113" s="0" t="n">
        <f aca="false">VLOOKUP(B113,'Team Data'!$A$1:$P$140,5,FALSE())</f>
        <v>2</v>
      </c>
      <c r="U113" s="0" t="n">
        <f aca="false">IF(K113=1,(MIN(35,(C113-D113)))*(O113/(O113+P113))*(S113/(S113+T113)),(MAX(-35,(C113-D113)))*(IF(P113=0,0.1,(P113/(O113+P113))))*(T113/(S113+T113)))</f>
        <v>-1.4</v>
      </c>
      <c r="V113" s="0" t="n">
        <f aca="false">IF(L113=1,(MIN(35,(D113-C113)))*(M113/(M113+N113))*(Q113/(Q113+R113)),(MAX(-35,(D113-C113)))*(IF(N113=0,0.1,(N113/(M113+N113))))*(R113/(R113+Q113)))</f>
        <v>1.1264367816092</v>
      </c>
    </row>
    <row r="114" customFormat="false" ht="15" hidden="false" customHeight="false" outlineLevel="0" collapsed="false">
      <c r="A114" s="0" t="s">
        <v>31</v>
      </c>
      <c r="B114" s="0" t="s">
        <v>133</v>
      </c>
      <c r="C114" s="0" t="n">
        <v>26</v>
      </c>
      <c r="D114" s="0" t="n">
        <v>35</v>
      </c>
      <c r="E114" s="0" t="n">
        <v>98</v>
      </c>
      <c r="F114" s="0" t="n">
        <v>100</v>
      </c>
      <c r="G114" s="0" t="n">
        <v>240</v>
      </c>
      <c r="H114" s="0" t="n">
        <v>239</v>
      </c>
      <c r="I114" s="0" t="n">
        <v>2</v>
      </c>
      <c r="J114" s="0" t="n">
        <v>1</v>
      </c>
      <c r="K114" s="0" t="n">
        <v>0</v>
      </c>
      <c r="L114" s="0" t="n">
        <v>1</v>
      </c>
      <c r="M114" s="0" t="n">
        <f aca="false">VLOOKUP(A114,'Team Data'!$A$1:$P$140,2,FALSE())</f>
        <v>1</v>
      </c>
      <c r="N114" s="0" t="n">
        <f aca="false">VLOOKUP(A114,'Team Data'!$A$1:$P$140,3,FALSE())</f>
        <v>1</v>
      </c>
      <c r="O114" s="0" t="n">
        <f aca="false">VLOOKUP(B114,'Team Data'!$A$1:$P$140,2,FALSE())</f>
        <v>2</v>
      </c>
      <c r="P114" s="0" t="n">
        <f aca="false">VLOOKUP(B114,'Team Data'!$A$1:$P$140,3,FALSE())</f>
        <v>0</v>
      </c>
      <c r="Q114" s="0" t="n">
        <f aca="false">VLOOKUP(A114,'Team Data'!$A$1:$P$140,4,FALSE())</f>
        <v>7</v>
      </c>
      <c r="R114" s="0" t="n">
        <f aca="false">VLOOKUP(A114,'Team Data'!$A$1:$P$140,5,FALSE())</f>
        <v>80</v>
      </c>
      <c r="S114" s="0" t="n">
        <f aca="false">VLOOKUP(B114,'Team Data'!$A$1:$P$140,4,FALSE())</f>
        <v>6</v>
      </c>
      <c r="T114" s="0" t="n">
        <f aca="false">VLOOKUP(B114,'Team Data'!$A$1:$P$140,5,FALSE())</f>
        <v>81</v>
      </c>
      <c r="U114" s="0" t="n">
        <f aca="false">IF(K114=1,(MIN(35,(C114-D114)))*(O114/(O114+P114))*(S114/(S114+T114)),(MAX(-35,(C114-D114)))*(IF(P114=0,0.1,(P114/(O114+P114))))*(T114/(S114+T114)))</f>
        <v>-0.837931034482759</v>
      </c>
      <c r="V114" s="0" t="n">
        <f aca="false">IF(L114=1,(MIN(35,(D114-C114)))*(M114/(M114+N114))*(Q114/(Q114+R114)),(MAX(-35,(D114-C114)))*(IF(N114=0,0.1,(N114/(M114+N114))))*(R114/(R114+Q114)))</f>
        <v>0.362068965517241</v>
      </c>
    </row>
    <row r="115" customFormat="false" ht="15" hidden="false" customHeight="false" outlineLevel="0" collapsed="false">
      <c r="A115" s="0" t="s">
        <v>138</v>
      </c>
      <c r="B115" s="0" t="s">
        <v>53</v>
      </c>
      <c r="C115" s="0" t="n">
        <v>7</v>
      </c>
      <c r="D115" s="0" t="n">
        <v>34</v>
      </c>
      <c r="E115" s="0" t="n">
        <v>101</v>
      </c>
      <c r="F115" s="0" t="n">
        <v>295</v>
      </c>
      <c r="G115" s="0" t="n">
        <v>65</v>
      </c>
      <c r="H115" s="0" t="n">
        <v>192</v>
      </c>
      <c r="I115" s="0" t="n">
        <v>1</v>
      </c>
      <c r="J115" s="0" t="n">
        <v>2</v>
      </c>
      <c r="K115" s="0" t="n">
        <v>0</v>
      </c>
      <c r="L115" s="0" t="n">
        <v>1</v>
      </c>
      <c r="M115" s="0" t="n">
        <f aca="false">VLOOKUP(A115,'Team Data'!$A$1:$P$140,2,FALSE())</f>
        <v>0</v>
      </c>
      <c r="N115" s="0" t="n">
        <f aca="false">VLOOKUP(A115,'Team Data'!$A$1:$P$140,3,FALSE())</f>
        <v>2</v>
      </c>
      <c r="O115" s="0" t="n">
        <f aca="false">VLOOKUP(B115,'Team Data'!$A$1:$P$140,2,FALSE())</f>
        <v>2</v>
      </c>
      <c r="P115" s="0" t="n">
        <f aca="false">VLOOKUP(B115,'Team Data'!$A$1:$P$140,3,FALSE())</f>
        <v>0</v>
      </c>
      <c r="Q115" s="0" t="n">
        <f aca="false">VLOOKUP(A115,'Team Data'!$A$1:$P$140,4,FALSE())</f>
        <v>4</v>
      </c>
      <c r="R115" s="0" t="n">
        <f aca="false">VLOOKUP(A115,'Team Data'!$A$1:$P$140,5,FALSE())</f>
        <v>0</v>
      </c>
      <c r="S115" s="0" t="n">
        <f aca="false">VLOOKUP(B115,'Team Data'!$A$1:$P$140,4,FALSE())</f>
        <v>5</v>
      </c>
      <c r="T115" s="0" t="n">
        <f aca="false">VLOOKUP(B115,'Team Data'!$A$1:$P$140,5,FALSE())</f>
        <v>82</v>
      </c>
      <c r="U115" s="0" t="n">
        <f aca="false">IF(K115=1,(MIN(35,(C115-D115)))*(O115/(O115+P115))*(S115/(S115+T115)),(MAX(-35,(C115-D115)))*(IF(P115=0,0.1,(P115/(O115+P115))))*(T115/(S115+T115)))</f>
        <v>-2.5448275862069</v>
      </c>
      <c r="V115" s="0" t="n">
        <f aca="false">IF(L115=1,(MIN(35,(D115-C115)))*(M115/(M115+N115))*(Q115/(Q115+R115)),(MAX(-35,(D115-C115)))*(IF(N115=0,0.1,(N115/(M115+N115))))*(R115/(R115+Q115)))</f>
        <v>0</v>
      </c>
    </row>
    <row r="116" customFormat="false" ht="15" hidden="false" customHeight="false" outlineLevel="0" collapsed="false">
      <c r="A116" s="0" t="s">
        <v>93</v>
      </c>
      <c r="B116" s="0" t="s">
        <v>90</v>
      </c>
      <c r="C116" s="0" t="n">
        <v>31</v>
      </c>
      <c r="D116" s="0" t="n">
        <v>39</v>
      </c>
      <c r="E116" s="0" t="n">
        <v>90</v>
      </c>
      <c r="F116" s="0" t="n">
        <v>237</v>
      </c>
      <c r="G116" s="0" t="n">
        <v>191</v>
      </c>
      <c r="H116" s="0" t="n">
        <v>317</v>
      </c>
      <c r="I116" s="0" t="n">
        <v>1</v>
      </c>
      <c r="J116" s="0" t="n">
        <v>2</v>
      </c>
      <c r="K116" s="0" t="n">
        <v>0</v>
      </c>
      <c r="L116" s="0" t="n">
        <v>1</v>
      </c>
      <c r="M116" s="0" t="n">
        <f aca="false">VLOOKUP(A116,'Team Data'!$A$1:$P$140,2,FALSE())</f>
        <v>1</v>
      </c>
      <c r="N116" s="0" t="n">
        <f aca="false">VLOOKUP(A116,'Team Data'!$A$1:$P$140,3,FALSE())</f>
        <v>1</v>
      </c>
      <c r="O116" s="0" t="n">
        <f aca="false">VLOOKUP(B116,'Team Data'!$A$1:$P$140,2,FALSE())</f>
        <v>1</v>
      </c>
      <c r="P116" s="0" t="n">
        <f aca="false">VLOOKUP(B116,'Team Data'!$A$1:$P$140,3,FALSE())</f>
        <v>1</v>
      </c>
      <c r="Q116" s="0" t="n">
        <f aca="false">VLOOKUP(A116,'Team Data'!$A$1:$P$140,4,FALSE())</f>
        <v>2</v>
      </c>
      <c r="R116" s="0" t="n">
        <f aca="false">VLOOKUP(A116,'Team Data'!$A$1:$P$140,5,FALSE())</f>
        <v>2</v>
      </c>
      <c r="S116" s="0" t="n">
        <f aca="false">VLOOKUP(B116,'Team Data'!$A$1:$P$140,4,FALSE())</f>
        <v>3</v>
      </c>
      <c r="T116" s="0" t="n">
        <f aca="false">VLOOKUP(B116,'Team Data'!$A$1:$P$140,5,FALSE())</f>
        <v>1</v>
      </c>
      <c r="U116" s="0" t="n">
        <f aca="false">IF(K116=1,(MIN(35,(C116-D116)))*(O116/(O116+P116))*(S116/(S116+T116)),(MAX(-35,(C116-D116)))*(IF(P116=0,0.1,(P116/(O116+P116))))*(T116/(S116+T116)))</f>
        <v>-1</v>
      </c>
      <c r="V116" s="0" t="n">
        <f aca="false">IF(L116=1,(MIN(35,(D116-C116)))*(M116/(M116+N116))*(Q116/(Q116+R116)),(MAX(-35,(D116-C116)))*(IF(N116=0,0.1,(N116/(M116+N116))))*(R116/(R116+Q116)))</f>
        <v>2</v>
      </c>
    </row>
    <row r="117" customFormat="false" ht="15" hidden="false" customHeight="false" outlineLevel="0" collapsed="false">
      <c r="A117" s="0" t="s">
        <v>116</v>
      </c>
      <c r="B117" s="0" t="s">
        <v>94</v>
      </c>
      <c r="C117" s="0" t="n">
        <v>35</v>
      </c>
      <c r="D117" s="0" t="n">
        <v>24</v>
      </c>
      <c r="E117" s="0" t="n">
        <v>155</v>
      </c>
      <c r="F117" s="0" t="n">
        <v>55</v>
      </c>
      <c r="G117" s="0" t="n">
        <v>197</v>
      </c>
      <c r="H117" s="0" t="n">
        <v>417</v>
      </c>
      <c r="I117" s="0" t="n">
        <v>1</v>
      </c>
      <c r="J117" s="0" t="n">
        <v>1</v>
      </c>
      <c r="K117" s="0" t="n">
        <v>1</v>
      </c>
      <c r="L117" s="0" t="n">
        <v>0</v>
      </c>
      <c r="M117" s="0" t="n">
        <f aca="false">VLOOKUP(A117,'Team Data'!$A$1:$P$140,2,FALSE())</f>
        <v>2</v>
      </c>
      <c r="N117" s="0" t="n">
        <f aca="false">VLOOKUP(A117,'Team Data'!$A$1:$P$140,3,FALSE())</f>
        <v>0</v>
      </c>
      <c r="O117" s="0" t="n">
        <f aca="false">VLOOKUP(B117,'Team Data'!$A$1:$P$140,2,FALSE())</f>
        <v>0</v>
      </c>
      <c r="P117" s="0" t="n">
        <f aca="false">VLOOKUP(B117,'Team Data'!$A$1:$P$140,3,FALSE())</f>
        <v>2</v>
      </c>
      <c r="Q117" s="0" t="n">
        <f aca="false">VLOOKUP(A117,'Team Data'!$A$1:$P$140,4,FALSE())</f>
        <v>5</v>
      </c>
      <c r="R117" s="0" t="n">
        <f aca="false">VLOOKUP(A117,'Team Data'!$A$1:$P$140,5,FALSE())</f>
        <v>82</v>
      </c>
      <c r="S117" s="0" t="n">
        <f aca="false">VLOOKUP(B117,'Team Data'!$A$1:$P$140,4,FALSE())</f>
        <v>4</v>
      </c>
      <c r="T117" s="0" t="n">
        <f aca="false">VLOOKUP(B117,'Team Data'!$A$1:$P$140,5,FALSE())</f>
        <v>0</v>
      </c>
      <c r="U117" s="0" t="n">
        <f aca="false">IF(K117=1,(MIN(35,(C117-D117)))*(O117/(O117+P117))*(S117/(S117+T117)),(MAX(-35,(C117-D117)))*(IF(P117=0,0.1,(P117/(O117+P117))))*(T117/(S117+T117)))</f>
        <v>0</v>
      </c>
      <c r="V117" s="0" t="n">
        <f aca="false">IF(L117=1,(MIN(35,(D117-C117)))*(M117/(M117+N117))*(Q117/(Q117+R117)),(MAX(-35,(D117-C117)))*(IF(N117=0,0.1,(N117/(M117+N117))))*(R117/(R117+Q117)))</f>
        <v>-1.0367816091954</v>
      </c>
    </row>
    <row r="118" customFormat="false" ht="15" hidden="false" customHeight="false" outlineLevel="0" collapsed="false">
      <c r="A118" s="0" t="s">
        <v>198</v>
      </c>
      <c r="B118" s="0" t="s">
        <v>18</v>
      </c>
      <c r="C118" s="0" t="n">
        <v>3</v>
      </c>
      <c r="D118" s="0" t="n">
        <v>44</v>
      </c>
      <c r="E118" s="0" t="n">
        <v>36</v>
      </c>
      <c r="F118" s="0" t="n">
        <v>232</v>
      </c>
      <c r="G118" s="0" t="n">
        <v>74</v>
      </c>
      <c r="H118" s="0" t="n">
        <v>320</v>
      </c>
      <c r="I118" s="0" t="n">
        <v>1</v>
      </c>
      <c r="J118" s="0" t="n">
        <v>3</v>
      </c>
      <c r="K118" s="0" t="n">
        <v>0</v>
      </c>
      <c r="L118" s="0" t="n">
        <v>1</v>
      </c>
      <c r="M118" s="0" t="n">
        <f aca="false">VLOOKUP(A118,'Team Data'!$A$1:$P$140,2,FALSE())</f>
        <v>5</v>
      </c>
      <c r="N118" s="0" t="n">
        <f aca="false">VLOOKUP(A118,'Team Data'!$A$1:$P$140,3,FALSE())</f>
        <v>80</v>
      </c>
      <c r="O118" s="0" t="n">
        <f aca="false">VLOOKUP(B118,'Team Data'!$A$1:$P$140,2,FALSE())</f>
        <v>1</v>
      </c>
      <c r="P118" s="0" t="n">
        <f aca="false">VLOOKUP(B118,'Team Data'!$A$1:$P$140,3,FALSE())</f>
        <v>1</v>
      </c>
      <c r="Q118" s="0" t="n">
        <f aca="false">VLOOKUP(A118,'Team Data'!$A$1:$P$140,4,FALSE())</f>
        <v>113</v>
      </c>
      <c r="R118" s="0" t="n">
        <f aca="false">VLOOKUP(A118,'Team Data'!$A$1:$P$140,5,FALSE())</f>
        <v>61</v>
      </c>
      <c r="S118" s="0" t="n">
        <f aca="false">VLOOKUP(B118,'Team Data'!$A$1:$P$140,4,FALSE())</f>
        <v>7</v>
      </c>
      <c r="T118" s="0" t="n">
        <f aca="false">VLOOKUP(B118,'Team Data'!$A$1:$P$140,5,FALSE())</f>
        <v>80</v>
      </c>
      <c r="U118" s="0" t="n">
        <f aca="false">IF(K118=1,(MIN(35,(C118-D118)))*(O118/(O118+P118))*(S118/(S118+T118)),(MAX(-35,(C118-D118)))*(IF(P118=0,0.1,(P118/(O118+P118))))*(T118/(S118+T118)))</f>
        <v>-16.0919540229885</v>
      </c>
      <c r="V118" s="0" t="n">
        <f aca="false">IF(L118=1,(MIN(35,(D118-C118)))*(M118/(M118+N118))*(Q118/(Q118+R118)),(MAX(-35,(D118-C118)))*(IF(N118=0,0.1,(N118/(M118+N118))))*(R118/(R118+Q118)))</f>
        <v>1.33705206220419</v>
      </c>
    </row>
    <row r="119" customFormat="false" ht="15" hidden="false" customHeight="false" outlineLevel="0" collapsed="false">
      <c r="A119" s="0" t="s">
        <v>198</v>
      </c>
      <c r="B119" s="0" t="s">
        <v>29</v>
      </c>
      <c r="C119" s="0" t="n">
        <v>21</v>
      </c>
      <c r="D119" s="0" t="n">
        <v>52</v>
      </c>
      <c r="E119" s="0" t="n">
        <v>127</v>
      </c>
      <c r="F119" s="0" t="n">
        <v>180</v>
      </c>
      <c r="G119" s="0" t="n">
        <v>245</v>
      </c>
      <c r="H119" s="0" t="n">
        <v>398</v>
      </c>
      <c r="I119" s="0" t="n">
        <v>2</v>
      </c>
      <c r="J119" s="0" t="n">
        <v>2</v>
      </c>
      <c r="K119" s="0" t="n">
        <v>0</v>
      </c>
      <c r="L119" s="0" t="n">
        <v>1</v>
      </c>
      <c r="M119" s="0" t="n">
        <f aca="false">VLOOKUP(A119,'Team Data'!$A$1:$P$140,2,FALSE())</f>
        <v>5</v>
      </c>
      <c r="N119" s="0" t="n">
        <f aca="false">VLOOKUP(A119,'Team Data'!$A$1:$P$140,3,FALSE())</f>
        <v>80</v>
      </c>
      <c r="O119" s="0" t="n">
        <f aca="false">VLOOKUP(B119,'Team Data'!$A$1:$P$140,2,FALSE())</f>
        <v>2</v>
      </c>
      <c r="P119" s="0" t="n">
        <f aca="false">VLOOKUP(B119,'Team Data'!$A$1:$P$140,3,FALSE())</f>
        <v>0</v>
      </c>
      <c r="Q119" s="0" t="n">
        <f aca="false">VLOOKUP(A119,'Team Data'!$A$1:$P$140,4,FALSE())</f>
        <v>113</v>
      </c>
      <c r="R119" s="0" t="n">
        <f aca="false">VLOOKUP(A119,'Team Data'!$A$1:$P$140,5,FALSE())</f>
        <v>61</v>
      </c>
      <c r="S119" s="0" t="n">
        <f aca="false">VLOOKUP(B119,'Team Data'!$A$1:$P$140,4,FALSE())</f>
        <v>5</v>
      </c>
      <c r="T119" s="0" t="n">
        <f aca="false">VLOOKUP(B119,'Team Data'!$A$1:$P$140,5,FALSE())</f>
        <v>82</v>
      </c>
      <c r="U119" s="0" t="n">
        <f aca="false">IF(K119=1,(MIN(35,(C119-D119)))*(O119/(O119+P119))*(S119/(S119+T119)),(MAX(-35,(C119-D119)))*(IF(P119=0,0.1,(P119/(O119+P119))))*(T119/(S119+T119)))</f>
        <v>-2.92183908045977</v>
      </c>
      <c r="V119" s="0" t="n">
        <f aca="false">IF(L119=1,(MIN(35,(D119-C119)))*(M119/(M119+N119))*(Q119/(Q119+R119)),(MAX(-35,(D119-C119)))*(IF(N119=0,0.1,(N119/(M119+N119))))*(R119/(R119+Q119)))</f>
        <v>1.184246112238</v>
      </c>
    </row>
    <row r="120" customFormat="false" ht="15" hidden="false" customHeight="false" outlineLevel="0" collapsed="false">
      <c r="A120" s="0" t="s">
        <v>198</v>
      </c>
      <c r="B120" s="0" t="s">
        <v>26</v>
      </c>
      <c r="C120" s="0" t="n">
        <v>10</v>
      </c>
      <c r="D120" s="0" t="n">
        <v>62</v>
      </c>
      <c r="E120" s="0" t="n">
        <v>74</v>
      </c>
      <c r="F120" s="0" t="n">
        <v>418</v>
      </c>
      <c r="G120" s="0" t="n">
        <v>167</v>
      </c>
      <c r="H120" s="0" t="n">
        <v>272</v>
      </c>
      <c r="I120" s="0" t="n">
        <v>1</v>
      </c>
      <c r="J120" s="0" t="n">
        <v>0</v>
      </c>
      <c r="K120" s="0" t="n">
        <v>0</v>
      </c>
      <c r="L120" s="0" t="n">
        <v>1</v>
      </c>
      <c r="M120" s="0" t="n">
        <f aca="false">VLOOKUP(A120,'Team Data'!$A$1:$P$140,2,FALSE())</f>
        <v>5</v>
      </c>
      <c r="N120" s="0" t="n">
        <f aca="false">VLOOKUP(A120,'Team Data'!$A$1:$P$140,3,FALSE())</f>
        <v>80</v>
      </c>
      <c r="O120" s="0" t="n">
        <f aca="false">VLOOKUP(B120,'Team Data'!$A$1:$P$140,2,FALSE())</f>
        <v>2</v>
      </c>
      <c r="P120" s="0" t="n">
        <f aca="false">VLOOKUP(B120,'Team Data'!$A$1:$P$140,3,FALSE())</f>
        <v>0</v>
      </c>
      <c r="Q120" s="0" t="n">
        <f aca="false">VLOOKUP(A120,'Team Data'!$A$1:$P$140,4,FALSE())</f>
        <v>113</v>
      </c>
      <c r="R120" s="0" t="n">
        <f aca="false">VLOOKUP(A120,'Team Data'!$A$1:$P$140,5,FALSE())</f>
        <v>61</v>
      </c>
      <c r="S120" s="0" t="n">
        <f aca="false">VLOOKUP(B120,'Team Data'!$A$1:$P$140,4,FALSE())</f>
        <v>6</v>
      </c>
      <c r="T120" s="0" t="n">
        <f aca="false">VLOOKUP(B120,'Team Data'!$A$1:$P$140,5,FALSE())</f>
        <v>81</v>
      </c>
      <c r="U120" s="0" t="n">
        <f aca="false">IF(K120=1,(MIN(35,(C120-D120)))*(O120/(O120+P120))*(S120/(S120+T120)),(MAX(-35,(C120-D120)))*(IF(P120=0,0.1,(P120/(O120+P120))))*(T120/(S120+T120)))</f>
        <v>-3.25862068965517</v>
      </c>
      <c r="V120" s="0" t="n">
        <f aca="false">IF(L120=1,(MIN(35,(D120-C120)))*(M120/(M120+N120))*(Q120/(Q120+R120)),(MAX(-35,(D120-C120)))*(IF(N120=0,0.1,(N120/(M120+N120))))*(R120/(R120+Q120)))</f>
        <v>1.33705206220419</v>
      </c>
    </row>
    <row r="121" customFormat="false" ht="15" hidden="false" customHeight="false" outlineLevel="0" collapsed="false">
      <c r="A121" s="0" t="s">
        <v>198</v>
      </c>
      <c r="B121" s="0" t="s">
        <v>45</v>
      </c>
      <c r="C121" s="0" t="n">
        <v>6</v>
      </c>
      <c r="D121" s="0" t="n">
        <v>77</v>
      </c>
      <c r="E121" s="0" t="n">
        <v>-6</v>
      </c>
      <c r="F121" s="0" t="n">
        <v>388</v>
      </c>
      <c r="G121" s="0" t="n">
        <v>127</v>
      </c>
      <c r="H121" s="0" t="n">
        <v>203</v>
      </c>
      <c r="I121" s="0" t="n">
        <v>3</v>
      </c>
      <c r="J121" s="0" t="n">
        <v>0</v>
      </c>
      <c r="K121" s="0" t="n">
        <v>0</v>
      </c>
      <c r="L121" s="0" t="n">
        <v>1</v>
      </c>
      <c r="M121" s="0" t="n">
        <f aca="false">VLOOKUP(A121,'Team Data'!$A$1:$P$140,2,FALSE())</f>
        <v>5</v>
      </c>
      <c r="N121" s="0" t="n">
        <f aca="false">VLOOKUP(A121,'Team Data'!$A$1:$P$140,3,FALSE())</f>
        <v>80</v>
      </c>
      <c r="O121" s="0" t="n">
        <f aca="false">VLOOKUP(B121,'Team Data'!$A$1:$P$140,2,FALSE())</f>
        <v>2</v>
      </c>
      <c r="P121" s="0" t="n">
        <f aca="false">VLOOKUP(B121,'Team Data'!$A$1:$P$140,3,FALSE())</f>
        <v>0</v>
      </c>
      <c r="Q121" s="0" t="n">
        <f aca="false">VLOOKUP(A121,'Team Data'!$A$1:$P$140,4,FALSE())</f>
        <v>113</v>
      </c>
      <c r="R121" s="0" t="n">
        <f aca="false">VLOOKUP(A121,'Team Data'!$A$1:$P$140,5,FALSE())</f>
        <v>61</v>
      </c>
      <c r="S121" s="0" t="n">
        <f aca="false">VLOOKUP(B121,'Team Data'!$A$1:$P$140,4,FALSE())</f>
        <v>5</v>
      </c>
      <c r="T121" s="0" t="n">
        <f aca="false">VLOOKUP(B121,'Team Data'!$A$1:$P$140,5,FALSE())</f>
        <v>82</v>
      </c>
      <c r="U121" s="0" t="n">
        <f aca="false">IF(K121=1,(MIN(35,(C121-D121)))*(O121/(O121+P121))*(S121/(S121+T121)),(MAX(-35,(C121-D121)))*(IF(P121=0,0.1,(P121/(O121+P121))))*(T121/(S121+T121)))</f>
        <v>-3.29885057471264</v>
      </c>
      <c r="V121" s="0" t="n">
        <f aca="false">IF(L121=1,(MIN(35,(D121-C121)))*(M121/(M121+N121))*(Q121/(Q121+R121)),(MAX(-35,(D121-C121)))*(IF(N121=0,0.1,(N121/(M121+N121))))*(R121/(R121+Q121)))</f>
        <v>1.33705206220419</v>
      </c>
    </row>
    <row r="122" customFormat="false" ht="15" hidden="false" customHeight="false" outlineLevel="0" collapsed="false">
      <c r="A122" s="0" t="s">
        <v>49</v>
      </c>
      <c r="B122" s="0" t="s">
        <v>48</v>
      </c>
      <c r="C122" s="0" t="n">
        <v>13</v>
      </c>
      <c r="D122" s="0" t="n">
        <v>16</v>
      </c>
      <c r="E122" s="0" t="n">
        <v>138</v>
      </c>
      <c r="F122" s="0" t="n">
        <v>93</v>
      </c>
      <c r="G122" s="0" t="n">
        <v>117</v>
      </c>
      <c r="H122" s="0" t="n">
        <v>191</v>
      </c>
      <c r="I122" s="0" t="n">
        <v>0</v>
      </c>
      <c r="J122" s="0" t="n">
        <v>0</v>
      </c>
      <c r="K122" s="0" t="n">
        <v>0</v>
      </c>
      <c r="L122" s="0" t="n">
        <v>1</v>
      </c>
      <c r="M122" s="0" t="n">
        <f aca="false">VLOOKUP(A122,'Team Data'!$A$1:$P$140,2,FALSE())</f>
        <v>1</v>
      </c>
      <c r="N122" s="0" t="n">
        <f aca="false">VLOOKUP(A122,'Team Data'!$A$1:$P$140,3,FALSE())</f>
        <v>1</v>
      </c>
      <c r="O122" s="0" t="n">
        <f aca="false">VLOOKUP(B122,'Team Data'!$A$1:$P$140,2,FALSE())</f>
        <v>2</v>
      </c>
      <c r="P122" s="0" t="n">
        <f aca="false">VLOOKUP(B122,'Team Data'!$A$1:$P$140,3,FALSE())</f>
        <v>0</v>
      </c>
      <c r="Q122" s="0" t="n">
        <f aca="false">VLOOKUP(A122,'Team Data'!$A$1:$P$140,4,FALSE())</f>
        <v>7</v>
      </c>
      <c r="R122" s="0" t="n">
        <f aca="false">VLOOKUP(A122,'Team Data'!$A$1:$P$140,5,FALSE())</f>
        <v>80</v>
      </c>
      <c r="S122" s="0" t="n">
        <f aca="false">VLOOKUP(B122,'Team Data'!$A$1:$P$140,4,FALSE())</f>
        <v>1</v>
      </c>
      <c r="T122" s="0" t="n">
        <f aca="false">VLOOKUP(B122,'Team Data'!$A$1:$P$140,5,FALSE())</f>
        <v>3</v>
      </c>
      <c r="U122" s="0" t="n">
        <f aca="false">IF(K122=1,(MIN(35,(C122-D122)))*(O122/(O122+P122))*(S122/(S122+T122)),(MAX(-35,(C122-D122)))*(IF(P122=0,0.1,(P122/(O122+P122))))*(T122/(S122+T122)))</f>
        <v>-0.225</v>
      </c>
      <c r="V122" s="0" t="n">
        <f aca="false">IF(L122=1,(MIN(35,(D122-C122)))*(M122/(M122+N122))*(Q122/(Q122+R122)),(MAX(-35,(D122-C122)))*(IF(N122=0,0.1,(N122/(M122+N122))))*(R122/(R122+Q122)))</f>
        <v>0.120689655172414</v>
      </c>
    </row>
    <row r="123" customFormat="false" ht="15" hidden="false" customHeight="false" outlineLevel="0" collapsed="false">
      <c r="A123" s="0" t="s">
        <v>198</v>
      </c>
      <c r="B123" s="0" t="s">
        <v>110</v>
      </c>
      <c r="C123" s="0" t="n">
        <v>7</v>
      </c>
      <c r="D123" s="0" t="n">
        <v>63</v>
      </c>
      <c r="E123" s="0" t="n">
        <v>20</v>
      </c>
      <c r="F123" s="0" t="n">
        <v>285</v>
      </c>
      <c r="G123" s="0" t="n">
        <v>190</v>
      </c>
      <c r="H123" s="0" t="n">
        <v>391</v>
      </c>
      <c r="I123" s="0" t="n">
        <v>2</v>
      </c>
      <c r="J123" s="0" t="n">
        <v>1</v>
      </c>
      <c r="K123" s="0" t="n">
        <v>0</v>
      </c>
      <c r="L123" s="0" t="n">
        <v>1</v>
      </c>
      <c r="M123" s="0" t="n">
        <f aca="false">VLOOKUP(A123,'Team Data'!$A$1:$P$140,2,FALSE())</f>
        <v>5</v>
      </c>
      <c r="N123" s="0" t="n">
        <f aca="false">VLOOKUP(A123,'Team Data'!$A$1:$P$140,3,FALSE())</f>
        <v>80</v>
      </c>
      <c r="O123" s="0" t="n">
        <f aca="false">VLOOKUP(B123,'Team Data'!$A$1:$P$140,2,FALSE())</f>
        <v>1</v>
      </c>
      <c r="P123" s="0" t="n">
        <f aca="false">VLOOKUP(B123,'Team Data'!$A$1:$P$140,3,FALSE())</f>
        <v>1</v>
      </c>
      <c r="Q123" s="0" t="n">
        <f aca="false">VLOOKUP(A123,'Team Data'!$A$1:$P$140,4,FALSE())</f>
        <v>113</v>
      </c>
      <c r="R123" s="0" t="n">
        <f aca="false">VLOOKUP(A123,'Team Data'!$A$1:$P$140,5,FALSE())</f>
        <v>61</v>
      </c>
      <c r="S123" s="0" t="n">
        <f aca="false">VLOOKUP(B123,'Team Data'!$A$1:$P$140,4,FALSE())</f>
        <v>7</v>
      </c>
      <c r="T123" s="0" t="n">
        <f aca="false">VLOOKUP(B123,'Team Data'!$A$1:$P$140,5,FALSE())</f>
        <v>80</v>
      </c>
      <c r="U123" s="0" t="n">
        <f aca="false">IF(K123=1,(MIN(35,(C123-D123)))*(O123/(O123+P123))*(S123/(S123+T123)),(MAX(-35,(C123-D123)))*(IF(P123=0,0.1,(P123/(O123+P123))))*(T123/(S123+T123)))</f>
        <v>-16.0919540229885</v>
      </c>
      <c r="V123" s="0" t="n">
        <f aca="false">IF(L123=1,(MIN(35,(D123-C123)))*(M123/(M123+N123))*(Q123/(Q123+R123)),(MAX(-35,(D123-C123)))*(IF(N123=0,0.1,(N123/(M123+N123))))*(R123/(R123+Q123)))</f>
        <v>1.33705206220419</v>
      </c>
    </row>
    <row r="124" customFormat="false" ht="15" hidden="false" customHeight="false" outlineLevel="0" collapsed="false">
      <c r="A124" s="0" t="s">
        <v>122</v>
      </c>
      <c r="B124" s="0" t="s">
        <v>96</v>
      </c>
      <c r="C124" s="0" t="n">
        <v>7</v>
      </c>
      <c r="D124" s="0" t="n">
        <v>12</v>
      </c>
      <c r="E124" s="0" t="n">
        <v>20</v>
      </c>
      <c r="F124" s="0" t="n">
        <v>103</v>
      </c>
      <c r="G124" s="0" t="n">
        <v>186</v>
      </c>
      <c r="H124" s="0" t="n">
        <v>212</v>
      </c>
      <c r="I124" s="0" t="n">
        <v>0</v>
      </c>
      <c r="J124" s="0" t="n">
        <v>0</v>
      </c>
      <c r="K124" s="0" t="n">
        <v>0</v>
      </c>
      <c r="L124" s="0" t="n">
        <v>1</v>
      </c>
      <c r="M124" s="0" t="n">
        <f aca="false">VLOOKUP(A124,'Team Data'!$A$1:$P$140,2,FALSE())</f>
        <v>1</v>
      </c>
      <c r="N124" s="0" t="n">
        <f aca="false">VLOOKUP(A124,'Team Data'!$A$1:$P$140,3,FALSE())</f>
        <v>1</v>
      </c>
      <c r="O124" s="0" t="n">
        <f aca="false">VLOOKUP(B124,'Team Data'!$A$1:$P$140,2,FALSE())</f>
        <v>2</v>
      </c>
      <c r="P124" s="0" t="n">
        <f aca="false">VLOOKUP(B124,'Team Data'!$A$1:$P$140,3,FALSE())</f>
        <v>0</v>
      </c>
      <c r="Q124" s="0" t="n">
        <f aca="false">VLOOKUP(A124,'Team Data'!$A$1:$P$140,4,FALSE())</f>
        <v>7</v>
      </c>
      <c r="R124" s="0" t="n">
        <f aca="false">VLOOKUP(A124,'Team Data'!$A$1:$P$140,5,FALSE())</f>
        <v>80</v>
      </c>
      <c r="S124" s="0" t="n">
        <f aca="false">VLOOKUP(B124,'Team Data'!$A$1:$P$140,4,FALSE())</f>
        <v>2</v>
      </c>
      <c r="T124" s="0" t="n">
        <f aca="false">VLOOKUP(B124,'Team Data'!$A$1:$P$140,5,FALSE())</f>
        <v>2</v>
      </c>
      <c r="U124" s="0" t="n">
        <f aca="false">IF(K124=1,(MIN(35,(C124-D124)))*(O124/(O124+P124))*(S124/(S124+T124)),(MAX(-35,(C124-D124)))*(IF(P124=0,0.1,(P124/(O124+P124))))*(T124/(S124+T124)))</f>
        <v>-0.25</v>
      </c>
      <c r="V124" s="0" t="n">
        <f aca="false">IF(L124=1,(MIN(35,(D124-C124)))*(M124/(M124+N124))*(Q124/(Q124+R124)),(MAX(-35,(D124-C124)))*(IF(N124=0,0.1,(N124/(M124+N124))))*(R124/(R124+Q124)))</f>
        <v>0.201149425287356</v>
      </c>
    </row>
    <row r="125" customFormat="false" ht="15" hidden="false" customHeight="false" outlineLevel="0" collapsed="false">
      <c r="A125" s="0" t="s">
        <v>198</v>
      </c>
      <c r="B125" s="0" t="s">
        <v>139</v>
      </c>
      <c r="C125" s="0" t="n">
        <v>7</v>
      </c>
      <c r="D125" s="0" t="n">
        <v>52</v>
      </c>
      <c r="E125" s="0" t="n">
        <v>148</v>
      </c>
      <c r="F125" s="0" t="n">
        <v>316</v>
      </c>
      <c r="G125" s="0" t="n">
        <v>170</v>
      </c>
      <c r="H125" s="0" t="n">
        <v>209</v>
      </c>
      <c r="I125" s="0" t="n">
        <v>2</v>
      </c>
      <c r="J125" s="0" t="n">
        <v>1</v>
      </c>
      <c r="K125" s="0" t="n">
        <v>0</v>
      </c>
      <c r="L125" s="0" t="n">
        <v>1</v>
      </c>
      <c r="M125" s="0" t="n">
        <f aca="false">VLOOKUP(A125,'Team Data'!$A$1:$P$140,2,FALSE())</f>
        <v>5</v>
      </c>
      <c r="N125" s="0" t="n">
        <f aca="false">VLOOKUP(A125,'Team Data'!$A$1:$P$140,3,FALSE())</f>
        <v>80</v>
      </c>
      <c r="O125" s="0" t="n">
        <f aca="false">VLOOKUP(B125,'Team Data'!$A$1:$P$140,2,FALSE())</f>
        <v>2</v>
      </c>
      <c r="P125" s="0" t="n">
        <f aca="false">VLOOKUP(B125,'Team Data'!$A$1:$P$140,3,FALSE())</f>
        <v>0</v>
      </c>
      <c r="Q125" s="0" t="n">
        <f aca="false">VLOOKUP(A125,'Team Data'!$A$1:$P$140,4,FALSE())</f>
        <v>113</v>
      </c>
      <c r="R125" s="0" t="n">
        <f aca="false">VLOOKUP(A125,'Team Data'!$A$1:$P$140,5,FALSE())</f>
        <v>61</v>
      </c>
      <c r="S125" s="0" t="n">
        <f aca="false">VLOOKUP(B125,'Team Data'!$A$1:$P$140,4,FALSE())</f>
        <v>6</v>
      </c>
      <c r="T125" s="0" t="n">
        <f aca="false">VLOOKUP(B125,'Team Data'!$A$1:$P$140,5,FALSE())</f>
        <v>81</v>
      </c>
      <c r="U125" s="0" t="n">
        <f aca="false">IF(K125=1,(MIN(35,(C125-D125)))*(O125/(O125+P125))*(S125/(S125+T125)),(MAX(-35,(C125-D125)))*(IF(P125=0,0.1,(P125/(O125+P125))))*(T125/(S125+T125)))</f>
        <v>-3.25862068965517</v>
      </c>
      <c r="V125" s="0" t="n">
        <f aca="false">IF(L125=1,(MIN(35,(D125-C125)))*(M125/(M125+N125))*(Q125/(Q125+R125)),(MAX(-35,(D125-C125)))*(IF(N125=0,0.1,(N125/(M125+N125))))*(R125/(R125+Q125)))</f>
        <v>1.33705206220419</v>
      </c>
    </row>
    <row r="126" customFormat="false" ht="15" hidden="false" customHeight="false" outlineLevel="0" collapsed="false">
      <c r="A126" s="0" t="s">
        <v>10</v>
      </c>
      <c r="B126" s="0" t="s">
        <v>16</v>
      </c>
      <c r="C126" s="0" t="n">
        <v>17</v>
      </c>
      <c r="D126" s="0" t="n">
        <v>28</v>
      </c>
      <c r="E126" s="0" t="n">
        <v>97</v>
      </c>
      <c r="F126" s="0" t="n">
        <v>148</v>
      </c>
      <c r="G126" s="0" t="n">
        <v>230</v>
      </c>
      <c r="H126" s="0" t="n">
        <v>217</v>
      </c>
      <c r="I126" s="0" t="n">
        <v>1</v>
      </c>
      <c r="J126" s="0" t="n">
        <v>0</v>
      </c>
      <c r="K126" s="0" t="n">
        <v>0</v>
      </c>
      <c r="L126" s="0" t="n">
        <v>1</v>
      </c>
      <c r="M126" s="0" t="n">
        <f aca="false">VLOOKUP(A126,'Team Data'!$A$1:$P$140,2,FALSE())</f>
        <v>1</v>
      </c>
      <c r="N126" s="0" t="n">
        <f aca="false">VLOOKUP(A126,'Team Data'!$A$1:$P$140,3,FALSE())</f>
        <v>1</v>
      </c>
      <c r="O126" s="0" t="n">
        <f aca="false">VLOOKUP(B126,'Team Data'!$A$1:$P$140,2,FALSE())</f>
        <v>2</v>
      </c>
      <c r="P126" s="0" t="n">
        <f aca="false">VLOOKUP(B126,'Team Data'!$A$1:$P$140,3,FALSE())</f>
        <v>0</v>
      </c>
      <c r="Q126" s="0" t="n">
        <f aca="false">VLOOKUP(A126,'Team Data'!$A$1:$P$140,4,FALSE())</f>
        <v>7</v>
      </c>
      <c r="R126" s="0" t="n">
        <f aca="false">VLOOKUP(A126,'Team Data'!$A$1:$P$140,5,FALSE())</f>
        <v>80</v>
      </c>
      <c r="S126" s="0" t="n">
        <f aca="false">VLOOKUP(B126,'Team Data'!$A$1:$P$140,4,FALSE())</f>
        <v>6</v>
      </c>
      <c r="T126" s="0" t="n">
        <f aca="false">VLOOKUP(B126,'Team Data'!$A$1:$P$140,5,FALSE())</f>
        <v>81</v>
      </c>
      <c r="U126" s="0" t="n">
        <f aca="false">IF(K126=1,(MIN(35,(C126-D126)))*(O126/(O126+P126))*(S126/(S126+T126)),(MAX(-35,(C126-D126)))*(IF(P126=0,0.1,(P126/(O126+P126))))*(T126/(S126+T126)))</f>
        <v>-1.02413793103448</v>
      </c>
      <c r="V126" s="0" t="n">
        <f aca="false">IF(L126=1,(MIN(35,(D126-C126)))*(M126/(M126+N126))*(Q126/(Q126+R126)),(MAX(-35,(D126-C126)))*(IF(N126=0,0.1,(N126/(M126+N126))))*(R126/(R126+Q126)))</f>
        <v>0.442528735632184</v>
      </c>
    </row>
    <row r="127" customFormat="false" ht="15" hidden="false" customHeight="false" outlineLevel="0" collapsed="false">
      <c r="A127" s="0" t="s">
        <v>198</v>
      </c>
      <c r="B127" s="0" t="s">
        <v>66</v>
      </c>
      <c r="C127" s="0" t="n">
        <v>7</v>
      </c>
      <c r="D127" s="0" t="n">
        <v>77</v>
      </c>
      <c r="E127" s="0" t="n">
        <v>37</v>
      </c>
      <c r="F127" s="0" t="n">
        <v>430</v>
      </c>
      <c r="G127" s="0" t="n">
        <v>70</v>
      </c>
      <c r="H127" s="0" t="n">
        <v>426</v>
      </c>
      <c r="I127" s="0" t="n">
        <v>0</v>
      </c>
      <c r="J127" s="0" t="n">
        <v>1</v>
      </c>
      <c r="K127" s="0" t="n">
        <v>0</v>
      </c>
      <c r="L127" s="0" t="n">
        <v>1</v>
      </c>
      <c r="M127" s="0" t="n">
        <f aca="false">VLOOKUP(A127,'Team Data'!$A$1:$P$140,2,FALSE())</f>
        <v>5</v>
      </c>
      <c r="N127" s="0" t="n">
        <f aca="false">VLOOKUP(A127,'Team Data'!$A$1:$P$140,3,FALSE())</f>
        <v>80</v>
      </c>
      <c r="O127" s="0" t="n">
        <f aca="false">VLOOKUP(B127,'Team Data'!$A$1:$P$140,2,FALSE())</f>
        <v>2</v>
      </c>
      <c r="P127" s="0" t="n">
        <f aca="false">VLOOKUP(B127,'Team Data'!$A$1:$P$140,3,FALSE())</f>
        <v>0</v>
      </c>
      <c r="Q127" s="0" t="n">
        <f aca="false">VLOOKUP(A127,'Team Data'!$A$1:$P$140,4,FALSE())</f>
        <v>113</v>
      </c>
      <c r="R127" s="0" t="n">
        <f aca="false">VLOOKUP(A127,'Team Data'!$A$1:$P$140,5,FALSE())</f>
        <v>61</v>
      </c>
      <c r="S127" s="0" t="n">
        <f aca="false">VLOOKUP(B127,'Team Data'!$A$1:$P$140,4,FALSE())</f>
        <v>6</v>
      </c>
      <c r="T127" s="0" t="n">
        <f aca="false">VLOOKUP(B127,'Team Data'!$A$1:$P$140,5,FALSE())</f>
        <v>81</v>
      </c>
      <c r="U127" s="0" t="n">
        <f aca="false">IF(K127=1,(MIN(35,(C127-D127)))*(O127/(O127+P127))*(S127/(S127+T127)),(MAX(-35,(C127-D127)))*(IF(P127=0,0.1,(P127/(O127+P127))))*(T127/(S127+T127)))</f>
        <v>-3.25862068965517</v>
      </c>
      <c r="V127" s="0" t="n">
        <f aca="false">IF(L127=1,(MIN(35,(D127-C127)))*(M127/(M127+N127))*(Q127/(Q127+R127)),(MAX(-35,(D127-C127)))*(IF(N127=0,0.1,(N127/(M127+N127))))*(R127/(R127+Q127)))</f>
        <v>1.33705206220419</v>
      </c>
    </row>
    <row r="128" customFormat="false" ht="15" hidden="false" customHeight="false" outlineLevel="0" collapsed="false">
      <c r="A128" s="0" t="s">
        <v>99</v>
      </c>
      <c r="B128" s="0" t="s">
        <v>20</v>
      </c>
      <c r="C128" s="0" t="n">
        <v>21</v>
      </c>
      <c r="D128" s="0" t="n">
        <v>28</v>
      </c>
      <c r="E128" s="0" t="n">
        <v>154</v>
      </c>
      <c r="F128" s="0" t="n">
        <v>150</v>
      </c>
      <c r="G128" s="0" t="n">
        <v>230</v>
      </c>
      <c r="H128" s="0" t="n">
        <v>252</v>
      </c>
      <c r="I128" s="0" t="n">
        <v>4</v>
      </c>
      <c r="J128" s="0" t="n">
        <v>3</v>
      </c>
      <c r="K128" s="0" t="n">
        <v>0</v>
      </c>
      <c r="L128" s="0" t="n">
        <v>1</v>
      </c>
      <c r="M128" s="0" t="n">
        <f aca="false">VLOOKUP(A128,'Team Data'!$A$1:$P$140,2,FALSE())</f>
        <v>0</v>
      </c>
      <c r="N128" s="0" t="n">
        <f aca="false">VLOOKUP(A128,'Team Data'!$A$1:$P$140,3,FALSE())</f>
        <v>2</v>
      </c>
      <c r="O128" s="0" t="n">
        <f aca="false">VLOOKUP(B128,'Team Data'!$A$1:$P$140,2,FALSE())</f>
        <v>1</v>
      </c>
      <c r="P128" s="0" t="n">
        <f aca="false">VLOOKUP(B128,'Team Data'!$A$1:$P$140,3,FALSE())</f>
        <v>1</v>
      </c>
      <c r="Q128" s="0" t="n">
        <f aca="false">VLOOKUP(A128,'Team Data'!$A$1:$P$140,4,FALSE())</f>
        <v>3</v>
      </c>
      <c r="R128" s="0" t="n">
        <f aca="false">VLOOKUP(A128,'Team Data'!$A$1:$P$140,5,FALSE())</f>
        <v>1</v>
      </c>
      <c r="S128" s="0" t="n">
        <f aca="false">VLOOKUP(B128,'Team Data'!$A$1:$P$140,4,FALSE())</f>
        <v>2</v>
      </c>
      <c r="T128" s="0" t="n">
        <f aca="false">VLOOKUP(B128,'Team Data'!$A$1:$P$140,5,FALSE())</f>
        <v>2</v>
      </c>
      <c r="U128" s="0" t="n">
        <f aca="false">IF(K128=1,(MIN(35,(C128-D128)))*(O128/(O128+P128))*(S128/(S128+T128)),(MAX(-35,(C128-D128)))*(IF(P128=0,0.1,(P128/(O128+P128))))*(T128/(S128+T128)))</f>
        <v>-1.75</v>
      </c>
      <c r="V128" s="0" t="n">
        <f aca="false">IF(L128=1,(MIN(35,(D128-C128)))*(M128/(M128+N128))*(Q128/(Q128+R128)),(MAX(-35,(D128-C128)))*(IF(N128=0,0.1,(N128/(M128+N128))))*(R128/(R128+Q128)))</f>
        <v>0</v>
      </c>
    </row>
    <row r="129" customFormat="false" ht="15" hidden="false" customHeight="false" outlineLevel="0" collapsed="false">
      <c r="A129" s="0" t="s">
        <v>198</v>
      </c>
      <c r="B129" s="0" t="s">
        <v>62</v>
      </c>
      <c r="C129" s="0" t="n">
        <v>13</v>
      </c>
      <c r="D129" s="0" t="n">
        <v>59</v>
      </c>
      <c r="E129" s="0" t="n">
        <v>75</v>
      </c>
      <c r="F129" s="0" t="n">
        <v>260</v>
      </c>
      <c r="G129" s="0" t="n">
        <v>178</v>
      </c>
      <c r="H129" s="0" t="n">
        <v>375</v>
      </c>
      <c r="I129" s="0" t="n">
        <v>1</v>
      </c>
      <c r="J129" s="0" t="n">
        <v>0</v>
      </c>
      <c r="K129" s="0" t="n">
        <v>0</v>
      </c>
      <c r="L129" s="0" t="n">
        <v>1</v>
      </c>
      <c r="M129" s="0" t="n">
        <f aca="false">VLOOKUP(A129,'Team Data'!$A$1:$P$140,2,FALSE())</f>
        <v>5</v>
      </c>
      <c r="N129" s="0" t="n">
        <f aca="false">VLOOKUP(A129,'Team Data'!$A$1:$P$140,3,FALSE())</f>
        <v>80</v>
      </c>
      <c r="O129" s="0" t="n">
        <f aca="false">VLOOKUP(B129,'Team Data'!$A$1:$P$140,2,FALSE())</f>
        <v>1</v>
      </c>
      <c r="P129" s="0" t="n">
        <f aca="false">VLOOKUP(B129,'Team Data'!$A$1:$P$140,3,FALSE())</f>
        <v>1</v>
      </c>
      <c r="Q129" s="0" t="n">
        <f aca="false">VLOOKUP(A129,'Team Data'!$A$1:$P$140,4,FALSE())</f>
        <v>113</v>
      </c>
      <c r="R129" s="0" t="n">
        <f aca="false">VLOOKUP(A129,'Team Data'!$A$1:$P$140,5,FALSE())</f>
        <v>61</v>
      </c>
      <c r="S129" s="0" t="n">
        <f aca="false">VLOOKUP(B129,'Team Data'!$A$1:$P$140,4,FALSE())</f>
        <v>7</v>
      </c>
      <c r="T129" s="0" t="n">
        <f aca="false">VLOOKUP(B129,'Team Data'!$A$1:$P$140,5,FALSE())</f>
        <v>80</v>
      </c>
      <c r="U129" s="0" t="n">
        <f aca="false">IF(K129=1,(MIN(35,(C129-D129)))*(O129/(O129+P129))*(S129/(S129+T129)),(MAX(-35,(C129-D129)))*(IF(P129=0,0.1,(P129/(O129+P129))))*(T129/(S129+T129)))</f>
        <v>-16.0919540229885</v>
      </c>
      <c r="V129" s="0" t="n">
        <f aca="false">IF(L129=1,(MIN(35,(D129-C129)))*(M129/(M129+N129))*(Q129/(Q129+R129)),(MAX(-35,(D129-C129)))*(IF(N129=0,0.1,(N129/(M129+N129))))*(R129/(R129+Q129)))</f>
        <v>1.33705206220419</v>
      </c>
    </row>
    <row r="130" customFormat="false" ht="15" hidden="false" customHeight="false" outlineLevel="0" collapsed="false">
      <c r="A130" s="0" t="s">
        <v>23</v>
      </c>
      <c r="B130" s="0" t="s">
        <v>109</v>
      </c>
      <c r="C130" s="0" t="n">
        <v>21</v>
      </c>
      <c r="D130" s="0" t="n">
        <v>18</v>
      </c>
      <c r="E130" s="0" t="n">
        <v>67</v>
      </c>
      <c r="F130" s="0" t="n">
        <v>118</v>
      </c>
      <c r="G130" s="0" t="n">
        <v>182</v>
      </c>
      <c r="H130" s="0" t="n">
        <v>318</v>
      </c>
      <c r="I130" s="0" t="n">
        <v>0</v>
      </c>
      <c r="J130" s="0" t="n">
        <v>3</v>
      </c>
      <c r="K130" s="0" t="n">
        <v>1</v>
      </c>
      <c r="L130" s="0" t="n">
        <v>0</v>
      </c>
      <c r="M130" s="0" t="n">
        <f aca="false">VLOOKUP(A130,'Team Data'!$A$1:$P$140,2,FALSE())</f>
        <v>1</v>
      </c>
      <c r="N130" s="0" t="n">
        <f aca="false">VLOOKUP(A130,'Team Data'!$A$1:$P$140,3,FALSE())</f>
        <v>1</v>
      </c>
      <c r="O130" s="0" t="n">
        <f aca="false">VLOOKUP(B130,'Team Data'!$A$1:$P$140,2,FALSE())</f>
        <v>1</v>
      </c>
      <c r="P130" s="0" t="n">
        <f aca="false">VLOOKUP(B130,'Team Data'!$A$1:$P$140,3,FALSE())</f>
        <v>1</v>
      </c>
      <c r="Q130" s="0" t="n">
        <f aca="false">VLOOKUP(A130,'Team Data'!$A$1:$P$140,4,FALSE())</f>
        <v>3</v>
      </c>
      <c r="R130" s="0" t="n">
        <f aca="false">VLOOKUP(A130,'Team Data'!$A$1:$P$140,5,FALSE())</f>
        <v>1</v>
      </c>
      <c r="S130" s="0" t="n">
        <f aca="false">VLOOKUP(B130,'Team Data'!$A$1:$P$140,4,FALSE())</f>
        <v>6</v>
      </c>
      <c r="T130" s="0" t="n">
        <f aca="false">VLOOKUP(B130,'Team Data'!$A$1:$P$140,5,FALSE())</f>
        <v>81</v>
      </c>
      <c r="U130" s="0" t="n">
        <f aca="false">IF(K130=1,(MIN(35,(C130-D130)))*(O130/(O130+P130))*(S130/(S130+T130)),(MAX(-35,(C130-D130)))*(IF(P130=0,0.1,(P130/(O130+P130))))*(T130/(S130+T130)))</f>
        <v>0.103448275862069</v>
      </c>
      <c r="V130" s="0" t="n">
        <f aca="false">IF(L130=1,(MIN(35,(D130-C130)))*(M130/(M130+N130))*(Q130/(Q130+R130)),(MAX(-35,(D130-C130)))*(IF(N130=0,0.1,(N130/(M130+N130))))*(R130/(R130+Q130)))</f>
        <v>-0.375</v>
      </c>
    </row>
    <row r="131" customFormat="false" ht="15" hidden="false" customHeight="false" outlineLevel="0" collapsed="false">
      <c r="A131" s="0" t="s">
        <v>32</v>
      </c>
      <c r="B131" s="0" t="s">
        <v>46</v>
      </c>
      <c r="C131" s="0" t="n">
        <v>31</v>
      </c>
      <c r="D131" s="0" t="n">
        <v>27</v>
      </c>
      <c r="E131" s="0" t="n">
        <v>170</v>
      </c>
      <c r="F131" s="0" t="n">
        <v>111</v>
      </c>
      <c r="G131" s="0" t="n">
        <v>206</v>
      </c>
      <c r="H131" s="0" t="n">
        <v>271</v>
      </c>
      <c r="I131" s="0" t="n">
        <v>0</v>
      </c>
      <c r="J131" s="0" t="n">
        <v>1</v>
      </c>
      <c r="K131" s="0" t="n">
        <v>1</v>
      </c>
      <c r="L131" s="0" t="n">
        <v>0</v>
      </c>
      <c r="M131" s="0" t="n">
        <f aca="false">VLOOKUP(A131,'Team Data'!$A$1:$P$140,2,FALSE())</f>
        <v>2</v>
      </c>
      <c r="N131" s="0" t="n">
        <f aca="false">VLOOKUP(A131,'Team Data'!$A$1:$P$140,3,FALSE())</f>
        <v>0</v>
      </c>
      <c r="O131" s="0" t="n">
        <f aca="false">VLOOKUP(B131,'Team Data'!$A$1:$P$140,2,FALSE())</f>
        <v>1</v>
      </c>
      <c r="P131" s="0" t="n">
        <f aca="false">VLOOKUP(B131,'Team Data'!$A$1:$P$140,3,FALSE())</f>
        <v>1</v>
      </c>
      <c r="Q131" s="0" t="n">
        <f aca="false">VLOOKUP(A131,'Team Data'!$A$1:$P$140,4,FALSE())</f>
        <v>2</v>
      </c>
      <c r="R131" s="0" t="n">
        <f aca="false">VLOOKUP(A131,'Team Data'!$A$1:$P$140,5,FALSE())</f>
        <v>2</v>
      </c>
      <c r="S131" s="0" t="n">
        <f aca="false">VLOOKUP(B131,'Team Data'!$A$1:$P$140,4,FALSE())</f>
        <v>3</v>
      </c>
      <c r="T131" s="0" t="n">
        <f aca="false">VLOOKUP(B131,'Team Data'!$A$1:$P$140,5,FALSE())</f>
        <v>1</v>
      </c>
      <c r="U131" s="0" t="n">
        <f aca="false">IF(K131=1,(MIN(35,(C131-D131)))*(O131/(O131+P131))*(S131/(S131+T131)),(MAX(-35,(C131-D131)))*(IF(P131=0,0.1,(P131/(O131+P131))))*(T131/(S131+T131)))</f>
        <v>1.5</v>
      </c>
      <c r="V131" s="0" t="n">
        <f aca="false">IF(L131=1,(MIN(35,(D131-C131)))*(M131/(M131+N131))*(Q131/(Q131+R131)),(MAX(-35,(D131-C131)))*(IF(N131=0,0.1,(N131/(M131+N131))))*(R131/(R131+Q131)))</f>
        <v>-0.2</v>
      </c>
    </row>
    <row r="132" customFormat="false" ht="15" hidden="false" customHeight="false" outlineLevel="0" collapsed="false">
      <c r="A132" s="0" t="s">
        <v>198</v>
      </c>
      <c r="B132" s="0" t="s">
        <v>81</v>
      </c>
      <c r="C132" s="0" t="n">
        <v>3</v>
      </c>
      <c r="D132" s="0" t="n">
        <v>35</v>
      </c>
      <c r="E132" s="0" t="n">
        <v>77</v>
      </c>
      <c r="F132" s="0" t="n">
        <v>161</v>
      </c>
      <c r="G132" s="0" t="n">
        <v>178</v>
      </c>
      <c r="H132" s="0" t="n">
        <v>266</v>
      </c>
      <c r="I132" s="0" t="n">
        <v>2</v>
      </c>
      <c r="J132" s="0" t="n">
        <v>0</v>
      </c>
      <c r="K132" s="0" t="n">
        <v>0</v>
      </c>
      <c r="L132" s="0" t="n">
        <v>1</v>
      </c>
      <c r="M132" s="0" t="n">
        <f aca="false">VLOOKUP(A132,'Team Data'!$A$1:$P$140,2,FALSE())</f>
        <v>5</v>
      </c>
      <c r="N132" s="0" t="n">
        <f aca="false">VLOOKUP(A132,'Team Data'!$A$1:$P$140,3,FALSE())</f>
        <v>80</v>
      </c>
      <c r="O132" s="0" t="n">
        <f aca="false">VLOOKUP(B132,'Team Data'!$A$1:$P$140,2,FALSE())</f>
        <v>2</v>
      </c>
      <c r="P132" s="0" t="n">
        <f aca="false">VLOOKUP(B132,'Team Data'!$A$1:$P$140,3,FALSE())</f>
        <v>0</v>
      </c>
      <c r="Q132" s="0" t="n">
        <f aca="false">VLOOKUP(A132,'Team Data'!$A$1:$P$140,4,FALSE())</f>
        <v>113</v>
      </c>
      <c r="R132" s="0" t="n">
        <f aca="false">VLOOKUP(A132,'Team Data'!$A$1:$P$140,5,FALSE())</f>
        <v>61</v>
      </c>
      <c r="S132" s="0" t="n">
        <f aca="false">VLOOKUP(B132,'Team Data'!$A$1:$P$140,4,FALSE())</f>
        <v>6</v>
      </c>
      <c r="T132" s="0" t="n">
        <f aca="false">VLOOKUP(B132,'Team Data'!$A$1:$P$140,5,FALSE())</f>
        <v>81</v>
      </c>
      <c r="U132" s="0" t="n">
        <f aca="false">IF(K132=1,(MIN(35,(C132-D132)))*(O132/(O132+P132))*(S132/(S132+T132)),(MAX(-35,(C132-D132)))*(IF(P132=0,0.1,(P132/(O132+P132))))*(T132/(S132+T132)))</f>
        <v>-2.97931034482759</v>
      </c>
      <c r="V132" s="0" t="n">
        <f aca="false">IF(L132=1,(MIN(35,(D132-C132)))*(M132/(M132+N132))*(Q132/(Q132+R132)),(MAX(-35,(D132-C132)))*(IF(N132=0,0.1,(N132/(M132+N132))))*(R132/(R132+Q132)))</f>
        <v>1.22244759972955</v>
      </c>
    </row>
    <row r="133" customFormat="false" ht="15" hidden="false" customHeight="false" outlineLevel="0" collapsed="false">
      <c r="A133" s="0" t="s">
        <v>41</v>
      </c>
      <c r="B133" s="0" t="s">
        <v>27</v>
      </c>
      <c r="C133" s="0" t="n">
        <v>7</v>
      </c>
      <c r="D133" s="0" t="n">
        <v>22</v>
      </c>
      <c r="E133" s="0" t="n">
        <v>22</v>
      </c>
      <c r="F133" s="0" t="n">
        <v>150</v>
      </c>
      <c r="G133" s="0" t="n">
        <v>244</v>
      </c>
      <c r="H133" s="0" t="n">
        <v>197</v>
      </c>
      <c r="I133" s="0" t="n">
        <v>1</v>
      </c>
      <c r="J133" s="0" t="n">
        <v>2</v>
      </c>
      <c r="K133" s="0" t="n">
        <v>0</v>
      </c>
      <c r="L133" s="0" t="n">
        <v>1</v>
      </c>
      <c r="M133" s="0" t="n">
        <f aca="false">VLOOKUP(A133,'Team Data'!$A$1:$P$140,2,FALSE())</f>
        <v>1</v>
      </c>
      <c r="N133" s="0" t="n">
        <f aca="false">VLOOKUP(A133,'Team Data'!$A$1:$P$140,3,FALSE())</f>
        <v>1</v>
      </c>
      <c r="O133" s="0" t="n">
        <f aca="false">VLOOKUP(B133,'Team Data'!$A$1:$P$140,2,FALSE())</f>
        <v>1</v>
      </c>
      <c r="P133" s="0" t="n">
        <f aca="false">VLOOKUP(B133,'Team Data'!$A$1:$P$140,3,FALSE())</f>
        <v>1</v>
      </c>
      <c r="Q133" s="0" t="n">
        <f aca="false">VLOOKUP(A133,'Team Data'!$A$1:$P$140,4,FALSE())</f>
        <v>6</v>
      </c>
      <c r="R133" s="0" t="n">
        <f aca="false">VLOOKUP(A133,'Team Data'!$A$1:$P$140,5,FALSE())</f>
        <v>81</v>
      </c>
      <c r="S133" s="0" t="n">
        <f aca="false">VLOOKUP(B133,'Team Data'!$A$1:$P$140,4,FALSE())</f>
        <v>3</v>
      </c>
      <c r="T133" s="0" t="n">
        <f aca="false">VLOOKUP(B133,'Team Data'!$A$1:$P$140,5,FALSE())</f>
        <v>1</v>
      </c>
      <c r="U133" s="0" t="n">
        <f aca="false">IF(K133=1,(MIN(35,(C133-D133)))*(O133/(O133+P133))*(S133/(S133+T133)),(MAX(-35,(C133-D133)))*(IF(P133=0,0.1,(P133/(O133+P133))))*(T133/(S133+T133)))</f>
        <v>-1.875</v>
      </c>
      <c r="V133" s="0" t="n">
        <f aca="false">IF(L133=1,(MIN(35,(D133-C133)))*(M133/(M133+N133))*(Q133/(Q133+R133)),(MAX(-35,(D133-C133)))*(IF(N133=0,0.1,(N133/(M133+N133))))*(R133/(R133+Q133)))</f>
        <v>0.517241379310345</v>
      </c>
    </row>
    <row r="134" customFormat="false" ht="15" hidden="false" customHeight="false" outlineLevel="0" collapsed="false">
      <c r="A134" s="0" t="s">
        <v>198</v>
      </c>
      <c r="B134" s="0" t="s">
        <v>134</v>
      </c>
      <c r="C134" s="0" t="n">
        <v>3</v>
      </c>
      <c r="D134" s="0" t="n">
        <v>59</v>
      </c>
      <c r="E134" s="0" t="n">
        <v>55</v>
      </c>
      <c r="F134" s="0" t="n">
        <v>237</v>
      </c>
      <c r="G134" s="0" t="n">
        <v>168</v>
      </c>
      <c r="H134" s="0" t="n">
        <v>229</v>
      </c>
      <c r="I134" s="0" t="n">
        <v>3</v>
      </c>
      <c r="J134" s="0" t="n">
        <v>1</v>
      </c>
      <c r="K134" s="0" t="n">
        <v>0</v>
      </c>
      <c r="L134" s="0" t="n">
        <v>1</v>
      </c>
      <c r="M134" s="0" t="n">
        <f aca="false">VLOOKUP(A134,'Team Data'!$A$1:$P$140,2,FALSE())</f>
        <v>5</v>
      </c>
      <c r="N134" s="0" t="n">
        <f aca="false">VLOOKUP(A134,'Team Data'!$A$1:$P$140,3,FALSE())</f>
        <v>80</v>
      </c>
      <c r="O134" s="0" t="n">
        <f aca="false">VLOOKUP(B134,'Team Data'!$A$1:$P$140,2,FALSE())</f>
        <v>2</v>
      </c>
      <c r="P134" s="0" t="n">
        <f aca="false">VLOOKUP(B134,'Team Data'!$A$1:$P$140,3,FALSE())</f>
        <v>0</v>
      </c>
      <c r="Q134" s="0" t="n">
        <f aca="false">VLOOKUP(A134,'Team Data'!$A$1:$P$140,4,FALSE())</f>
        <v>113</v>
      </c>
      <c r="R134" s="0" t="n">
        <f aca="false">VLOOKUP(A134,'Team Data'!$A$1:$P$140,5,FALSE())</f>
        <v>61</v>
      </c>
      <c r="S134" s="0" t="n">
        <f aca="false">VLOOKUP(B134,'Team Data'!$A$1:$P$140,4,FALSE())</f>
        <v>6</v>
      </c>
      <c r="T134" s="0" t="n">
        <f aca="false">VLOOKUP(B134,'Team Data'!$A$1:$P$140,5,FALSE())</f>
        <v>81</v>
      </c>
      <c r="U134" s="0" t="n">
        <f aca="false">IF(K134=1,(MIN(35,(C134-D134)))*(O134/(O134+P134))*(S134/(S134+T134)),(MAX(-35,(C134-D134)))*(IF(P134=0,0.1,(P134/(O134+P134))))*(T134/(S134+T134)))</f>
        <v>-3.25862068965517</v>
      </c>
      <c r="V134" s="0" t="n">
        <f aca="false">IF(L134=1,(MIN(35,(D134-C134)))*(M134/(M134+N134))*(Q134/(Q134+R134)),(MAX(-35,(D134-C134)))*(IF(N134=0,0.1,(N134/(M134+N134))))*(R134/(R134+Q134)))</f>
        <v>1.33705206220419</v>
      </c>
    </row>
    <row r="135" customFormat="false" ht="15" hidden="false" customHeight="false" outlineLevel="0" collapsed="false">
      <c r="A135" s="0" t="s">
        <v>91</v>
      </c>
      <c r="B135" s="0" t="s">
        <v>135</v>
      </c>
      <c r="C135" s="0" t="n">
        <v>21</v>
      </c>
      <c r="D135" s="0" t="n">
        <v>44</v>
      </c>
      <c r="E135" s="0" t="n">
        <v>123</v>
      </c>
      <c r="F135" s="0" t="n">
        <v>89</v>
      </c>
      <c r="G135" s="0" t="n">
        <v>187</v>
      </c>
      <c r="H135" s="0" t="n">
        <v>327</v>
      </c>
      <c r="I135" s="0" t="n">
        <v>3</v>
      </c>
      <c r="J135" s="0" t="n">
        <v>2</v>
      </c>
      <c r="K135" s="0" t="n">
        <v>0</v>
      </c>
      <c r="L135" s="0" t="n">
        <v>1</v>
      </c>
      <c r="M135" s="0" t="n">
        <f aca="false">VLOOKUP(A135,'Team Data'!$A$1:$P$140,2,FALSE())</f>
        <v>1</v>
      </c>
      <c r="N135" s="0" t="n">
        <f aca="false">VLOOKUP(A135,'Team Data'!$A$1:$P$140,3,FALSE())</f>
        <v>1</v>
      </c>
      <c r="O135" s="0" t="n">
        <f aca="false">VLOOKUP(B135,'Team Data'!$A$1:$P$140,2,FALSE())</f>
        <v>2</v>
      </c>
      <c r="P135" s="0" t="n">
        <f aca="false">VLOOKUP(B135,'Team Data'!$A$1:$P$140,3,FALSE())</f>
        <v>0</v>
      </c>
      <c r="Q135" s="0" t="n">
        <f aca="false">VLOOKUP(A135,'Team Data'!$A$1:$P$140,4,FALSE())</f>
        <v>7</v>
      </c>
      <c r="R135" s="0" t="n">
        <f aca="false">VLOOKUP(A135,'Team Data'!$A$1:$P$140,5,FALSE())</f>
        <v>80</v>
      </c>
      <c r="S135" s="0" t="n">
        <f aca="false">VLOOKUP(B135,'Team Data'!$A$1:$P$140,4,FALSE())</f>
        <v>6</v>
      </c>
      <c r="T135" s="0" t="n">
        <f aca="false">VLOOKUP(B135,'Team Data'!$A$1:$P$140,5,FALSE())</f>
        <v>81</v>
      </c>
      <c r="U135" s="0" t="n">
        <f aca="false">IF(K135=1,(MIN(35,(C135-D135)))*(O135/(O135+P135))*(S135/(S135+T135)),(MAX(-35,(C135-D135)))*(IF(P135=0,0.1,(P135/(O135+P135))))*(T135/(S135+T135)))</f>
        <v>-2.14137931034483</v>
      </c>
      <c r="V135" s="0" t="n">
        <f aca="false">IF(L135=1,(MIN(35,(D135-C135)))*(M135/(M135+N135))*(Q135/(Q135+R135)),(MAX(-35,(D135-C135)))*(IF(N135=0,0.1,(N135/(M135+N135))))*(R135/(R135+Q135)))</f>
        <v>0.925287356321839</v>
      </c>
    </row>
    <row r="136" customFormat="false" ht="15" hidden="false" customHeight="false" outlineLevel="0" collapsed="false">
      <c r="A136" s="0" t="s">
        <v>198</v>
      </c>
      <c r="B136" s="0" t="s">
        <v>75</v>
      </c>
      <c r="C136" s="0" t="n">
        <v>0</v>
      </c>
      <c r="D136" s="0" t="n">
        <v>73</v>
      </c>
      <c r="E136" s="0" t="n">
        <v>34</v>
      </c>
      <c r="F136" s="0" t="n">
        <v>428</v>
      </c>
      <c r="G136" s="0" t="n">
        <v>76</v>
      </c>
      <c r="H136" s="0" t="n">
        <v>306</v>
      </c>
      <c r="I136" s="0" t="n">
        <v>2</v>
      </c>
      <c r="J136" s="0" t="n">
        <v>1</v>
      </c>
      <c r="K136" s="0" t="n">
        <v>0</v>
      </c>
      <c r="L136" s="0" t="n">
        <v>1</v>
      </c>
      <c r="M136" s="0" t="n">
        <f aca="false">VLOOKUP(A136,'Team Data'!$A$1:$P$140,2,FALSE())</f>
        <v>5</v>
      </c>
      <c r="N136" s="0" t="n">
        <f aca="false">VLOOKUP(A136,'Team Data'!$A$1:$P$140,3,FALSE())</f>
        <v>80</v>
      </c>
      <c r="O136" s="0" t="n">
        <f aca="false">VLOOKUP(B136,'Team Data'!$A$1:$P$140,2,FALSE())</f>
        <v>1</v>
      </c>
      <c r="P136" s="0" t="n">
        <f aca="false">VLOOKUP(B136,'Team Data'!$A$1:$P$140,3,FALSE())</f>
        <v>1</v>
      </c>
      <c r="Q136" s="0" t="n">
        <f aca="false">VLOOKUP(A136,'Team Data'!$A$1:$P$140,4,FALSE())</f>
        <v>113</v>
      </c>
      <c r="R136" s="0" t="n">
        <f aca="false">VLOOKUP(A136,'Team Data'!$A$1:$P$140,5,FALSE())</f>
        <v>61</v>
      </c>
      <c r="S136" s="0" t="n">
        <f aca="false">VLOOKUP(B136,'Team Data'!$A$1:$P$140,4,FALSE())</f>
        <v>7</v>
      </c>
      <c r="T136" s="0" t="n">
        <f aca="false">VLOOKUP(B136,'Team Data'!$A$1:$P$140,5,FALSE())</f>
        <v>80</v>
      </c>
      <c r="U136" s="0" t="n">
        <f aca="false">IF(K136=1,(MIN(35,(C136-D136)))*(O136/(O136+P136))*(S136/(S136+T136)),(MAX(-35,(C136-D136)))*(IF(P136=0,0.1,(P136/(O136+P136))))*(T136/(S136+T136)))</f>
        <v>-16.0919540229885</v>
      </c>
      <c r="V136" s="0" t="n">
        <f aca="false">IF(L136=1,(MIN(35,(D136-C136)))*(M136/(M136+N136))*(Q136/(Q136+R136)),(MAX(-35,(D136-C136)))*(IF(N136=0,0.1,(N136/(M136+N136))))*(R136/(R136+Q136)))</f>
        <v>1.33705206220419</v>
      </c>
    </row>
    <row r="137" customFormat="false" ht="15" hidden="false" customHeight="false" outlineLevel="0" collapsed="false">
      <c r="A137" s="0" t="s">
        <v>198</v>
      </c>
      <c r="B137" s="0" t="s">
        <v>100</v>
      </c>
      <c r="C137" s="0" t="n">
        <v>10</v>
      </c>
      <c r="D137" s="0" t="n">
        <v>56</v>
      </c>
      <c r="E137" s="0" t="n">
        <v>62</v>
      </c>
      <c r="F137" s="0" t="n">
        <v>93</v>
      </c>
      <c r="G137" s="0" t="n">
        <v>171</v>
      </c>
      <c r="H137" s="0" t="n">
        <v>454</v>
      </c>
      <c r="I137" s="0" t="n">
        <v>2</v>
      </c>
      <c r="J137" s="0" t="n">
        <v>0</v>
      </c>
      <c r="K137" s="0" t="n">
        <v>0</v>
      </c>
      <c r="L137" s="0" t="n">
        <v>1</v>
      </c>
      <c r="M137" s="0" t="n">
        <f aca="false">VLOOKUP(A137,'Team Data'!$A$1:$P$140,2,FALSE())</f>
        <v>5</v>
      </c>
      <c r="N137" s="0" t="n">
        <f aca="false">VLOOKUP(A137,'Team Data'!$A$1:$P$140,3,FALSE())</f>
        <v>80</v>
      </c>
      <c r="O137" s="0" t="n">
        <f aca="false">VLOOKUP(B137,'Team Data'!$A$1:$P$140,2,FALSE())</f>
        <v>2</v>
      </c>
      <c r="P137" s="0" t="n">
        <f aca="false">VLOOKUP(B137,'Team Data'!$A$1:$P$140,3,FALSE())</f>
        <v>0</v>
      </c>
      <c r="Q137" s="0" t="n">
        <f aca="false">VLOOKUP(A137,'Team Data'!$A$1:$P$140,4,FALSE())</f>
        <v>113</v>
      </c>
      <c r="R137" s="0" t="n">
        <f aca="false">VLOOKUP(A137,'Team Data'!$A$1:$P$140,5,FALSE())</f>
        <v>61</v>
      </c>
      <c r="S137" s="0" t="n">
        <f aca="false">VLOOKUP(B137,'Team Data'!$A$1:$P$140,4,FALSE())</f>
        <v>6</v>
      </c>
      <c r="T137" s="0" t="n">
        <f aca="false">VLOOKUP(B137,'Team Data'!$A$1:$P$140,5,FALSE())</f>
        <v>81</v>
      </c>
      <c r="U137" s="0" t="n">
        <f aca="false">IF(K137=1,(MIN(35,(C137-D137)))*(O137/(O137+P137))*(S137/(S137+T137)),(MAX(-35,(C137-D137)))*(IF(P137=0,0.1,(P137/(O137+P137))))*(T137/(S137+T137)))</f>
        <v>-3.25862068965517</v>
      </c>
      <c r="V137" s="0" t="n">
        <f aca="false">IF(L137=1,(MIN(35,(D137-C137)))*(M137/(M137+N137))*(Q137/(Q137+R137)),(MAX(-35,(D137-C137)))*(IF(N137=0,0.1,(N137/(M137+N137))))*(R137/(R137+Q137)))</f>
        <v>1.33705206220419</v>
      </c>
    </row>
    <row r="138" customFormat="false" ht="15" hidden="false" customHeight="false" outlineLevel="0" collapsed="false">
      <c r="A138" s="0" t="s">
        <v>136</v>
      </c>
      <c r="B138" s="0" t="s">
        <v>97</v>
      </c>
      <c r="C138" s="0" t="n">
        <v>38</v>
      </c>
      <c r="D138" s="0" t="n">
        <v>36</v>
      </c>
      <c r="E138" s="0" t="n">
        <v>186</v>
      </c>
      <c r="F138" s="0" t="n">
        <v>126</v>
      </c>
      <c r="G138" s="0" t="n">
        <v>225</v>
      </c>
      <c r="H138" s="0" t="n">
        <v>329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f aca="false">VLOOKUP(A138,'Team Data'!$A$1:$P$140,2,FALSE())</f>
        <v>2</v>
      </c>
      <c r="N138" s="0" t="n">
        <f aca="false">VLOOKUP(A138,'Team Data'!$A$1:$P$140,3,FALSE())</f>
        <v>0</v>
      </c>
      <c r="O138" s="0" t="n">
        <f aca="false">VLOOKUP(B138,'Team Data'!$A$1:$P$140,2,FALSE())</f>
        <v>1</v>
      </c>
      <c r="P138" s="0" t="n">
        <f aca="false">VLOOKUP(B138,'Team Data'!$A$1:$P$140,3,FALSE())</f>
        <v>1</v>
      </c>
      <c r="Q138" s="0" t="n">
        <f aca="false">VLOOKUP(A138,'Team Data'!$A$1:$P$140,4,FALSE())</f>
        <v>2</v>
      </c>
      <c r="R138" s="0" t="n">
        <f aca="false">VLOOKUP(A138,'Team Data'!$A$1:$P$140,5,FALSE())</f>
        <v>2</v>
      </c>
      <c r="S138" s="0" t="n">
        <f aca="false">VLOOKUP(B138,'Team Data'!$A$1:$P$140,4,FALSE())</f>
        <v>7</v>
      </c>
      <c r="T138" s="0" t="n">
        <f aca="false">VLOOKUP(B138,'Team Data'!$A$1:$P$140,5,FALSE())</f>
        <v>80</v>
      </c>
      <c r="U138" s="0" t="n">
        <f aca="false">IF(K138=1,(MIN(35,(C138-D138)))*(O138/(O138+P138))*(S138/(S138+T138)),(MAX(-35,(C138-D138)))*(IF(P138=0,0.1,(P138/(O138+P138))))*(T138/(S138+T138)))</f>
        <v>0.0804597701149425</v>
      </c>
      <c r="V138" s="0" t="n">
        <f aca="false">IF(L138=1,(MIN(35,(D138-C138)))*(M138/(M138+N138))*(Q138/(Q138+R138)),(MAX(-35,(D138-C138)))*(IF(N138=0,0.1,(N138/(M138+N138))))*(R138/(R138+Q138)))</f>
        <v>-0.1</v>
      </c>
    </row>
    <row r="139" customFormat="false" ht="15" hidden="false" customHeight="false" outlineLevel="0" collapsed="false">
      <c r="A139" s="0" t="s">
        <v>198</v>
      </c>
      <c r="B139" s="0" t="s">
        <v>47</v>
      </c>
      <c r="C139" s="0" t="n">
        <v>0</v>
      </c>
      <c r="D139" s="0" t="n">
        <v>55</v>
      </c>
      <c r="E139" s="0" t="n">
        <v>13</v>
      </c>
      <c r="F139" s="0" t="n">
        <v>296</v>
      </c>
      <c r="G139" s="0" t="n">
        <v>44</v>
      </c>
      <c r="H139" s="0" t="n">
        <v>209</v>
      </c>
      <c r="I139" s="0" t="n">
        <v>1</v>
      </c>
      <c r="J139" s="0" t="n">
        <v>1</v>
      </c>
      <c r="K139" s="0" t="n">
        <v>0</v>
      </c>
      <c r="L139" s="0" t="n">
        <v>1</v>
      </c>
      <c r="M139" s="0" t="n">
        <f aca="false">VLOOKUP(A139,'Team Data'!$A$1:$P$140,2,FALSE())</f>
        <v>5</v>
      </c>
      <c r="N139" s="0" t="n">
        <f aca="false">VLOOKUP(A139,'Team Data'!$A$1:$P$140,3,FALSE())</f>
        <v>80</v>
      </c>
      <c r="O139" s="0" t="n">
        <f aca="false">VLOOKUP(B139,'Team Data'!$A$1:$P$140,2,FALSE())</f>
        <v>2</v>
      </c>
      <c r="P139" s="0" t="n">
        <f aca="false">VLOOKUP(B139,'Team Data'!$A$1:$P$140,3,FALSE())</f>
        <v>0</v>
      </c>
      <c r="Q139" s="0" t="n">
        <f aca="false">VLOOKUP(A139,'Team Data'!$A$1:$P$140,4,FALSE())</f>
        <v>113</v>
      </c>
      <c r="R139" s="0" t="n">
        <f aca="false">VLOOKUP(A139,'Team Data'!$A$1:$P$140,5,FALSE())</f>
        <v>61</v>
      </c>
      <c r="S139" s="0" t="n">
        <f aca="false">VLOOKUP(B139,'Team Data'!$A$1:$P$140,4,FALSE())</f>
        <v>6</v>
      </c>
      <c r="T139" s="0" t="n">
        <f aca="false">VLOOKUP(B139,'Team Data'!$A$1:$P$140,5,FALSE())</f>
        <v>81</v>
      </c>
      <c r="U139" s="0" t="n">
        <f aca="false">IF(K139=1,(MIN(35,(C139-D139)))*(O139/(O139+P139))*(S139/(S139+T139)),(MAX(-35,(C139-D139)))*(IF(P139=0,0.1,(P139/(O139+P139))))*(T139/(S139+T139)))</f>
        <v>-3.25862068965517</v>
      </c>
      <c r="V139" s="0" t="n">
        <f aca="false">IF(L139=1,(MIN(35,(D139-C139)))*(M139/(M139+N139))*(Q139/(Q139+R139)),(MAX(-35,(D139-C139)))*(IF(N139=0,0.1,(N139/(M139+N139))))*(R139/(R139+Q139)))</f>
        <v>1.33705206220419</v>
      </c>
    </row>
    <row r="140" customFormat="false" ht="15" hidden="false" customHeight="false" outlineLevel="0" collapsed="false">
      <c r="A140" s="0" t="s">
        <v>34</v>
      </c>
      <c r="B140" s="0" t="s">
        <v>69</v>
      </c>
      <c r="C140" s="0" t="n">
        <v>7</v>
      </c>
      <c r="D140" s="0" t="n">
        <v>35</v>
      </c>
      <c r="E140" s="0" t="n">
        <v>101</v>
      </c>
      <c r="F140" s="0" t="n">
        <v>258</v>
      </c>
      <c r="G140" s="0" t="n">
        <v>118</v>
      </c>
      <c r="H140" s="0" t="n">
        <v>214</v>
      </c>
      <c r="I140" s="0" t="n">
        <v>1</v>
      </c>
      <c r="J140" s="0" t="n">
        <v>1</v>
      </c>
      <c r="K140" s="0" t="n">
        <v>0</v>
      </c>
      <c r="L140" s="0" t="n">
        <v>1</v>
      </c>
      <c r="M140" s="0" t="n">
        <f aca="false">VLOOKUP(A140,'Team Data'!$A$1:$P$140,2,FALSE())</f>
        <v>1</v>
      </c>
      <c r="N140" s="0" t="n">
        <f aca="false">VLOOKUP(A140,'Team Data'!$A$1:$P$140,3,FALSE())</f>
        <v>2</v>
      </c>
      <c r="O140" s="0" t="n">
        <f aca="false">VLOOKUP(B140,'Team Data'!$A$1:$P$140,2,FALSE())</f>
        <v>2</v>
      </c>
      <c r="P140" s="0" t="n">
        <f aca="false">VLOOKUP(B140,'Team Data'!$A$1:$P$140,3,FALSE())</f>
        <v>0</v>
      </c>
      <c r="Q140" s="0" t="n">
        <f aca="false">VLOOKUP(A140,'Team Data'!$A$1:$P$140,4,FALSE())</f>
        <v>5</v>
      </c>
      <c r="R140" s="0" t="n">
        <f aca="false">VLOOKUP(A140,'Team Data'!$A$1:$P$140,5,FALSE())</f>
        <v>3</v>
      </c>
      <c r="S140" s="0" t="n">
        <f aca="false">VLOOKUP(B140,'Team Data'!$A$1:$P$140,4,FALSE())</f>
        <v>2</v>
      </c>
      <c r="T140" s="0" t="n">
        <f aca="false">VLOOKUP(B140,'Team Data'!$A$1:$P$140,5,FALSE())</f>
        <v>3</v>
      </c>
      <c r="U140" s="0" t="n">
        <f aca="false">IF(K140=1,(MIN(35,(C140-D140)))*(O140/(O140+P140))*(S140/(S140+T140)),(MAX(-35,(C140-D140)))*(IF(P140=0,0.1,(P140/(O140+P140))))*(T140/(S140+T140)))</f>
        <v>-1.68</v>
      </c>
      <c r="V140" s="0" t="n">
        <f aca="false">IF(L140=1,(MIN(35,(D140-C140)))*(M140/(M140+N140))*(Q140/(Q140+R140)),(MAX(-35,(D140-C140)))*(IF(N140=0,0.1,(N140/(M140+N140))))*(R140/(R140+Q140)))</f>
        <v>5.83333333333333</v>
      </c>
    </row>
    <row r="141" customFormat="false" ht="15" hidden="false" customHeight="false" outlineLevel="0" collapsed="false">
      <c r="A141" s="0" t="s">
        <v>21</v>
      </c>
      <c r="B141" s="0" t="s">
        <v>77</v>
      </c>
      <c r="C141" s="0" t="n">
        <v>7</v>
      </c>
      <c r="D141" s="0" t="n">
        <v>56</v>
      </c>
      <c r="E141" s="0" t="n">
        <v>85</v>
      </c>
      <c r="F141" s="0" t="n">
        <v>264</v>
      </c>
      <c r="G141" s="0" t="n">
        <v>84</v>
      </c>
      <c r="H141" s="0" t="n">
        <v>282</v>
      </c>
      <c r="I141" s="0" t="n">
        <v>2</v>
      </c>
      <c r="J141" s="0" t="n">
        <v>1</v>
      </c>
      <c r="K141" s="0" t="n">
        <v>0</v>
      </c>
      <c r="L141" s="0" t="n">
        <v>1</v>
      </c>
      <c r="M141" s="0" t="n">
        <f aca="false">VLOOKUP(A141,'Team Data'!$A$1:$P$140,2,FALSE())</f>
        <v>0</v>
      </c>
      <c r="N141" s="0" t="n">
        <f aca="false">VLOOKUP(A141,'Team Data'!$A$1:$P$140,3,FALSE())</f>
        <v>2</v>
      </c>
      <c r="O141" s="0" t="n">
        <f aca="false">VLOOKUP(B141,'Team Data'!$A$1:$P$140,2,FALSE())</f>
        <v>2</v>
      </c>
      <c r="P141" s="0" t="n">
        <f aca="false">VLOOKUP(B141,'Team Data'!$A$1:$P$140,3,FALSE())</f>
        <v>0</v>
      </c>
      <c r="Q141" s="0" t="n">
        <f aca="false">VLOOKUP(A141,'Team Data'!$A$1:$P$140,4,FALSE())</f>
        <v>7</v>
      </c>
      <c r="R141" s="0" t="n">
        <f aca="false">VLOOKUP(A141,'Team Data'!$A$1:$P$140,5,FALSE())</f>
        <v>80</v>
      </c>
      <c r="S141" s="0" t="n">
        <f aca="false">VLOOKUP(B141,'Team Data'!$A$1:$P$140,4,FALSE())</f>
        <v>1</v>
      </c>
      <c r="T141" s="0" t="n">
        <f aca="false">VLOOKUP(B141,'Team Data'!$A$1:$P$140,5,FALSE())</f>
        <v>3</v>
      </c>
      <c r="U141" s="0" t="n">
        <f aca="false">IF(K141=1,(MIN(35,(C141-D141)))*(O141/(O141+P141))*(S141/(S141+T141)),(MAX(-35,(C141-D141)))*(IF(P141=0,0.1,(P141/(O141+P141))))*(T141/(S141+T141)))</f>
        <v>-2.625</v>
      </c>
      <c r="V141" s="0" t="n">
        <f aca="false">IF(L141=1,(MIN(35,(D141-C141)))*(M141/(M141+N141))*(Q141/(Q141+R141)),(MAX(-35,(D141-C141)))*(IF(N141=0,0.1,(N141/(M141+N141))))*(R141/(R141+Q141)))</f>
        <v>0</v>
      </c>
    </row>
    <row r="142" customFormat="false" ht="15" hidden="false" customHeight="false" outlineLevel="0" collapsed="false">
      <c r="A142" s="0" t="s">
        <v>95</v>
      </c>
      <c r="B142" s="0" t="s">
        <v>111</v>
      </c>
      <c r="C142" s="0" t="n">
        <v>27</v>
      </c>
      <c r="D142" s="0" t="n">
        <v>9</v>
      </c>
      <c r="E142" s="0" t="n">
        <v>148</v>
      </c>
      <c r="F142" s="0" t="n">
        <v>176</v>
      </c>
      <c r="G142" s="0" t="n">
        <v>268</v>
      </c>
      <c r="H142" s="0" t="n">
        <v>107</v>
      </c>
      <c r="I142" s="0" t="n">
        <v>0</v>
      </c>
      <c r="J142" s="0" t="n">
        <v>1</v>
      </c>
      <c r="K142" s="0" t="n">
        <v>1</v>
      </c>
      <c r="L142" s="0" t="n">
        <v>0</v>
      </c>
      <c r="M142" s="0" t="n">
        <f aca="false">VLOOKUP(A142,'Team Data'!$A$1:$P$140,2,FALSE())</f>
        <v>2</v>
      </c>
      <c r="N142" s="0" t="n">
        <f aca="false">VLOOKUP(A142,'Team Data'!$A$1:$P$140,3,FALSE())</f>
        <v>0</v>
      </c>
      <c r="O142" s="0" t="n">
        <f aca="false">VLOOKUP(B142,'Team Data'!$A$1:$P$140,2,FALSE())</f>
        <v>1</v>
      </c>
      <c r="P142" s="0" t="n">
        <f aca="false">VLOOKUP(B142,'Team Data'!$A$1:$P$140,3,FALSE())</f>
        <v>1</v>
      </c>
      <c r="Q142" s="0" t="n">
        <f aca="false">VLOOKUP(A142,'Team Data'!$A$1:$P$140,4,FALSE())</f>
        <v>2</v>
      </c>
      <c r="R142" s="0" t="n">
        <f aca="false">VLOOKUP(A142,'Team Data'!$A$1:$P$140,5,FALSE())</f>
        <v>2</v>
      </c>
      <c r="S142" s="0" t="n">
        <f aca="false">VLOOKUP(B142,'Team Data'!$A$1:$P$140,4,FALSE())</f>
        <v>7</v>
      </c>
      <c r="T142" s="0" t="n">
        <f aca="false">VLOOKUP(B142,'Team Data'!$A$1:$P$140,5,FALSE())</f>
        <v>80</v>
      </c>
      <c r="U142" s="0" t="n">
        <f aca="false">IF(K142=1,(MIN(35,(C142-D142)))*(O142/(O142+P142))*(S142/(S142+T142)),(MAX(-35,(C142-D142)))*(IF(P142=0,0.1,(P142/(O142+P142))))*(T142/(S142+T142)))</f>
        <v>0.724137931034483</v>
      </c>
      <c r="V142" s="0" t="n">
        <f aca="false">IF(L142=1,(MIN(35,(D142-C142)))*(M142/(M142+N142))*(Q142/(Q142+R142)),(MAX(-35,(D142-C142)))*(IF(N142=0,0.1,(N142/(M142+N142))))*(R142/(R142+Q142)))</f>
        <v>-0.9</v>
      </c>
    </row>
    <row r="143" customFormat="false" ht="15" hidden="false" customHeight="false" outlineLevel="0" collapsed="false">
      <c r="A143" s="0" t="s">
        <v>103</v>
      </c>
      <c r="B143" s="0" t="s">
        <v>123</v>
      </c>
      <c r="C143" s="0" t="n">
        <v>10</v>
      </c>
      <c r="D143" s="0" t="n">
        <v>28</v>
      </c>
      <c r="E143" s="0" t="n">
        <v>144</v>
      </c>
      <c r="F143" s="0" t="n">
        <v>214</v>
      </c>
      <c r="G143" s="0" t="n">
        <v>45</v>
      </c>
      <c r="H143" s="0" t="n">
        <v>151</v>
      </c>
      <c r="I143" s="0" t="n">
        <v>1</v>
      </c>
      <c r="J143" s="0" t="n">
        <v>1</v>
      </c>
      <c r="K143" s="0" t="n">
        <v>0</v>
      </c>
      <c r="L143" s="0" t="n">
        <v>1</v>
      </c>
      <c r="M143" s="0" t="n">
        <f aca="false">VLOOKUP(A143,'Team Data'!$A$1:$P$140,2,FALSE())</f>
        <v>1</v>
      </c>
      <c r="N143" s="0" t="n">
        <f aca="false">VLOOKUP(A143,'Team Data'!$A$1:$P$140,3,FALSE())</f>
        <v>1</v>
      </c>
      <c r="O143" s="0" t="n">
        <f aca="false">VLOOKUP(B143,'Team Data'!$A$1:$P$140,2,FALSE())</f>
        <v>2</v>
      </c>
      <c r="P143" s="0" t="n">
        <f aca="false">VLOOKUP(B143,'Team Data'!$A$1:$P$140,3,FALSE())</f>
        <v>0</v>
      </c>
      <c r="Q143" s="0" t="n">
        <f aca="false">VLOOKUP(A143,'Team Data'!$A$1:$P$140,4,FALSE())</f>
        <v>7</v>
      </c>
      <c r="R143" s="0" t="n">
        <f aca="false">VLOOKUP(A143,'Team Data'!$A$1:$P$140,5,FALSE())</f>
        <v>80</v>
      </c>
      <c r="S143" s="0" t="n">
        <f aca="false">VLOOKUP(B143,'Team Data'!$A$1:$P$140,4,FALSE())</f>
        <v>2</v>
      </c>
      <c r="T143" s="0" t="n">
        <f aca="false">VLOOKUP(B143,'Team Data'!$A$1:$P$140,5,FALSE())</f>
        <v>2</v>
      </c>
      <c r="U143" s="0" t="n">
        <f aca="false">IF(K143=1,(MIN(35,(C143-D143)))*(O143/(O143+P143))*(S143/(S143+T143)),(MAX(-35,(C143-D143)))*(IF(P143=0,0.1,(P143/(O143+P143))))*(T143/(S143+T143)))</f>
        <v>-0.9</v>
      </c>
      <c r="V143" s="0" t="n">
        <f aca="false">IF(L143=1,(MIN(35,(D143-C143)))*(M143/(M143+N143))*(Q143/(Q143+R143)),(MAX(-35,(D143-C143)))*(IF(N143=0,0.1,(N143/(M143+N143))))*(R143/(R143+Q143)))</f>
        <v>0.724137931034483</v>
      </c>
    </row>
    <row r="144" customFormat="false" ht="15" hidden="false" customHeight="false" outlineLevel="0" collapsed="false">
      <c r="A144" s="0" t="s">
        <v>64</v>
      </c>
      <c r="B144" s="0" t="s">
        <v>124</v>
      </c>
      <c r="C144" s="0" t="n">
        <v>38</v>
      </c>
      <c r="D144" s="0" t="n">
        <v>14</v>
      </c>
      <c r="E144" s="0" t="n">
        <v>125</v>
      </c>
      <c r="F144" s="0" t="n">
        <v>67</v>
      </c>
      <c r="G144" s="0" t="n">
        <v>350</v>
      </c>
      <c r="H144" s="0" t="n">
        <v>156</v>
      </c>
      <c r="I144" s="0" t="n">
        <v>0</v>
      </c>
      <c r="J144" s="0" t="n">
        <v>1</v>
      </c>
      <c r="K144" s="0" t="n">
        <v>1</v>
      </c>
      <c r="L144" s="0" t="n">
        <v>0</v>
      </c>
      <c r="M144" s="0" t="n">
        <f aca="false">VLOOKUP(A144,'Team Data'!$A$1:$P$140,2,FALSE())</f>
        <v>2</v>
      </c>
      <c r="N144" s="0" t="n">
        <f aca="false">VLOOKUP(A144,'Team Data'!$A$1:$P$140,3,FALSE())</f>
        <v>0</v>
      </c>
      <c r="O144" s="0" t="n">
        <f aca="false">VLOOKUP(B144,'Team Data'!$A$1:$P$140,2,FALSE())</f>
        <v>1</v>
      </c>
      <c r="P144" s="0" t="n">
        <f aca="false">VLOOKUP(B144,'Team Data'!$A$1:$P$140,3,FALSE())</f>
        <v>1</v>
      </c>
      <c r="Q144" s="0" t="n">
        <f aca="false">VLOOKUP(A144,'Team Data'!$A$1:$P$140,4,FALSE())</f>
        <v>6</v>
      </c>
      <c r="R144" s="0" t="n">
        <f aca="false">VLOOKUP(A144,'Team Data'!$A$1:$P$140,5,FALSE())</f>
        <v>81</v>
      </c>
      <c r="S144" s="0" t="n">
        <f aca="false">VLOOKUP(B144,'Team Data'!$A$1:$P$140,4,FALSE())</f>
        <v>7</v>
      </c>
      <c r="T144" s="0" t="n">
        <f aca="false">VLOOKUP(B144,'Team Data'!$A$1:$P$140,5,FALSE())</f>
        <v>80</v>
      </c>
      <c r="U144" s="0" t="n">
        <f aca="false">IF(K144=1,(MIN(35,(C144-D144)))*(O144/(O144+P144))*(S144/(S144+T144)),(MAX(-35,(C144-D144)))*(IF(P144=0,0.1,(P144/(O144+P144))))*(T144/(S144+T144)))</f>
        <v>0.96551724137931</v>
      </c>
      <c r="V144" s="0" t="n">
        <f aca="false">IF(L144=1,(MIN(35,(D144-C144)))*(M144/(M144+N144))*(Q144/(Q144+R144)),(MAX(-35,(D144-C144)))*(IF(N144=0,0.1,(N144/(M144+N144))))*(R144/(R144+Q144)))</f>
        <v>-2.23448275862069</v>
      </c>
    </row>
    <row r="145" customFormat="false" ht="15" hidden="false" customHeight="false" outlineLevel="0" collapsed="false">
      <c r="A145" s="0" t="s">
        <v>59</v>
      </c>
      <c r="B145" s="0" t="s">
        <v>127</v>
      </c>
      <c r="C145" s="0" t="n">
        <v>30</v>
      </c>
      <c r="D145" s="0" t="n">
        <v>49</v>
      </c>
      <c r="E145" s="0" t="n">
        <v>146</v>
      </c>
      <c r="F145" s="0" t="n">
        <v>214</v>
      </c>
      <c r="G145" s="0" t="n">
        <v>212</v>
      </c>
      <c r="H145" s="0" t="n">
        <v>269</v>
      </c>
      <c r="I145" s="0" t="n">
        <v>0</v>
      </c>
      <c r="J145" s="0" t="n">
        <v>1</v>
      </c>
      <c r="K145" s="0" t="n">
        <v>0</v>
      </c>
      <c r="L145" s="0" t="n">
        <v>1</v>
      </c>
      <c r="M145" s="0" t="n">
        <f aca="false">VLOOKUP(A145,'Team Data'!$A$1:$P$140,2,FALSE())</f>
        <v>1</v>
      </c>
      <c r="N145" s="0" t="n">
        <f aca="false">VLOOKUP(A145,'Team Data'!$A$1:$P$140,3,FALSE())</f>
        <v>1</v>
      </c>
      <c r="O145" s="0" t="n">
        <f aca="false">VLOOKUP(B145,'Team Data'!$A$1:$P$140,2,FALSE())</f>
        <v>3</v>
      </c>
      <c r="P145" s="0" t="n">
        <f aca="false">VLOOKUP(B145,'Team Data'!$A$1:$P$140,3,FALSE())</f>
        <v>0</v>
      </c>
      <c r="Q145" s="0" t="n">
        <f aca="false">VLOOKUP(A145,'Team Data'!$A$1:$P$140,4,FALSE())</f>
        <v>8</v>
      </c>
      <c r="R145" s="0" t="n">
        <f aca="false">VLOOKUP(A145,'Team Data'!$A$1:$P$140,5,FALSE())</f>
        <v>80</v>
      </c>
      <c r="S145" s="0" t="n">
        <f aca="false">VLOOKUP(B145,'Team Data'!$A$1:$P$140,4,FALSE())</f>
        <v>4</v>
      </c>
      <c r="T145" s="0" t="n">
        <f aca="false">VLOOKUP(B145,'Team Data'!$A$1:$P$140,5,FALSE())</f>
        <v>3</v>
      </c>
      <c r="U145" s="0" t="n">
        <f aca="false">IF(K145=1,(MIN(35,(C145-D145)))*(O145/(O145+P145))*(S145/(S145+T145)),(MAX(-35,(C145-D145)))*(IF(P145=0,0.1,(P145/(O145+P145))))*(T145/(S145+T145)))</f>
        <v>-0.814285714285714</v>
      </c>
      <c r="V145" s="0" t="n">
        <f aca="false">IF(L145=1,(MIN(35,(D145-C145)))*(M145/(M145+N145))*(Q145/(Q145+R145)),(MAX(-35,(D145-C145)))*(IF(N145=0,0.1,(N145/(M145+N145))))*(R145/(R145+Q145)))</f>
        <v>0.863636363636364</v>
      </c>
    </row>
    <row r="146" customFormat="false" ht="15" hidden="false" customHeight="false" outlineLevel="0" collapsed="false">
      <c r="A146" s="0" t="s">
        <v>132</v>
      </c>
      <c r="B146" s="0" t="s">
        <v>137</v>
      </c>
      <c r="C146" s="0" t="n">
        <v>14</v>
      </c>
      <c r="D146" s="0" t="n">
        <v>16</v>
      </c>
      <c r="E146" s="0" t="n">
        <v>75</v>
      </c>
      <c r="F146" s="0" t="n">
        <v>107</v>
      </c>
      <c r="G146" s="0" t="n">
        <v>196</v>
      </c>
      <c r="H146" s="0" t="n">
        <v>249</v>
      </c>
      <c r="I146" s="0" t="n">
        <v>3</v>
      </c>
      <c r="J146" s="0" t="n">
        <v>0</v>
      </c>
      <c r="K146" s="0" t="n">
        <v>0</v>
      </c>
      <c r="L146" s="0" t="n">
        <v>1</v>
      </c>
      <c r="M146" s="0" t="n">
        <f aca="false">VLOOKUP(A146,'Team Data'!$A$1:$P$140,2,FALSE())</f>
        <v>0</v>
      </c>
      <c r="N146" s="0" t="n">
        <f aca="false">VLOOKUP(A146,'Team Data'!$A$1:$P$140,3,FALSE())</f>
        <v>2</v>
      </c>
      <c r="O146" s="0" t="n">
        <f aca="false">VLOOKUP(B146,'Team Data'!$A$1:$P$140,2,FALSE())</f>
        <v>2</v>
      </c>
      <c r="P146" s="0" t="n">
        <f aca="false">VLOOKUP(B146,'Team Data'!$A$1:$P$140,3,FALSE())</f>
        <v>0</v>
      </c>
      <c r="Q146" s="0" t="n">
        <f aca="false">VLOOKUP(A146,'Team Data'!$A$1:$P$140,4,FALSE())</f>
        <v>7</v>
      </c>
      <c r="R146" s="0" t="n">
        <f aca="false">VLOOKUP(A146,'Team Data'!$A$1:$P$140,5,FALSE())</f>
        <v>80</v>
      </c>
      <c r="S146" s="0" t="n">
        <f aca="false">VLOOKUP(B146,'Team Data'!$A$1:$P$140,4,FALSE())</f>
        <v>0</v>
      </c>
      <c r="T146" s="0" t="n">
        <f aca="false">VLOOKUP(B146,'Team Data'!$A$1:$P$140,5,FALSE())</f>
        <v>4</v>
      </c>
      <c r="U146" s="0" t="n">
        <f aca="false">IF(K146=1,(MIN(35,(C146-D146)))*(O146/(O146+P146))*(S146/(S146+T146)),(MAX(-35,(C146-D146)))*(IF(P146=0,0.1,(P146/(O146+P146))))*(T146/(S146+T146)))</f>
        <v>-0.2</v>
      </c>
      <c r="V146" s="0" t="n">
        <f aca="false">IF(L146=1,(MIN(35,(D146-C146)))*(M146/(M146+N146))*(Q146/(Q146+R146)),(MAX(-35,(D146-C146)))*(IF(N146=0,0.1,(N146/(M146+N146))))*(R146/(R146+Q146)))</f>
        <v>0</v>
      </c>
    </row>
    <row r="147" customFormat="false" ht="15" hidden="false" customHeight="false" outlineLevel="0" collapsed="false">
      <c r="A147" s="0" t="s">
        <v>198</v>
      </c>
      <c r="B147" s="0" t="s">
        <v>142</v>
      </c>
      <c r="C147" s="0" t="n">
        <v>9</v>
      </c>
      <c r="D147" s="0" t="n">
        <v>36</v>
      </c>
      <c r="E147" s="0" t="n">
        <v>154</v>
      </c>
      <c r="F147" s="0" t="n">
        <v>233</v>
      </c>
      <c r="G147" s="0" t="n">
        <v>148</v>
      </c>
      <c r="H147" s="0" t="n">
        <v>173</v>
      </c>
      <c r="I147" s="0" t="n">
        <v>0</v>
      </c>
      <c r="J147" s="0" t="n">
        <v>0</v>
      </c>
      <c r="K147" s="0" t="n">
        <v>0</v>
      </c>
      <c r="L147" s="0" t="n">
        <v>1</v>
      </c>
      <c r="M147" s="0" t="n">
        <f aca="false">VLOOKUP(A147,'Team Data'!$A$1:$P$140,2,FALSE())</f>
        <v>5</v>
      </c>
      <c r="N147" s="0" t="n">
        <f aca="false">VLOOKUP(A147,'Team Data'!$A$1:$P$140,3,FALSE())</f>
        <v>80</v>
      </c>
      <c r="O147" s="0" t="n">
        <f aca="false">VLOOKUP(B147,'Team Data'!$A$1:$P$140,2,FALSE())</f>
        <v>1</v>
      </c>
      <c r="P147" s="0" t="n">
        <f aca="false">VLOOKUP(B147,'Team Data'!$A$1:$P$140,3,FALSE())</f>
        <v>1</v>
      </c>
      <c r="Q147" s="0" t="n">
        <f aca="false">VLOOKUP(A147,'Team Data'!$A$1:$P$140,4,FALSE())</f>
        <v>113</v>
      </c>
      <c r="R147" s="0" t="n">
        <f aca="false">VLOOKUP(A147,'Team Data'!$A$1:$P$140,5,FALSE())</f>
        <v>61</v>
      </c>
      <c r="S147" s="0" t="n">
        <f aca="false">VLOOKUP(B147,'Team Data'!$A$1:$P$140,4,FALSE())</f>
        <v>7</v>
      </c>
      <c r="T147" s="0" t="n">
        <f aca="false">VLOOKUP(B147,'Team Data'!$A$1:$P$140,5,FALSE())</f>
        <v>80</v>
      </c>
      <c r="U147" s="0" t="n">
        <f aca="false">IF(K147=1,(MIN(35,(C147-D147)))*(O147/(O147+P147))*(S147/(S147+T147)),(MAX(-35,(C147-D147)))*(IF(P147=0,0.1,(P147/(O147+P147))))*(T147/(S147+T147)))</f>
        <v>-12.4137931034483</v>
      </c>
      <c r="V147" s="0" t="n">
        <f aca="false">IF(L147=1,(MIN(35,(D147-C147)))*(M147/(M147+N147))*(Q147/(Q147+R147)),(MAX(-35,(D147-C147)))*(IF(N147=0,0.1,(N147/(M147+N147))))*(R147/(R147+Q147)))</f>
        <v>1.03144016227181</v>
      </c>
    </row>
    <row r="148" customFormat="false" ht="15" hidden="false" customHeight="false" outlineLevel="0" collapsed="false">
      <c r="A148" s="0" t="s">
        <v>98</v>
      </c>
      <c r="B148" s="0" t="s">
        <v>86</v>
      </c>
      <c r="C148" s="0" t="n">
        <v>0</v>
      </c>
      <c r="D148" s="0" t="n">
        <v>52</v>
      </c>
      <c r="E148" s="0" t="n">
        <v>64</v>
      </c>
      <c r="F148" s="0" t="n">
        <v>118</v>
      </c>
      <c r="G148" s="0" t="n">
        <v>64</v>
      </c>
      <c r="H148" s="0" t="n">
        <v>360</v>
      </c>
      <c r="I148" s="0" t="n">
        <v>4</v>
      </c>
      <c r="J148" s="0" t="n">
        <v>0</v>
      </c>
      <c r="K148" s="0" t="n">
        <v>0</v>
      </c>
      <c r="L148" s="0" t="n">
        <v>1</v>
      </c>
      <c r="M148" s="0" t="n">
        <f aca="false">VLOOKUP(A148,'Team Data'!$A$1:$P$140,2,FALSE())</f>
        <v>1</v>
      </c>
      <c r="N148" s="0" t="n">
        <f aca="false">VLOOKUP(A148,'Team Data'!$A$1:$P$140,3,FALSE())</f>
        <v>1</v>
      </c>
      <c r="O148" s="0" t="n">
        <f aca="false">VLOOKUP(B148,'Team Data'!$A$1:$P$140,2,FALSE())</f>
        <v>2</v>
      </c>
      <c r="P148" s="0" t="n">
        <f aca="false">VLOOKUP(B148,'Team Data'!$A$1:$P$140,3,FALSE())</f>
        <v>0</v>
      </c>
      <c r="Q148" s="0" t="n">
        <f aca="false">VLOOKUP(A148,'Team Data'!$A$1:$P$140,4,FALSE())</f>
        <v>7</v>
      </c>
      <c r="R148" s="0" t="n">
        <f aca="false">VLOOKUP(A148,'Team Data'!$A$1:$P$140,5,FALSE())</f>
        <v>80</v>
      </c>
      <c r="S148" s="0" t="n">
        <f aca="false">VLOOKUP(B148,'Team Data'!$A$1:$P$140,4,FALSE())</f>
        <v>2</v>
      </c>
      <c r="T148" s="0" t="n">
        <f aca="false">VLOOKUP(B148,'Team Data'!$A$1:$P$140,5,FALSE())</f>
        <v>2</v>
      </c>
      <c r="U148" s="0" t="n">
        <f aca="false">IF(K148=1,(MIN(35,(C148-D148)))*(O148/(O148+P148))*(S148/(S148+T148)),(MAX(-35,(C148-D148)))*(IF(P148=0,0.1,(P148/(O148+P148))))*(T148/(S148+T148)))</f>
        <v>-1.75</v>
      </c>
      <c r="V148" s="0" t="n">
        <f aca="false">IF(L148=1,(MIN(35,(D148-C148)))*(M148/(M148+N148))*(Q148/(Q148+R148)),(MAX(-35,(D148-C148)))*(IF(N148=0,0.1,(N148/(M148+N148))))*(R148/(R148+Q148)))</f>
        <v>1.40804597701149</v>
      </c>
    </row>
    <row r="149" customFormat="false" ht="15" hidden="false" customHeight="false" outlineLevel="0" collapsed="false">
      <c r="A149" s="0" t="s">
        <v>65</v>
      </c>
      <c r="B149" s="0" t="s">
        <v>19</v>
      </c>
      <c r="C149" s="0" t="n">
        <v>20</v>
      </c>
      <c r="D149" s="0" t="n">
        <v>38</v>
      </c>
      <c r="E149" s="0" t="n">
        <v>135</v>
      </c>
      <c r="F149" s="0" t="n">
        <v>357</v>
      </c>
      <c r="G149" s="0" t="n">
        <v>384</v>
      </c>
      <c r="H149" s="0" t="n">
        <v>221</v>
      </c>
      <c r="I149" s="0" t="n">
        <v>1</v>
      </c>
      <c r="J149" s="0" t="n">
        <v>0</v>
      </c>
      <c r="K149" s="0" t="n">
        <v>0</v>
      </c>
      <c r="L149" s="0" t="n">
        <v>1</v>
      </c>
      <c r="M149" s="0" t="n">
        <f aca="false">VLOOKUP(A149,'Team Data'!$A$1:$P$140,2,FALSE())</f>
        <v>2</v>
      </c>
      <c r="N149" s="0" t="n">
        <f aca="false">VLOOKUP(A149,'Team Data'!$A$1:$P$140,3,FALSE())</f>
        <v>1</v>
      </c>
      <c r="O149" s="0" t="n">
        <f aca="false">VLOOKUP(B149,'Team Data'!$A$1:$P$140,2,FALSE())</f>
        <v>1</v>
      </c>
      <c r="P149" s="0" t="n">
        <f aca="false">VLOOKUP(B149,'Team Data'!$A$1:$P$140,3,FALSE())</f>
        <v>1</v>
      </c>
      <c r="Q149" s="0" t="n">
        <f aca="false">VLOOKUP(A149,'Team Data'!$A$1:$P$140,4,FALSE())</f>
        <v>3</v>
      </c>
      <c r="R149" s="0" t="n">
        <f aca="false">VLOOKUP(A149,'Team Data'!$A$1:$P$140,5,FALSE())</f>
        <v>4</v>
      </c>
      <c r="S149" s="0" t="n">
        <f aca="false">VLOOKUP(B149,'Team Data'!$A$1:$P$140,4,FALSE())</f>
        <v>3</v>
      </c>
      <c r="T149" s="0" t="n">
        <f aca="false">VLOOKUP(B149,'Team Data'!$A$1:$P$140,5,FALSE())</f>
        <v>2</v>
      </c>
      <c r="U149" s="0" t="n">
        <f aca="false">IF(K149=1,(MIN(35,(C149-D149)))*(O149/(O149+P149))*(S149/(S149+T149)),(MAX(-35,(C149-D149)))*(IF(P149=0,0.1,(P149/(O149+P149))))*(T149/(S149+T149)))</f>
        <v>-3.6</v>
      </c>
      <c r="V149" s="0" t="n">
        <f aca="false">IF(L149=1,(MIN(35,(D149-C149)))*(M149/(M149+N149))*(Q149/(Q149+R149)),(MAX(-35,(D149-C149)))*(IF(N149=0,0.1,(N149/(M149+N149))))*(R149/(R149+Q149)))</f>
        <v>5.14285714285714</v>
      </c>
    </row>
    <row r="150" customFormat="false" ht="15" hidden="false" customHeight="false" outlineLevel="0" collapsed="false">
      <c r="A150" s="0" t="s">
        <v>198</v>
      </c>
      <c r="B150" s="0" t="s">
        <v>30</v>
      </c>
      <c r="C150" s="0" t="n">
        <v>24</v>
      </c>
      <c r="D150" s="0" t="n">
        <v>58</v>
      </c>
      <c r="E150" s="0" t="n">
        <v>206</v>
      </c>
      <c r="F150" s="0" t="n">
        <v>296</v>
      </c>
      <c r="G150" s="0" t="n">
        <v>236</v>
      </c>
      <c r="H150" s="0" t="n">
        <v>382</v>
      </c>
      <c r="I150" s="0" t="n">
        <v>4</v>
      </c>
      <c r="J150" s="0" t="n">
        <v>1</v>
      </c>
      <c r="K150" s="0" t="n">
        <v>0</v>
      </c>
      <c r="L150" s="0" t="n">
        <v>1</v>
      </c>
      <c r="M150" s="0" t="n">
        <f aca="false">VLOOKUP(A150,'Team Data'!$A$1:$P$140,2,FALSE())</f>
        <v>5</v>
      </c>
      <c r="N150" s="0" t="n">
        <f aca="false">VLOOKUP(A150,'Team Data'!$A$1:$P$140,3,FALSE())</f>
        <v>80</v>
      </c>
      <c r="O150" s="0" t="n">
        <f aca="false">VLOOKUP(B150,'Team Data'!$A$1:$P$140,2,FALSE())</f>
        <v>2</v>
      </c>
      <c r="P150" s="0" t="n">
        <f aca="false">VLOOKUP(B150,'Team Data'!$A$1:$P$140,3,FALSE())</f>
        <v>0</v>
      </c>
      <c r="Q150" s="0" t="n">
        <f aca="false">VLOOKUP(A150,'Team Data'!$A$1:$P$140,4,FALSE())</f>
        <v>113</v>
      </c>
      <c r="R150" s="0" t="n">
        <f aca="false">VLOOKUP(A150,'Team Data'!$A$1:$P$140,5,FALSE())</f>
        <v>61</v>
      </c>
      <c r="S150" s="0" t="n">
        <f aca="false">VLOOKUP(B150,'Team Data'!$A$1:$P$140,4,FALSE())</f>
        <v>6</v>
      </c>
      <c r="T150" s="0" t="n">
        <f aca="false">VLOOKUP(B150,'Team Data'!$A$1:$P$140,5,FALSE())</f>
        <v>81</v>
      </c>
      <c r="U150" s="0" t="n">
        <f aca="false">IF(K150=1,(MIN(35,(C150-D150)))*(O150/(O150+P150))*(S150/(S150+T150)),(MAX(-35,(C150-D150)))*(IF(P150=0,0.1,(P150/(O150+P150))))*(T150/(S150+T150)))</f>
        <v>-3.16551724137931</v>
      </c>
      <c r="V150" s="0" t="n">
        <f aca="false">IF(L150=1,(MIN(35,(D150-C150)))*(M150/(M150+N150))*(Q150/(Q150+R150)),(MAX(-35,(D150-C150)))*(IF(N150=0,0.1,(N150/(M150+N150))))*(R150/(R150+Q150)))</f>
        <v>1.29885057471264</v>
      </c>
    </row>
    <row r="151" customFormat="false" ht="15" hidden="false" customHeight="false" outlineLevel="0" collapsed="false">
      <c r="A151" s="0" t="s">
        <v>101</v>
      </c>
      <c r="B151" s="0" t="s">
        <v>39</v>
      </c>
      <c r="C151" s="0" t="n">
        <v>3</v>
      </c>
      <c r="D151" s="0" t="n">
        <v>49</v>
      </c>
      <c r="E151" s="0" t="n">
        <v>112</v>
      </c>
      <c r="F151" s="0" t="n">
        <v>193</v>
      </c>
      <c r="G151" s="0" t="n">
        <v>150</v>
      </c>
      <c r="H151" s="0" t="n">
        <v>349</v>
      </c>
      <c r="I151" s="0" t="n">
        <v>1</v>
      </c>
      <c r="J151" s="0" t="n">
        <v>0</v>
      </c>
      <c r="K151" s="0" t="n">
        <v>0</v>
      </c>
      <c r="L151" s="0" t="n">
        <v>1</v>
      </c>
      <c r="M151" s="0" t="n">
        <f aca="false">VLOOKUP(A151,'Team Data'!$A$1:$P$140,2,FALSE())</f>
        <v>1</v>
      </c>
      <c r="N151" s="0" t="n">
        <f aca="false">VLOOKUP(A151,'Team Data'!$A$1:$P$140,3,FALSE())</f>
        <v>2</v>
      </c>
      <c r="O151" s="0" t="n">
        <f aca="false">VLOOKUP(B151,'Team Data'!$A$1:$P$140,2,FALSE())</f>
        <v>1</v>
      </c>
      <c r="P151" s="0" t="n">
        <f aca="false">VLOOKUP(B151,'Team Data'!$A$1:$P$140,3,FALSE())</f>
        <v>1</v>
      </c>
      <c r="Q151" s="0" t="n">
        <f aca="false">VLOOKUP(A151,'Team Data'!$A$1:$P$140,4,FALSE())</f>
        <v>7</v>
      </c>
      <c r="R151" s="0" t="n">
        <f aca="false">VLOOKUP(A151,'Team Data'!$A$1:$P$140,5,FALSE())</f>
        <v>83</v>
      </c>
      <c r="S151" s="0" t="n">
        <f aca="false">VLOOKUP(B151,'Team Data'!$A$1:$P$140,4,FALSE())</f>
        <v>4</v>
      </c>
      <c r="T151" s="0" t="n">
        <f aca="false">VLOOKUP(B151,'Team Data'!$A$1:$P$140,5,FALSE())</f>
        <v>2</v>
      </c>
      <c r="U151" s="0" t="n">
        <f aca="false">IF(K151=1,(MIN(35,(C151-D151)))*(O151/(O151+P151))*(S151/(S151+T151)),(MAX(-35,(C151-D151)))*(IF(P151=0,0.1,(P151/(O151+P151))))*(T151/(S151+T151)))</f>
        <v>-5.83333333333333</v>
      </c>
      <c r="V151" s="0" t="n">
        <f aca="false">IF(L151=1,(MIN(35,(D151-C151)))*(M151/(M151+N151))*(Q151/(Q151+R151)),(MAX(-35,(D151-C151)))*(IF(N151=0,0.1,(N151/(M151+N151))))*(R151/(R151+Q151)))</f>
        <v>0.907407407407407</v>
      </c>
    </row>
    <row r="152" customFormat="false" ht="15" hidden="false" customHeight="false" outlineLevel="0" collapsed="false">
      <c r="A152" s="0" t="s">
        <v>130</v>
      </c>
      <c r="B152" s="0" t="s">
        <v>115</v>
      </c>
      <c r="C152" s="0" t="n">
        <v>31</v>
      </c>
      <c r="D152" s="0" t="n">
        <v>26</v>
      </c>
      <c r="E152" s="0" t="n">
        <v>140</v>
      </c>
      <c r="F152" s="0" t="n">
        <v>289</v>
      </c>
      <c r="G152" s="0" t="n">
        <v>258</v>
      </c>
      <c r="H152" s="0" t="n">
        <v>192</v>
      </c>
      <c r="I152" s="0" t="n">
        <v>0</v>
      </c>
      <c r="J152" s="0" t="n">
        <v>3</v>
      </c>
      <c r="K152" s="0" t="n">
        <v>1</v>
      </c>
      <c r="L152" s="0" t="n">
        <v>0</v>
      </c>
      <c r="M152" s="0" t="n">
        <f aca="false">VLOOKUP(A152,'Team Data'!$A$1:$P$140,2,FALSE())</f>
        <v>2</v>
      </c>
      <c r="N152" s="0" t="n">
        <f aca="false">VLOOKUP(A152,'Team Data'!$A$1:$P$140,3,FALSE())</f>
        <v>0</v>
      </c>
      <c r="O152" s="0" t="n">
        <f aca="false">VLOOKUP(B152,'Team Data'!$A$1:$P$140,2,FALSE())</f>
        <v>0</v>
      </c>
      <c r="P152" s="0" t="n">
        <f aca="false">VLOOKUP(B152,'Team Data'!$A$1:$P$140,3,FALSE())</f>
        <v>2</v>
      </c>
      <c r="Q152" s="0" t="n">
        <f aca="false">VLOOKUP(A152,'Team Data'!$A$1:$P$140,4,FALSE())</f>
        <v>5</v>
      </c>
      <c r="R152" s="0" t="n">
        <f aca="false">VLOOKUP(A152,'Team Data'!$A$1:$P$140,5,FALSE())</f>
        <v>82</v>
      </c>
      <c r="S152" s="0" t="n">
        <f aca="false">VLOOKUP(B152,'Team Data'!$A$1:$P$140,4,FALSE())</f>
        <v>4</v>
      </c>
      <c r="T152" s="0" t="n">
        <f aca="false">VLOOKUP(B152,'Team Data'!$A$1:$P$140,5,FALSE())</f>
        <v>0</v>
      </c>
      <c r="U152" s="0" t="n">
        <f aca="false">IF(K152=1,(MIN(35,(C152-D152)))*(O152/(O152+P152))*(S152/(S152+T152)),(MAX(-35,(C152-D152)))*(IF(P152=0,0.1,(P152/(O152+P152))))*(T152/(S152+T152)))</f>
        <v>0</v>
      </c>
      <c r="V152" s="0" t="n">
        <f aca="false">IF(L152=1,(MIN(35,(D152-C152)))*(M152/(M152+N152))*(Q152/(Q152+R152)),(MAX(-35,(D152-C152)))*(IF(N152=0,0.1,(N152/(M152+N152))))*(R152/(R152+Q152)))</f>
        <v>-0.471264367816092</v>
      </c>
    </row>
    <row r="153" customFormat="false" ht="15" hidden="false" customHeight="false" outlineLevel="0" collapsed="false">
      <c r="A153" s="0" t="s">
        <v>128</v>
      </c>
      <c r="B153" s="0" t="s">
        <v>14</v>
      </c>
      <c r="C153" s="0" t="n">
        <v>28</v>
      </c>
      <c r="D153" s="0" t="n">
        <v>24</v>
      </c>
      <c r="E153" s="0" t="n">
        <v>130</v>
      </c>
      <c r="F153" s="0" t="n">
        <v>219</v>
      </c>
      <c r="G153" s="0" t="n">
        <v>239</v>
      </c>
      <c r="H153" s="0" t="n">
        <v>128</v>
      </c>
      <c r="I153" s="0" t="n">
        <v>0</v>
      </c>
      <c r="J153" s="0" t="n">
        <v>1</v>
      </c>
      <c r="K153" s="0" t="n">
        <v>1</v>
      </c>
      <c r="L153" s="0" t="n">
        <v>0</v>
      </c>
      <c r="M153" s="0" t="n">
        <f aca="false">VLOOKUP(A153,'Team Data'!$A$1:$P$140,2,FALSE())</f>
        <v>2</v>
      </c>
      <c r="N153" s="0" t="n">
        <f aca="false">VLOOKUP(A153,'Team Data'!$A$1:$P$140,3,FALSE())</f>
        <v>0</v>
      </c>
      <c r="O153" s="0" t="n">
        <f aca="false">VLOOKUP(B153,'Team Data'!$A$1:$P$140,2,FALSE())</f>
        <v>1</v>
      </c>
      <c r="P153" s="0" t="n">
        <f aca="false">VLOOKUP(B153,'Team Data'!$A$1:$P$140,3,FALSE())</f>
        <v>1</v>
      </c>
      <c r="Q153" s="0" t="n">
        <f aca="false">VLOOKUP(A153,'Team Data'!$A$1:$P$140,4,FALSE())</f>
        <v>2</v>
      </c>
      <c r="R153" s="0" t="n">
        <f aca="false">VLOOKUP(A153,'Team Data'!$A$1:$P$140,5,FALSE())</f>
        <v>2</v>
      </c>
      <c r="S153" s="0" t="n">
        <f aca="false">VLOOKUP(B153,'Team Data'!$A$1:$P$140,4,FALSE())</f>
        <v>7</v>
      </c>
      <c r="T153" s="0" t="n">
        <f aca="false">VLOOKUP(B153,'Team Data'!$A$1:$P$140,5,FALSE())</f>
        <v>80</v>
      </c>
      <c r="U153" s="0" t="n">
        <f aca="false">IF(K153=1,(MIN(35,(C153-D153)))*(O153/(O153+P153))*(S153/(S153+T153)),(MAX(-35,(C153-D153)))*(IF(P153=0,0.1,(P153/(O153+P153))))*(T153/(S153+T153)))</f>
        <v>0.160919540229885</v>
      </c>
      <c r="V153" s="0" t="n">
        <f aca="false">IF(L153=1,(MIN(35,(D153-C153)))*(M153/(M153+N153))*(Q153/(Q153+R153)),(MAX(-35,(D153-C153)))*(IF(N153=0,0.1,(N153/(M153+N153))))*(R153/(R153+Q153)))</f>
        <v>-0.2</v>
      </c>
    </row>
    <row r="154" customFormat="false" ht="15" hidden="false" customHeight="false" outlineLevel="0" collapsed="false">
      <c r="A154" s="0" t="s">
        <v>76</v>
      </c>
      <c r="B154" s="0" t="s">
        <v>37</v>
      </c>
      <c r="C154" s="0" t="n">
        <v>30</v>
      </c>
      <c r="D154" s="0" t="n">
        <v>38</v>
      </c>
      <c r="E154" s="0" t="n">
        <v>246</v>
      </c>
      <c r="F154" s="0" t="n">
        <v>42</v>
      </c>
      <c r="G154" s="0" t="n">
        <v>147</v>
      </c>
      <c r="H154" s="0" t="n">
        <v>386</v>
      </c>
      <c r="I154" s="0" t="n">
        <v>2</v>
      </c>
      <c r="J154" s="0" t="n">
        <v>0</v>
      </c>
      <c r="K154" s="0" t="n">
        <v>0</v>
      </c>
      <c r="L154" s="0" t="n">
        <v>1</v>
      </c>
      <c r="M154" s="0" t="n">
        <f aca="false">VLOOKUP(A154,'Team Data'!$A$1:$P$140,2,FALSE())</f>
        <v>1</v>
      </c>
      <c r="N154" s="0" t="n">
        <f aca="false">VLOOKUP(A154,'Team Data'!$A$1:$P$140,3,FALSE())</f>
        <v>1</v>
      </c>
      <c r="O154" s="0" t="n">
        <f aca="false">VLOOKUP(B154,'Team Data'!$A$1:$P$140,2,FALSE())</f>
        <v>1</v>
      </c>
      <c r="P154" s="0" t="n">
        <f aca="false">VLOOKUP(B154,'Team Data'!$A$1:$P$140,3,FALSE())</f>
        <v>1</v>
      </c>
      <c r="Q154" s="0" t="n">
        <f aca="false">VLOOKUP(A154,'Team Data'!$A$1:$P$140,4,FALSE())</f>
        <v>6</v>
      </c>
      <c r="R154" s="0" t="n">
        <f aca="false">VLOOKUP(A154,'Team Data'!$A$1:$P$140,5,FALSE())</f>
        <v>81</v>
      </c>
      <c r="S154" s="0" t="n">
        <f aca="false">VLOOKUP(B154,'Team Data'!$A$1:$P$140,4,FALSE())</f>
        <v>3</v>
      </c>
      <c r="T154" s="0" t="n">
        <f aca="false">VLOOKUP(B154,'Team Data'!$A$1:$P$140,5,FALSE())</f>
        <v>1</v>
      </c>
      <c r="U154" s="0" t="n">
        <f aca="false">IF(K154=1,(MIN(35,(C154-D154)))*(O154/(O154+P154))*(S154/(S154+T154)),(MAX(-35,(C154-D154)))*(IF(P154=0,0.1,(P154/(O154+P154))))*(T154/(S154+T154)))</f>
        <v>-1</v>
      </c>
      <c r="V154" s="0" t="n">
        <f aca="false">IF(L154=1,(MIN(35,(D154-C154)))*(M154/(M154+N154))*(Q154/(Q154+R154)),(MAX(-35,(D154-C154)))*(IF(N154=0,0.1,(N154/(M154+N154))))*(R154/(R154+Q154)))</f>
        <v>0.275862068965517</v>
      </c>
    </row>
    <row r="155" customFormat="false" ht="15" hidden="false" customHeight="false" outlineLevel="0" collapsed="false">
      <c r="A155" s="0" t="s">
        <v>126</v>
      </c>
      <c r="B155" s="0" t="s">
        <v>83</v>
      </c>
      <c r="C155" s="0" t="n">
        <v>6</v>
      </c>
      <c r="D155" s="0" t="n">
        <v>44</v>
      </c>
      <c r="E155" s="0" t="n">
        <v>98</v>
      </c>
      <c r="F155" s="0" t="n">
        <v>183</v>
      </c>
      <c r="G155" s="0" t="n">
        <v>203</v>
      </c>
      <c r="H155" s="0" t="n">
        <v>261</v>
      </c>
      <c r="I155" s="0" t="n">
        <v>4</v>
      </c>
      <c r="J155" s="0" t="n">
        <v>0</v>
      </c>
      <c r="K155" s="0" t="n">
        <v>0</v>
      </c>
      <c r="L155" s="0" t="n">
        <v>1</v>
      </c>
      <c r="M155" s="0" t="n">
        <f aca="false">VLOOKUP(A155,'Team Data'!$A$1:$P$140,2,FALSE())</f>
        <v>1</v>
      </c>
      <c r="N155" s="0" t="n">
        <f aca="false">VLOOKUP(A155,'Team Data'!$A$1:$P$140,3,FALSE())</f>
        <v>2</v>
      </c>
      <c r="O155" s="0" t="n">
        <f aca="false">VLOOKUP(B155,'Team Data'!$A$1:$P$140,2,FALSE())</f>
        <v>1</v>
      </c>
      <c r="P155" s="0" t="n">
        <f aca="false">VLOOKUP(B155,'Team Data'!$A$1:$P$140,3,FALSE())</f>
        <v>1</v>
      </c>
      <c r="Q155" s="0" t="n">
        <f aca="false">VLOOKUP(A155,'Team Data'!$A$1:$P$140,4,FALSE())</f>
        <v>4</v>
      </c>
      <c r="R155" s="0" t="n">
        <f aca="false">VLOOKUP(A155,'Team Data'!$A$1:$P$140,5,FALSE())</f>
        <v>4</v>
      </c>
      <c r="S155" s="0" t="n">
        <f aca="false">VLOOKUP(B155,'Team Data'!$A$1:$P$140,4,FALSE())</f>
        <v>3</v>
      </c>
      <c r="T155" s="0" t="n">
        <f aca="false">VLOOKUP(B155,'Team Data'!$A$1:$P$140,5,FALSE())</f>
        <v>2</v>
      </c>
      <c r="U155" s="0" t="n">
        <f aca="false">IF(K155=1,(MIN(35,(C155-D155)))*(O155/(O155+P155))*(S155/(S155+T155)),(MAX(-35,(C155-D155)))*(IF(P155=0,0.1,(P155/(O155+P155))))*(T155/(S155+T155)))</f>
        <v>-7</v>
      </c>
      <c r="V155" s="0" t="n">
        <f aca="false">IF(L155=1,(MIN(35,(D155-C155)))*(M155/(M155+N155))*(Q155/(Q155+R155)),(MAX(-35,(D155-C155)))*(IF(N155=0,0.1,(N155/(M155+N155))))*(R155/(R155+Q155)))</f>
        <v>5.83333333333333</v>
      </c>
    </row>
    <row r="156" customFormat="false" ht="15" hidden="false" customHeight="false" outlineLevel="0" collapsed="false">
      <c r="A156" s="0" t="s">
        <v>120</v>
      </c>
      <c r="B156" s="0" t="s">
        <v>102</v>
      </c>
      <c r="C156" s="0" t="n">
        <v>23</v>
      </c>
      <c r="D156" s="0" t="n">
        <v>17</v>
      </c>
      <c r="E156" s="0" t="n">
        <v>241</v>
      </c>
      <c r="F156" s="0" t="n">
        <v>55</v>
      </c>
      <c r="G156" s="0" t="n">
        <v>126</v>
      </c>
      <c r="H156" s="0" t="n">
        <v>316</v>
      </c>
      <c r="I156" s="0" t="n">
        <v>0</v>
      </c>
      <c r="J156" s="0" t="n">
        <v>1</v>
      </c>
      <c r="K156" s="0" t="n">
        <v>1</v>
      </c>
      <c r="L156" s="0" t="n">
        <v>0</v>
      </c>
      <c r="M156" s="0" t="n">
        <f aca="false">VLOOKUP(A156,'Team Data'!$A$1:$P$140,2,FALSE())</f>
        <v>2</v>
      </c>
      <c r="N156" s="0" t="n">
        <f aca="false">VLOOKUP(A156,'Team Data'!$A$1:$P$140,3,FALSE())</f>
        <v>0</v>
      </c>
      <c r="O156" s="0" t="n">
        <f aca="false">VLOOKUP(B156,'Team Data'!$A$1:$P$140,2,FALSE())</f>
        <v>0</v>
      </c>
      <c r="P156" s="0" t="n">
        <f aca="false">VLOOKUP(B156,'Team Data'!$A$1:$P$140,3,FALSE())</f>
        <v>2</v>
      </c>
      <c r="Q156" s="0" t="n">
        <f aca="false">VLOOKUP(A156,'Team Data'!$A$1:$P$140,4,FALSE())</f>
        <v>1</v>
      </c>
      <c r="R156" s="0" t="n">
        <f aca="false">VLOOKUP(A156,'Team Data'!$A$1:$P$140,5,FALSE())</f>
        <v>3</v>
      </c>
      <c r="S156" s="0" t="n">
        <f aca="false">VLOOKUP(B156,'Team Data'!$A$1:$P$140,4,FALSE())</f>
        <v>4</v>
      </c>
      <c r="T156" s="0" t="n">
        <f aca="false">VLOOKUP(B156,'Team Data'!$A$1:$P$140,5,FALSE())</f>
        <v>0</v>
      </c>
      <c r="U156" s="0" t="n">
        <f aca="false">IF(K156=1,(MIN(35,(C156-D156)))*(O156/(O156+P156))*(S156/(S156+T156)),(MAX(-35,(C156-D156)))*(IF(P156=0,0.1,(P156/(O156+P156))))*(T156/(S156+T156)))</f>
        <v>0</v>
      </c>
      <c r="V156" s="0" t="n">
        <f aca="false">IF(L156=1,(MIN(35,(D156-C156)))*(M156/(M156+N156))*(Q156/(Q156+R156)),(MAX(-35,(D156-C156)))*(IF(N156=0,0.1,(N156/(M156+N156))))*(R156/(R156+Q156)))</f>
        <v>-0.45</v>
      </c>
    </row>
    <row r="157" customFormat="false" ht="15" hidden="false" customHeight="false" outlineLevel="0" collapsed="false">
      <c r="A157" s="0" t="s">
        <v>61</v>
      </c>
      <c r="B157" s="0" t="s">
        <v>121</v>
      </c>
      <c r="C157" s="0" t="n">
        <v>20</v>
      </c>
      <c r="D157" s="0" t="n">
        <v>26</v>
      </c>
      <c r="E157" s="0" t="n">
        <v>201</v>
      </c>
      <c r="F157" s="0" t="n">
        <v>266</v>
      </c>
      <c r="G157" s="0" t="n">
        <v>56</v>
      </c>
      <c r="H157" s="0" t="n">
        <v>115</v>
      </c>
      <c r="I157" s="0" t="n">
        <v>1</v>
      </c>
      <c r="J157" s="0" t="n">
        <v>2</v>
      </c>
      <c r="K157" s="0" t="n">
        <v>0</v>
      </c>
      <c r="L157" s="0" t="n">
        <v>1</v>
      </c>
      <c r="M157" s="0" t="n">
        <f aca="false">VLOOKUP(A157,'Team Data'!$A$1:$P$140,2,FALSE())</f>
        <v>0</v>
      </c>
      <c r="N157" s="0" t="n">
        <f aca="false">VLOOKUP(A157,'Team Data'!$A$1:$P$140,3,FALSE())</f>
        <v>2</v>
      </c>
      <c r="O157" s="0" t="n">
        <f aca="false">VLOOKUP(B157,'Team Data'!$A$1:$P$140,2,FALSE())</f>
        <v>1</v>
      </c>
      <c r="P157" s="0" t="n">
        <f aca="false">VLOOKUP(B157,'Team Data'!$A$1:$P$140,3,FALSE())</f>
        <v>1</v>
      </c>
      <c r="Q157" s="0" t="n">
        <f aca="false">VLOOKUP(A157,'Team Data'!$A$1:$P$140,4,FALSE())</f>
        <v>3</v>
      </c>
      <c r="R157" s="0" t="n">
        <f aca="false">VLOOKUP(A157,'Team Data'!$A$1:$P$140,5,FALSE())</f>
        <v>1</v>
      </c>
      <c r="S157" s="0" t="n">
        <f aca="false">VLOOKUP(B157,'Team Data'!$A$1:$P$140,4,FALSE())</f>
        <v>1</v>
      </c>
      <c r="T157" s="0" t="n">
        <f aca="false">VLOOKUP(B157,'Team Data'!$A$1:$P$140,5,FALSE())</f>
        <v>3</v>
      </c>
      <c r="U157" s="0" t="n">
        <f aca="false">IF(K157=1,(MIN(35,(C157-D157)))*(O157/(O157+P157))*(S157/(S157+T157)),(MAX(-35,(C157-D157)))*(IF(P157=0,0.1,(P157/(O157+P157))))*(T157/(S157+T157)))</f>
        <v>-2.25</v>
      </c>
      <c r="V157" s="0" t="n">
        <f aca="false">IF(L157=1,(MIN(35,(D157-C157)))*(M157/(M157+N157))*(Q157/(Q157+R157)),(MAX(-35,(D157-C157)))*(IF(N157=0,0.1,(N157/(M157+N157))))*(R157/(R157+Q157)))</f>
        <v>0</v>
      </c>
    </row>
    <row r="158" customFormat="false" ht="15" hidden="false" customHeight="false" outlineLevel="0" collapsed="false">
      <c r="A158" s="0" t="s">
        <v>198</v>
      </c>
      <c r="B158" s="0" t="s">
        <v>78</v>
      </c>
      <c r="C158" s="0" t="n">
        <v>20</v>
      </c>
      <c r="D158" s="0" t="n">
        <v>7</v>
      </c>
      <c r="E158" s="0" t="n">
        <v>151</v>
      </c>
      <c r="F158" s="0" t="n">
        <v>182</v>
      </c>
      <c r="G158" s="0" t="n">
        <v>179</v>
      </c>
      <c r="H158" s="0" t="n">
        <v>167</v>
      </c>
      <c r="I158" s="0" t="n">
        <v>0</v>
      </c>
      <c r="J158" s="0" t="n">
        <v>4</v>
      </c>
      <c r="K158" s="0" t="n">
        <v>1</v>
      </c>
      <c r="L158" s="0" t="n">
        <v>0</v>
      </c>
      <c r="M158" s="0" t="n">
        <f aca="false">VLOOKUP(A158,'Team Data'!$A$1:$P$140,2,FALSE())</f>
        <v>5</v>
      </c>
      <c r="N158" s="0" t="n">
        <f aca="false">VLOOKUP(A158,'Team Data'!$A$1:$P$140,3,FALSE())</f>
        <v>80</v>
      </c>
      <c r="O158" s="0" t="n">
        <f aca="false">VLOOKUP(B158,'Team Data'!$A$1:$P$140,2,FALSE())</f>
        <v>1</v>
      </c>
      <c r="P158" s="0" t="n">
        <f aca="false">VLOOKUP(B158,'Team Data'!$A$1:$P$140,3,FALSE())</f>
        <v>1</v>
      </c>
      <c r="Q158" s="0" t="n">
        <f aca="false">VLOOKUP(A158,'Team Data'!$A$1:$P$140,4,FALSE())</f>
        <v>113</v>
      </c>
      <c r="R158" s="0" t="n">
        <f aca="false">VLOOKUP(A158,'Team Data'!$A$1:$P$140,5,FALSE())</f>
        <v>61</v>
      </c>
      <c r="S158" s="0" t="n">
        <f aca="false">VLOOKUP(B158,'Team Data'!$A$1:$P$140,4,FALSE())</f>
        <v>5</v>
      </c>
      <c r="T158" s="0" t="n">
        <f aca="false">VLOOKUP(B158,'Team Data'!$A$1:$P$140,5,FALSE())</f>
        <v>82</v>
      </c>
      <c r="U158" s="0" t="n">
        <f aca="false">IF(K158=1,(MIN(35,(C158-D158)))*(O158/(O158+P158))*(S158/(S158+T158)),(MAX(-35,(C158-D158)))*(IF(P158=0,0.1,(P158/(O158+P158))))*(T158/(S158+T158)))</f>
        <v>0.373563218390805</v>
      </c>
      <c r="V158" s="0" t="n">
        <f aca="false">IF(L158=1,(MIN(35,(D158-C158)))*(M158/(M158+N158))*(Q158/(Q158+R158)),(MAX(-35,(D158-C158)))*(IF(N158=0,0.1,(N158/(M158+N158))))*(R158/(R158+Q158)))</f>
        <v>-4.289384719405</v>
      </c>
    </row>
    <row r="159" customFormat="false" ht="15" hidden="false" customHeight="false" outlineLevel="0" collapsed="false">
      <c r="A159" s="0" t="s">
        <v>82</v>
      </c>
      <c r="B159" s="0" t="s">
        <v>6</v>
      </c>
      <c r="C159" s="0" t="n">
        <v>38</v>
      </c>
      <c r="D159" s="0" t="n">
        <v>32</v>
      </c>
      <c r="E159" s="0" t="n">
        <v>146</v>
      </c>
      <c r="F159" s="0" t="n">
        <v>207</v>
      </c>
      <c r="G159" s="0" t="n">
        <v>228</v>
      </c>
      <c r="H159" s="0" t="n">
        <v>179</v>
      </c>
      <c r="I159" s="0" t="n">
        <v>1</v>
      </c>
      <c r="J159" s="0" t="n">
        <v>1</v>
      </c>
      <c r="K159" s="0" t="n">
        <v>1</v>
      </c>
      <c r="L159" s="0" t="n">
        <v>0</v>
      </c>
      <c r="M159" s="0" t="n">
        <f aca="false">VLOOKUP(A159,'Team Data'!$A$1:$P$140,2,FALSE())</f>
        <v>3</v>
      </c>
      <c r="N159" s="0" t="n">
        <f aca="false">VLOOKUP(A159,'Team Data'!$A$1:$P$140,3,FALSE())</f>
        <v>0</v>
      </c>
      <c r="O159" s="0" t="n">
        <f aca="false">VLOOKUP(B159,'Team Data'!$A$1:$P$140,2,FALSE())</f>
        <v>1</v>
      </c>
      <c r="P159" s="0" t="n">
        <f aca="false">VLOOKUP(B159,'Team Data'!$A$1:$P$140,3,FALSE())</f>
        <v>1</v>
      </c>
      <c r="Q159" s="0" t="n">
        <f aca="false">VLOOKUP(A159,'Team Data'!$A$1:$P$140,4,FALSE())</f>
        <v>7</v>
      </c>
      <c r="R159" s="0" t="n">
        <f aca="false">VLOOKUP(A159,'Team Data'!$A$1:$P$140,5,FALSE())</f>
        <v>83</v>
      </c>
      <c r="S159" s="0" t="n">
        <f aca="false">VLOOKUP(B159,'Team Data'!$A$1:$P$140,4,FALSE())</f>
        <v>8</v>
      </c>
      <c r="T159" s="0" t="n">
        <f aca="false">VLOOKUP(B159,'Team Data'!$A$1:$P$140,5,FALSE())</f>
        <v>80</v>
      </c>
      <c r="U159" s="0" t="n">
        <f aca="false">IF(K159=1,(MIN(35,(C159-D159)))*(O159/(O159+P159))*(S159/(S159+T159)),(MAX(-35,(C159-D159)))*(IF(P159=0,0.1,(P159/(O159+P159))))*(T159/(S159+T159)))</f>
        <v>0.272727272727273</v>
      </c>
      <c r="V159" s="0" t="n">
        <f aca="false">IF(L159=1,(MIN(35,(D159-C159)))*(M159/(M159+N159))*(Q159/(Q159+R159)),(MAX(-35,(D159-C159)))*(IF(N159=0,0.1,(N159/(M159+N159))))*(R159/(R159+Q159)))</f>
        <v>-0.553333333333334</v>
      </c>
    </row>
    <row r="160" customFormat="false" ht="15" hidden="false" customHeight="false" outlineLevel="0" collapsed="false">
      <c r="A160" s="0" t="s">
        <v>198</v>
      </c>
      <c r="B160" s="0" t="s">
        <v>84</v>
      </c>
      <c r="C160" s="0" t="n">
        <v>28</v>
      </c>
      <c r="D160" s="0" t="n">
        <v>24</v>
      </c>
      <c r="E160" s="0" t="n">
        <v>101</v>
      </c>
      <c r="F160" s="0" t="n">
        <v>112</v>
      </c>
      <c r="G160" s="0" t="n">
        <v>153</v>
      </c>
      <c r="H160" s="0" t="n">
        <v>196</v>
      </c>
      <c r="I160" s="0" t="n">
        <v>2</v>
      </c>
      <c r="J160" s="0" t="n">
        <v>2</v>
      </c>
      <c r="K160" s="0" t="n">
        <v>1</v>
      </c>
      <c r="L160" s="0" t="n">
        <v>0</v>
      </c>
      <c r="M160" s="0" t="n">
        <f aca="false">VLOOKUP(A160,'Team Data'!$A$1:$P$140,2,FALSE())</f>
        <v>5</v>
      </c>
      <c r="N160" s="0" t="n">
        <f aca="false">VLOOKUP(A160,'Team Data'!$A$1:$P$140,3,FALSE())</f>
        <v>80</v>
      </c>
      <c r="O160" s="0" t="n">
        <f aca="false">VLOOKUP(B160,'Team Data'!$A$1:$P$140,2,FALSE())</f>
        <v>0</v>
      </c>
      <c r="P160" s="0" t="n">
        <f aca="false">VLOOKUP(B160,'Team Data'!$A$1:$P$140,3,FALSE())</f>
        <v>2</v>
      </c>
      <c r="Q160" s="0" t="n">
        <f aca="false">VLOOKUP(A160,'Team Data'!$A$1:$P$140,4,FALSE())</f>
        <v>113</v>
      </c>
      <c r="R160" s="0" t="n">
        <f aca="false">VLOOKUP(A160,'Team Data'!$A$1:$P$140,5,FALSE())</f>
        <v>61</v>
      </c>
      <c r="S160" s="0" t="n">
        <f aca="false">VLOOKUP(B160,'Team Data'!$A$1:$P$140,4,FALSE())</f>
        <v>7</v>
      </c>
      <c r="T160" s="0" t="n">
        <f aca="false">VLOOKUP(B160,'Team Data'!$A$1:$P$140,5,FALSE())</f>
        <v>80</v>
      </c>
      <c r="U160" s="0" t="n">
        <f aca="false">IF(K160=1,(MIN(35,(C160-D160)))*(O160/(O160+P160))*(S160/(S160+T160)),(MAX(-35,(C160-D160)))*(IF(P160=0,0.1,(P160/(O160+P160))))*(T160/(S160+T160)))</f>
        <v>0</v>
      </c>
      <c r="V160" s="0" t="n">
        <f aca="false">IF(L160=1,(MIN(35,(D160-C160)))*(M160/(M160+N160))*(Q160/(Q160+R160)),(MAX(-35,(D160-C160)))*(IF(N160=0,0.1,(N160/(M160+N160))))*(R160/(R160+Q160)))</f>
        <v>-1.31981068289385</v>
      </c>
    </row>
    <row r="161" customFormat="false" ht="15" hidden="false" customHeight="false" outlineLevel="0" collapsed="false">
      <c r="A161" s="0" t="s">
        <v>198</v>
      </c>
      <c r="B161" s="0" t="s">
        <v>104</v>
      </c>
      <c r="C161" s="0" t="n">
        <v>20</v>
      </c>
      <c r="D161" s="0" t="n">
        <v>30</v>
      </c>
      <c r="E161" s="0" t="n">
        <v>91</v>
      </c>
      <c r="F161" s="0" t="n">
        <v>255</v>
      </c>
      <c r="G161" s="0" t="n">
        <v>249</v>
      </c>
      <c r="H161" s="0" t="n">
        <v>238</v>
      </c>
      <c r="I161" s="0" t="n">
        <v>2</v>
      </c>
      <c r="J161" s="0" t="n">
        <v>1</v>
      </c>
      <c r="K161" s="0" t="n">
        <v>0</v>
      </c>
      <c r="L161" s="0" t="n">
        <v>1</v>
      </c>
      <c r="M161" s="0" t="n">
        <f aca="false">VLOOKUP(A161,'Team Data'!$A$1:$P$140,2,FALSE())</f>
        <v>5</v>
      </c>
      <c r="N161" s="0" t="n">
        <f aca="false">VLOOKUP(A161,'Team Data'!$A$1:$P$140,3,FALSE())</f>
        <v>80</v>
      </c>
      <c r="O161" s="0" t="n">
        <f aca="false">VLOOKUP(B161,'Team Data'!$A$1:$P$140,2,FALSE())</f>
        <v>2</v>
      </c>
      <c r="P161" s="0" t="n">
        <f aca="false">VLOOKUP(B161,'Team Data'!$A$1:$P$140,3,FALSE())</f>
        <v>1</v>
      </c>
      <c r="Q161" s="0" t="n">
        <f aca="false">VLOOKUP(A161,'Team Data'!$A$1:$P$140,4,FALSE())</f>
        <v>113</v>
      </c>
      <c r="R161" s="0" t="n">
        <f aca="false">VLOOKUP(A161,'Team Data'!$A$1:$P$140,5,FALSE())</f>
        <v>61</v>
      </c>
      <c r="S161" s="0" t="n">
        <f aca="false">VLOOKUP(B161,'Team Data'!$A$1:$P$140,4,FALSE())</f>
        <v>9</v>
      </c>
      <c r="T161" s="0" t="n">
        <f aca="false">VLOOKUP(B161,'Team Data'!$A$1:$P$140,5,FALSE())</f>
        <v>82</v>
      </c>
      <c r="U161" s="0" t="n">
        <f aca="false">IF(K161=1,(MIN(35,(C161-D161)))*(O161/(O161+P161))*(S161/(S161+T161)),(MAX(-35,(C161-D161)))*(IF(P161=0,0.1,(P161/(O161+P161))))*(T161/(S161+T161)))</f>
        <v>-3.003663003663</v>
      </c>
      <c r="V161" s="0" t="n">
        <f aca="false">IF(L161=1,(MIN(35,(D161-C161)))*(M161/(M161+N161))*(Q161/(Q161+R161)),(MAX(-35,(D161-C161)))*(IF(N161=0,0.1,(N161/(M161+N161))))*(R161/(R161+Q161)))</f>
        <v>0.382014874915483</v>
      </c>
    </row>
    <row r="162" customFormat="false" ht="15" hidden="false" customHeight="false" outlineLevel="0" collapsed="false">
      <c r="A162" s="0" t="s">
        <v>198</v>
      </c>
      <c r="B162" s="0" t="s">
        <v>129</v>
      </c>
      <c r="C162" s="0" t="n">
        <v>10</v>
      </c>
      <c r="D162" s="0" t="n">
        <v>51</v>
      </c>
      <c r="E162" s="0" t="n">
        <v>112</v>
      </c>
      <c r="F162" s="0" t="n">
        <v>252</v>
      </c>
      <c r="G162" s="0" t="n">
        <v>99</v>
      </c>
      <c r="H162" s="0" t="n">
        <v>239</v>
      </c>
      <c r="I162" s="0" t="n">
        <v>2</v>
      </c>
      <c r="J162" s="0" t="n">
        <v>1</v>
      </c>
      <c r="K162" s="0" t="n">
        <v>0</v>
      </c>
      <c r="L162" s="0" t="n">
        <v>1</v>
      </c>
      <c r="M162" s="0" t="n">
        <f aca="false">VLOOKUP(A162,'Team Data'!$A$1:$P$140,2,FALSE())</f>
        <v>5</v>
      </c>
      <c r="N162" s="0" t="n">
        <f aca="false">VLOOKUP(A162,'Team Data'!$A$1:$P$140,3,FALSE())</f>
        <v>80</v>
      </c>
      <c r="O162" s="0" t="n">
        <f aca="false">VLOOKUP(B162,'Team Data'!$A$1:$P$140,2,FALSE())</f>
        <v>1</v>
      </c>
      <c r="P162" s="0" t="n">
        <f aca="false">VLOOKUP(B162,'Team Data'!$A$1:$P$140,3,FALSE())</f>
        <v>1</v>
      </c>
      <c r="Q162" s="0" t="n">
        <f aca="false">VLOOKUP(A162,'Team Data'!$A$1:$P$140,4,FALSE())</f>
        <v>113</v>
      </c>
      <c r="R162" s="0" t="n">
        <f aca="false">VLOOKUP(A162,'Team Data'!$A$1:$P$140,5,FALSE())</f>
        <v>61</v>
      </c>
      <c r="S162" s="0" t="n">
        <f aca="false">VLOOKUP(B162,'Team Data'!$A$1:$P$140,4,FALSE())</f>
        <v>6</v>
      </c>
      <c r="T162" s="0" t="n">
        <f aca="false">VLOOKUP(B162,'Team Data'!$A$1:$P$140,5,FALSE())</f>
        <v>81</v>
      </c>
      <c r="U162" s="0" t="n">
        <f aca="false">IF(K162=1,(MIN(35,(C162-D162)))*(O162/(O162+P162))*(S162/(S162+T162)),(MAX(-35,(C162-D162)))*(IF(P162=0,0.1,(P162/(O162+P162))))*(T162/(S162+T162)))</f>
        <v>-16.2931034482759</v>
      </c>
      <c r="V162" s="0" t="n">
        <f aca="false">IF(L162=1,(MIN(35,(D162-C162)))*(M162/(M162+N162))*(Q162/(Q162+R162)),(MAX(-35,(D162-C162)))*(IF(N162=0,0.1,(N162/(M162+N162))))*(R162/(R162+Q162)))</f>
        <v>1.33705206220419</v>
      </c>
    </row>
    <row r="163" customFormat="false" ht="15" hidden="false" customHeight="false" outlineLevel="0" collapsed="false">
      <c r="A163" s="0" t="s">
        <v>198</v>
      </c>
      <c r="B163" s="0" t="s">
        <v>143</v>
      </c>
      <c r="C163" s="0" t="n">
        <v>13</v>
      </c>
      <c r="D163" s="0" t="n">
        <v>21</v>
      </c>
      <c r="E163" s="0" t="n">
        <v>139</v>
      </c>
      <c r="F163" s="0" t="n">
        <v>155</v>
      </c>
      <c r="G163" s="0" t="n">
        <v>206</v>
      </c>
      <c r="H163" s="0" t="n">
        <v>149</v>
      </c>
      <c r="I163" s="0" t="n">
        <v>2</v>
      </c>
      <c r="J163" s="0" t="n">
        <v>2</v>
      </c>
      <c r="K163" s="0" t="n">
        <v>0</v>
      </c>
      <c r="L163" s="0" t="n">
        <v>1</v>
      </c>
      <c r="M163" s="0" t="n">
        <f aca="false">VLOOKUP(A163,'Team Data'!$A$1:$P$140,2,FALSE())</f>
        <v>5</v>
      </c>
      <c r="N163" s="0" t="n">
        <f aca="false">VLOOKUP(A163,'Team Data'!$A$1:$P$140,3,FALSE())</f>
        <v>80</v>
      </c>
      <c r="O163" s="0" t="n">
        <f aca="false">VLOOKUP(B163,'Team Data'!$A$1:$P$140,2,FALSE())</f>
        <v>1</v>
      </c>
      <c r="P163" s="0" t="n">
        <f aca="false">VLOOKUP(B163,'Team Data'!$A$1:$P$140,3,FALSE())</f>
        <v>1</v>
      </c>
      <c r="Q163" s="0" t="n">
        <f aca="false">VLOOKUP(A163,'Team Data'!$A$1:$P$140,4,FALSE())</f>
        <v>113</v>
      </c>
      <c r="R163" s="0" t="n">
        <f aca="false">VLOOKUP(A163,'Team Data'!$A$1:$P$140,5,FALSE())</f>
        <v>61</v>
      </c>
      <c r="S163" s="0" t="n">
        <f aca="false">VLOOKUP(B163,'Team Data'!$A$1:$P$140,4,FALSE())</f>
        <v>7</v>
      </c>
      <c r="T163" s="0" t="n">
        <f aca="false">VLOOKUP(B163,'Team Data'!$A$1:$P$140,5,FALSE())</f>
        <v>80</v>
      </c>
      <c r="U163" s="0" t="n">
        <f aca="false">IF(K163=1,(MIN(35,(C163-D163)))*(O163/(O163+P163))*(S163/(S163+T163)),(MAX(-35,(C163-D163)))*(IF(P163=0,0.1,(P163/(O163+P163))))*(T163/(S163+T163)))</f>
        <v>-3.67816091954023</v>
      </c>
      <c r="V163" s="0" t="n">
        <f aca="false">IF(L163=1,(MIN(35,(D163-C163)))*(M163/(M163+N163))*(Q163/(Q163+R163)),(MAX(-35,(D163-C163)))*(IF(N163=0,0.1,(N163/(M163+N163))))*(R163/(R163+Q163)))</f>
        <v>0.305611899932387</v>
      </c>
    </row>
    <row r="164" customFormat="false" ht="15" hidden="false" customHeight="false" outlineLevel="0" collapsed="false">
      <c r="A164" s="0" t="s">
        <v>9</v>
      </c>
      <c r="B164" s="0" t="s">
        <v>33</v>
      </c>
      <c r="C164" s="0" t="n">
        <v>27</v>
      </c>
      <c r="D164" s="0" t="n">
        <v>24</v>
      </c>
      <c r="E164" s="0" t="n">
        <v>129</v>
      </c>
      <c r="F164" s="0" t="n">
        <v>187</v>
      </c>
      <c r="G164" s="0" t="n">
        <v>267</v>
      </c>
      <c r="H164" s="0" t="n">
        <v>230</v>
      </c>
      <c r="I164" s="0" t="n">
        <v>0</v>
      </c>
      <c r="J164" s="0" t="n">
        <v>2</v>
      </c>
      <c r="K164" s="0" t="n">
        <v>1</v>
      </c>
      <c r="L164" s="0" t="n">
        <v>0</v>
      </c>
      <c r="M164" s="0" t="n">
        <f aca="false">VLOOKUP(A164,'Team Data'!$A$1:$P$140,2,FALSE())</f>
        <v>2</v>
      </c>
      <c r="N164" s="0" t="n">
        <f aca="false">VLOOKUP(A164,'Team Data'!$A$1:$P$140,3,FALSE())</f>
        <v>0</v>
      </c>
      <c r="O164" s="0" t="n">
        <f aca="false">VLOOKUP(B164,'Team Data'!$A$1:$P$140,2,FALSE())</f>
        <v>0</v>
      </c>
      <c r="P164" s="0" t="n">
        <f aca="false">VLOOKUP(B164,'Team Data'!$A$1:$P$140,3,FALSE())</f>
        <v>2</v>
      </c>
      <c r="Q164" s="0" t="n">
        <f aca="false">VLOOKUP(A164,'Team Data'!$A$1:$P$140,4,FALSE())</f>
        <v>5</v>
      </c>
      <c r="R164" s="0" t="n">
        <f aca="false">VLOOKUP(A164,'Team Data'!$A$1:$P$140,5,FALSE())</f>
        <v>82</v>
      </c>
      <c r="S164" s="0" t="n">
        <f aca="false">VLOOKUP(B164,'Team Data'!$A$1:$P$140,4,FALSE())</f>
        <v>4</v>
      </c>
      <c r="T164" s="0" t="n">
        <f aca="false">VLOOKUP(B164,'Team Data'!$A$1:$P$140,5,FALSE())</f>
        <v>0</v>
      </c>
      <c r="U164" s="0" t="n">
        <f aca="false">IF(K164=1,(MIN(35,(C164-D164)))*(O164/(O164+P164))*(S164/(S164+T164)),(MAX(-35,(C164-D164)))*(IF(P164=0,0.1,(P164/(O164+P164))))*(T164/(S164+T164)))</f>
        <v>0</v>
      </c>
      <c r="V164" s="0" t="n">
        <f aca="false">IF(L164=1,(MIN(35,(D164-C164)))*(M164/(M164+N164))*(Q164/(Q164+R164)),(MAX(-35,(D164-C164)))*(IF(N164=0,0.1,(N164/(M164+N164))))*(R164/(R164+Q164)))</f>
        <v>-0.282758620689655</v>
      </c>
    </row>
    <row r="165" customFormat="false" ht="15" hidden="false" customHeight="false" outlineLevel="0" collapsed="false">
      <c r="A165" s="0" t="s">
        <v>105</v>
      </c>
      <c r="B165" s="0" t="s">
        <v>119</v>
      </c>
      <c r="C165" s="0" t="n">
        <v>24</v>
      </c>
      <c r="D165" s="0" t="n">
        <v>28</v>
      </c>
      <c r="E165" s="0" t="n">
        <v>182</v>
      </c>
      <c r="F165" s="0" t="n">
        <v>212</v>
      </c>
      <c r="G165" s="0" t="n">
        <v>296</v>
      </c>
      <c r="H165" s="0" t="n">
        <v>212</v>
      </c>
      <c r="I165" s="0" t="n">
        <v>0</v>
      </c>
      <c r="J165" s="0" t="n">
        <v>0</v>
      </c>
      <c r="K165" s="0" t="n">
        <v>0</v>
      </c>
      <c r="L165" s="0" t="n">
        <v>1</v>
      </c>
      <c r="M165" s="0" t="n">
        <f aca="false">VLOOKUP(A165,'Team Data'!$A$1:$P$140,2,FALSE())</f>
        <v>1</v>
      </c>
      <c r="N165" s="0" t="n">
        <f aca="false">VLOOKUP(A165,'Team Data'!$A$1:$P$140,3,FALSE())</f>
        <v>1</v>
      </c>
      <c r="O165" s="0" t="n">
        <f aca="false">VLOOKUP(B165,'Team Data'!$A$1:$P$140,2,FALSE())</f>
        <v>1</v>
      </c>
      <c r="P165" s="0" t="n">
        <f aca="false">VLOOKUP(B165,'Team Data'!$A$1:$P$140,3,FALSE())</f>
        <v>1</v>
      </c>
      <c r="Q165" s="0" t="n">
        <f aca="false">VLOOKUP(A165,'Team Data'!$A$1:$P$140,4,FALSE())</f>
        <v>6</v>
      </c>
      <c r="R165" s="0" t="n">
        <f aca="false">VLOOKUP(A165,'Team Data'!$A$1:$P$140,5,FALSE())</f>
        <v>81</v>
      </c>
      <c r="S165" s="0" t="n">
        <f aca="false">VLOOKUP(B165,'Team Data'!$A$1:$P$140,4,FALSE())</f>
        <v>3</v>
      </c>
      <c r="T165" s="0" t="n">
        <f aca="false">VLOOKUP(B165,'Team Data'!$A$1:$P$140,5,FALSE())</f>
        <v>1</v>
      </c>
      <c r="U165" s="0" t="n">
        <f aca="false">IF(K165=1,(MIN(35,(C165-D165)))*(O165/(O165+P165))*(S165/(S165+T165)),(MAX(-35,(C165-D165)))*(IF(P165=0,0.1,(P165/(O165+P165))))*(T165/(S165+T165)))</f>
        <v>-0.5</v>
      </c>
      <c r="V165" s="0" t="n">
        <f aca="false">IF(L165=1,(MIN(35,(D165-C165)))*(M165/(M165+N165))*(Q165/(Q165+R165)),(MAX(-35,(D165-C165)))*(IF(N165=0,0.1,(N165/(M165+N165))))*(R165/(R165+Q165)))</f>
        <v>0.137931034482759</v>
      </c>
    </row>
    <row r="166" customFormat="false" ht="15" hidden="false" customHeight="false" outlineLevel="0" collapsed="false">
      <c r="A166" s="0" t="s">
        <v>80</v>
      </c>
      <c r="B166" s="0" t="s">
        <v>44</v>
      </c>
      <c r="C166" s="0" t="n">
        <v>19</v>
      </c>
      <c r="D166" s="0" t="n">
        <v>29</v>
      </c>
      <c r="E166" s="0" t="n">
        <v>124</v>
      </c>
      <c r="F166" s="0" t="n">
        <v>67</v>
      </c>
      <c r="G166" s="0" t="n">
        <v>256</v>
      </c>
      <c r="H166" s="0" t="n">
        <v>353</v>
      </c>
      <c r="I166" s="0" t="n">
        <v>3</v>
      </c>
      <c r="J166" s="0" t="n">
        <v>1</v>
      </c>
      <c r="K166" s="0" t="n">
        <v>0</v>
      </c>
      <c r="L166" s="0" t="n">
        <v>1</v>
      </c>
      <c r="M166" s="0" t="n">
        <f aca="false">VLOOKUP(A166,'Team Data'!$A$1:$P$140,2,FALSE())</f>
        <v>1</v>
      </c>
      <c r="N166" s="0" t="n">
        <f aca="false">VLOOKUP(A166,'Team Data'!$A$1:$P$140,3,FALSE())</f>
        <v>2</v>
      </c>
      <c r="O166" s="0" t="n">
        <f aca="false">VLOOKUP(B166,'Team Data'!$A$1:$P$140,2,FALSE())</f>
        <v>1</v>
      </c>
      <c r="P166" s="0" t="n">
        <f aca="false">VLOOKUP(B166,'Team Data'!$A$1:$P$140,3,FALSE())</f>
        <v>2</v>
      </c>
      <c r="Q166" s="0" t="n">
        <f aca="false">VLOOKUP(A166,'Team Data'!$A$1:$P$140,4,FALSE())</f>
        <v>7</v>
      </c>
      <c r="R166" s="0" t="n">
        <f aca="false">VLOOKUP(A166,'Team Data'!$A$1:$P$140,5,FALSE())</f>
        <v>83</v>
      </c>
      <c r="S166" s="0" t="n">
        <f aca="false">VLOOKUP(B166,'Team Data'!$A$1:$P$140,4,FALSE())</f>
        <v>3</v>
      </c>
      <c r="T166" s="0" t="n">
        <f aca="false">VLOOKUP(B166,'Team Data'!$A$1:$P$140,5,FALSE())</f>
        <v>5</v>
      </c>
      <c r="U166" s="0" t="n">
        <f aca="false">IF(K166=1,(MIN(35,(C166-D166)))*(O166/(O166+P166))*(S166/(S166+T166)),(MAX(-35,(C166-D166)))*(IF(P166=0,0.1,(P166/(O166+P166))))*(T166/(S166+T166)))</f>
        <v>-4.16666666666667</v>
      </c>
      <c r="V166" s="0" t="n">
        <f aca="false">IF(L166=1,(MIN(35,(D166-C166)))*(M166/(M166+N166))*(Q166/(Q166+R166)),(MAX(-35,(D166-C166)))*(IF(N166=0,0.1,(N166/(M166+N166))))*(R166/(R166+Q166)))</f>
        <v>0.259259259259259</v>
      </c>
    </row>
    <row r="167" customFormat="false" ht="15" hidden="false" customHeight="false" outlineLevel="0" collapsed="false">
      <c r="A167" s="0" t="s">
        <v>198</v>
      </c>
      <c r="B167" s="0" t="s">
        <v>79</v>
      </c>
      <c r="C167" s="0" t="n">
        <v>7</v>
      </c>
      <c r="D167" s="0" t="n">
        <v>70</v>
      </c>
      <c r="E167" s="0" t="n">
        <v>18</v>
      </c>
      <c r="F167" s="0" t="n">
        <v>287</v>
      </c>
      <c r="G167" s="0" t="n">
        <v>137</v>
      </c>
      <c r="H167" s="0" t="n">
        <v>173</v>
      </c>
      <c r="I167" s="0" t="n">
        <v>6</v>
      </c>
      <c r="J167" s="0" t="n">
        <v>0</v>
      </c>
      <c r="K167" s="0" t="n">
        <v>0</v>
      </c>
      <c r="L167" s="0" t="n">
        <v>1</v>
      </c>
      <c r="M167" s="0" t="n">
        <f aca="false">VLOOKUP(A167,'Team Data'!$A$1:$P$140,2,FALSE())</f>
        <v>5</v>
      </c>
      <c r="N167" s="0" t="n">
        <f aca="false">VLOOKUP(A167,'Team Data'!$A$1:$P$140,3,FALSE())</f>
        <v>80</v>
      </c>
      <c r="O167" s="0" t="n">
        <f aca="false">VLOOKUP(B167,'Team Data'!$A$1:$P$140,2,FALSE())</f>
        <v>2</v>
      </c>
      <c r="P167" s="0" t="n">
        <f aca="false">VLOOKUP(B167,'Team Data'!$A$1:$P$140,3,FALSE())</f>
        <v>0</v>
      </c>
      <c r="Q167" s="0" t="n">
        <f aca="false">VLOOKUP(A167,'Team Data'!$A$1:$P$140,4,FALSE())</f>
        <v>113</v>
      </c>
      <c r="R167" s="0" t="n">
        <f aca="false">VLOOKUP(A167,'Team Data'!$A$1:$P$140,5,FALSE())</f>
        <v>61</v>
      </c>
      <c r="S167" s="0" t="n">
        <f aca="false">VLOOKUP(B167,'Team Data'!$A$1:$P$140,4,FALSE())</f>
        <v>6</v>
      </c>
      <c r="T167" s="0" t="n">
        <f aca="false">VLOOKUP(B167,'Team Data'!$A$1:$P$140,5,FALSE())</f>
        <v>81</v>
      </c>
      <c r="U167" s="0" t="n">
        <f aca="false">IF(K167=1,(MIN(35,(C167-D167)))*(O167/(O167+P167))*(S167/(S167+T167)),(MAX(-35,(C167-D167)))*(IF(P167=0,0.1,(P167/(O167+P167))))*(T167/(S167+T167)))</f>
        <v>-3.25862068965517</v>
      </c>
      <c r="V167" s="0" t="n">
        <f aca="false">IF(L167=1,(MIN(35,(D167-C167)))*(M167/(M167+N167))*(Q167/(Q167+R167)),(MAX(-35,(D167-C167)))*(IF(N167=0,0.1,(N167/(M167+N167))))*(R167/(R167+Q167)))</f>
        <v>1.33705206220419</v>
      </c>
    </row>
    <row r="168" customFormat="false" ht="15" hidden="false" customHeight="false" outlineLevel="0" collapsed="false">
      <c r="A168" s="0" t="s">
        <v>198</v>
      </c>
      <c r="B168" s="0" t="s">
        <v>7</v>
      </c>
      <c r="C168" s="0" t="n">
        <v>10</v>
      </c>
      <c r="D168" s="0" t="n">
        <v>45</v>
      </c>
      <c r="E168" s="0" t="n">
        <v>14</v>
      </c>
      <c r="F168" s="0" t="n">
        <v>241</v>
      </c>
      <c r="G168" s="0" t="n">
        <v>180</v>
      </c>
      <c r="H168" s="0" t="n">
        <v>282</v>
      </c>
      <c r="I168" s="0" t="n">
        <v>2</v>
      </c>
      <c r="J168" s="0" t="n">
        <v>1</v>
      </c>
      <c r="K168" s="0" t="n">
        <v>0</v>
      </c>
      <c r="L168" s="0" t="n">
        <v>1</v>
      </c>
      <c r="M168" s="0" t="n">
        <f aca="false">VLOOKUP(A168,'Team Data'!$A$1:$P$140,2,FALSE())</f>
        <v>5</v>
      </c>
      <c r="N168" s="0" t="n">
        <f aca="false">VLOOKUP(A168,'Team Data'!$A$1:$P$140,3,FALSE())</f>
        <v>80</v>
      </c>
      <c r="O168" s="0" t="n">
        <f aca="false">VLOOKUP(B168,'Team Data'!$A$1:$P$140,2,FALSE())</f>
        <v>1</v>
      </c>
      <c r="P168" s="0" t="n">
        <f aca="false">VLOOKUP(B168,'Team Data'!$A$1:$P$140,3,FALSE())</f>
        <v>1</v>
      </c>
      <c r="Q168" s="0" t="n">
        <f aca="false">VLOOKUP(A168,'Team Data'!$A$1:$P$140,4,FALSE())</f>
        <v>113</v>
      </c>
      <c r="R168" s="0" t="n">
        <f aca="false">VLOOKUP(A168,'Team Data'!$A$1:$P$140,5,FALSE())</f>
        <v>61</v>
      </c>
      <c r="S168" s="0" t="n">
        <f aca="false">VLOOKUP(B168,'Team Data'!$A$1:$P$140,4,FALSE())</f>
        <v>7</v>
      </c>
      <c r="T168" s="0" t="n">
        <f aca="false">VLOOKUP(B168,'Team Data'!$A$1:$P$140,5,FALSE())</f>
        <v>80</v>
      </c>
      <c r="U168" s="0" t="n">
        <f aca="false">IF(K168=1,(MIN(35,(C168-D168)))*(O168/(O168+P168))*(S168/(S168+T168)),(MAX(-35,(C168-D168)))*(IF(P168=0,0.1,(P168/(O168+P168))))*(T168/(S168+T168)))</f>
        <v>-16.0919540229885</v>
      </c>
      <c r="V168" s="0" t="n">
        <f aca="false">IF(L168=1,(MIN(35,(D168-C168)))*(M168/(M168+N168))*(Q168/(Q168+R168)),(MAX(-35,(D168-C168)))*(IF(N168=0,0.1,(N168/(M168+N168))))*(R168/(R168+Q168)))</f>
        <v>1.33705206220419</v>
      </c>
    </row>
    <row r="169" customFormat="false" ht="15" hidden="false" customHeight="false" outlineLevel="0" collapsed="false">
      <c r="A169" s="0" t="s">
        <v>198</v>
      </c>
      <c r="B169" s="0" t="s">
        <v>17</v>
      </c>
      <c r="C169" s="0" t="n">
        <v>17</v>
      </c>
      <c r="D169" s="0" t="n">
        <v>41</v>
      </c>
      <c r="E169" s="0" t="n">
        <v>183</v>
      </c>
      <c r="F169" s="0" t="n">
        <v>226</v>
      </c>
      <c r="G169" s="0" t="n">
        <v>147</v>
      </c>
      <c r="H169" s="0" t="n">
        <v>256</v>
      </c>
      <c r="I169" s="0" t="n">
        <v>2</v>
      </c>
      <c r="J169" s="0" t="n">
        <v>1</v>
      </c>
      <c r="K169" s="0" t="n">
        <v>0</v>
      </c>
      <c r="L169" s="0" t="n">
        <v>1</v>
      </c>
      <c r="M169" s="0" t="n">
        <f aca="false">VLOOKUP(A169,'Team Data'!$A$1:$P$140,2,FALSE())</f>
        <v>5</v>
      </c>
      <c r="N169" s="0" t="n">
        <f aca="false">VLOOKUP(A169,'Team Data'!$A$1:$P$140,3,FALSE())</f>
        <v>80</v>
      </c>
      <c r="O169" s="0" t="n">
        <f aca="false">VLOOKUP(B169,'Team Data'!$A$1:$P$140,2,FALSE())</f>
        <v>1</v>
      </c>
      <c r="P169" s="0" t="n">
        <f aca="false">VLOOKUP(B169,'Team Data'!$A$1:$P$140,3,FALSE())</f>
        <v>1</v>
      </c>
      <c r="Q169" s="0" t="n">
        <f aca="false">VLOOKUP(A169,'Team Data'!$A$1:$P$140,4,FALSE())</f>
        <v>113</v>
      </c>
      <c r="R169" s="0" t="n">
        <f aca="false">VLOOKUP(A169,'Team Data'!$A$1:$P$140,5,FALSE())</f>
        <v>61</v>
      </c>
      <c r="S169" s="0" t="n">
        <f aca="false">VLOOKUP(B169,'Team Data'!$A$1:$P$140,4,FALSE())</f>
        <v>6</v>
      </c>
      <c r="T169" s="0" t="n">
        <f aca="false">VLOOKUP(B169,'Team Data'!$A$1:$P$140,5,FALSE())</f>
        <v>81</v>
      </c>
      <c r="U169" s="0" t="n">
        <f aca="false">IF(K169=1,(MIN(35,(C169-D169)))*(O169/(O169+P169))*(S169/(S169+T169)),(MAX(-35,(C169-D169)))*(IF(P169=0,0.1,(P169/(O169+P169))))*(T169/(S169+T169)))</f>
        <v>-11.1724137931034</v>
      </c>
      <c r="V169" s="0" t="n">
        <f aca="false">IF(L169=1,(MIN(35,(D169-C169)))*(M169/(M169+N169))*(Q169/(Q169+R169)),(MAX(-35,(D169-C169)))*(IF(N169=0,0.1,(N169/(M169+N169))))*(R169/(R169+Q169)))</f>
        <v>0.91683569979716</v>
      </c>
    </row>
    <row r="170" customFormat="false" ht="15" hidden="false" customHeight="false" outlineLevel="0" collapsed="false">
      <c r="A170" s="0" t="s">
        <v>22</v>
      </c>
      <c r="B170" s="0" t="s">
        <v>35</v>
      </c>
      <c r="C170" s="0" t="n">
        <v>20</v>
      </c>
      <c r="D170" s="0" t="n">
        <v>33</v>
      </c>
      <c r="E170" s="0" t="n">
        <v>59</v>
      </c>
      <c r="F170" s="0" t="n">
        <v>154</v>
      </c>
      <c r="G170" s="0" t="n">
        <v>249</v>
      </c>
      <c r="H170" s="0" t="n">
        <v>386</v>
      </c>
      <c r="I170" s="0" t="n">
        <v>3</v>
      </c>
      <c r="J170" s="0" t="n">
        <v>1</v>
      </c>
      <c r="K170" s="0" t="n">
        <v>0</v>
      </c>
      <c r="L170" s="0" t="n">
        <v>1</v>
      </c>
      <c r="M170" s="0" t="n">
        <f aca="false">VLOOKUP(A170,'Team Data'!$A$1:$P$140,2,FALSE())</f>
        <v>1</v>
      </c>
      <c r="N170" s="0" t="n">
        <f aca="false">VLOOKUP(A170,'Team Data'!$A$1:$P$140,3,FALSE())</f>
        <v>1</v>
      </c>
      <c r="O170" s="0" t="n">
        <f aca="false">VLOOKUP(B170,'Team Data'!$A$1:$P$140,2,FALSE())</f>
        <v>1</v>
      </c>
      <c r="P170" s="0" t="n">
        <f aca="false">VLOOKUP(B170,'Team Data'!$A$1:$P$140,3,FALSE())</f>
        <v>1</v>
      </c>
      <c r="Q170" s="0" t="n">
        <f aca="false">VLOOKUP(A170,'Team Data'!$A$1:$P$140,4,FALSE())</f>
        <v>6</v>
      </c>
      <c r="R170" s="0" t="n">
        <f aca="false">VLOOKUP(A170,'Team Data'!$A$1:$P$140,5,FALSE())</f>
        <v>81</v>
      </c>
      <c r="S170" s="0" t="n">
        <f aca="false">VLOOKUP(B170,'Team Data'!$A$1:$P$140,4,FALSE())</f>
        <v>3</v>
      </c>
      <c r="T170" s="0" t="n">
        <f aca="false">VLOOKUP(B170,'Team Data'!$A$1:$P$140,5,FALSE())</f>
        <v>1</v>
      </c>
      <c r="U170" s="0" t="n">
        <f aca="false">IF(K170=1,(MIN(35,(C170-D170)))*(O170/(O170+P170))*(S170/(S170+T170)),(MAX(-35,(C170-D170)))*(IF(P170=0,0.1,(P170/(O170+P170))))*(T170/(S170+T170)))</f>
        <v>-1.625</v>
      </c>
      <c r="V170" s="0" t="n">
        <f aca="false">IF(L170=1,(MIN(35,(D170-C170)))*(M170/(M170+N170))*(Q170/(Q170+R170)),(MAX(-35,(D170-C170)))*(IF(N170=0,0.1,(N170/(M170+N170))))*(R170/(R170+Q170)))</f>
        <v>0.448275862068966</v>
      </c>
    </row>
    <row r="171" customFormat="false" ht="15" hidden="false" customHeight="false" outlineLevel="0" collapsed="false">
      <c r="A171" s="0" t="s">
        <v>198</v>
      </c>
      <c r="B171" s="0" t="s">
        <v>24</v>
      </c>
      <c r="C171" s="0" t="n">
        <v>10</v>
      </c>
      <c r="D171" s="0" t="n">
        <v>13</v>
      </c>
      <c r="E171" s="0" t="n">
        <v>95</v>
      </c>
      <c r="F171" s="0" t="n">
        <v>200</v>
      </c>
      <c r="G171" s="0" t="n">
        <v>124</v>
      </c>
      <c r="H171" s="0" t="n">
        <v>76</v>
      </c>
      <c r="I171" s="0" t="n">
        <v>4</v>
      </c>
      <c r="J171" s="0" t="n">
        <v>3</v>
      </c>
      <c r="K171" s="0" t="n">
        <v>0</v>
      </c>
      <c r="L171" s="0" t="n">
        <v>1</v>
      </c>
      <c r="M171" s="0" t="n">
        <f aca="false">VLOOKUP(A171,'Team Data'!$A$1:$P$140,2,FALSE())</f>
        <v>5</v>
      </c>
      <c r="N171" s="0" t="n">
        <f aca="false">VLOOKUP(A171,'Team Data'!$A$1:$P$140,3,FALSE())</f>
        <v>80</v>
      </c>
      <c r="O171" s="0" t="n">
        <f aca="false">VLOOKUP(B171,'Team Data'!$A$1:$P$140,2,FALSE())</f>
        <v>1</v>
      </c>
      <c r="P171" s="0" t="n">
        <f aca="false">VLOOKUP(B171,'Team Data'!$A$1:$P$140,3,FALSE())</f>
        <v>1</v>
      </c>
      <c r="Q171" s="0" t="n">
        <f aca="false">VLOOKUP(A171,'Team Data'!$A$1:$P$140,4,FALSE())</f>
        <v>113</v>
      </c>
      <c r="R171" s="0" t="n">
        <f aca="false">VLOOKUP(A171,'Team Data'!$A$1:$P$140,5,FALSE())</f>
        <v>61</v>
      </c>
      <c r="S171" s="0" t="n">
        <f aca="false">VLOOKUP(B171,'Team Data'!$A$1:$P$140,4,FALSE())</f>
        <v>7</v>
      </c>
      <c r="T171" s="0" t="n">
        <f aca="false">VLOOKUP(B171,'Team Data'!$A$1:$P$140,5,FALSE())</f>
        <v>80</v>
      </c>
      <c r="U171" s="0" t="n">
        <f aca="false">IF(K171=1,(MIN(35,(C171-D171)))*(O171/(O171+P171))*(S171/(S171+T171)),(MAX(-35,(C171-D171)))*(IF(P171=0,0.1,(P171/(O171+P171))))*(T171/(S171+T171)))</f>
        <v>-1.37931034482759</v>
      </c>
      <c r="V171" s="0" t="n">
        <f aca="false">IF(L171=1,(MIN(35,(D171-C171)))*(M171/(M171+N171))*(Q171/(Q171+R171)),(MAX(-35,(D171-C171)))*(IF(N171=0,0.1,(N171/(M171+N171))))*(R171/(R171+Q171)))</f>
        <v>0.114604462474645</v>
      </c>
    </row>
    <row r="172" customFormat="false" ht="15" hidden="false" customHeight="false" outlineLevel="0" collapsed="false">
      <c r="A172" s="0" t="s">
        <v>198</v>
      </c>
      <c r="B172" s="0" t="s">
        <v>55</v>
      </c>
      <c r="C172" s="0" t="n">
        <v>15</v>
      </c>
      <c r="D172" s="0" t="n">
        <v>36</v>
      </c>
      <c r="E172" s="0" t="n">
        <v>58</v>
      </c>
      <c r="F172" s="0" t="n">
        <v>195</v>
      </c>
      <c r="G172" s="0" t="n">
        <v>115</v>
      </c>
      <c r="H172" s="0" t="n">
        <v>253</v>
      </c>
      <c r="I172" s="0" t="n">
        <v>2</v>
      </c>
      <c r="J172" s="0" t="n">
        <v>3</v>
      </c>
      <c r="K172" s="0" t="n">
        <v>0</v>
      </c>
      <c r="L172" s="0" t="n">
        <v>1</v>
      </c>
      <c r="M172" s="0" t="n">
        <f aca="false">VLOOKUP(A172,'Team Data'!$A$1:$P$140,2,FALSE())</f>
        <v>5</v>
      </c>
      <c r="N172" s="0" t="n">
        <f aca="false">VLOOKUP(A172,'Team Data'!$A$1:$P$140,3,FALSE())</f>
        <v>80</v>
      </c>
      <c r="O172" s="0" t="n">
        <f aca="false">VLOOKUP(B172,'Team Data'!$A$1:$P$140,2,FALSE())</f>
        <v>1</v>
      </c>
      <c r="P172" s="0" t="n">
        <f aca="false">VLOOKUP(B172,'Team Data'!$A$1:$P$140,3,FALSE())</f>
        <v>1</v>
      </c>
      <c r="Q172" s="0" t="n">
        <f aca="false">VLOOKUP(A172,'Team Data'!$A$1:$P$140,4,FALSE())</f>
        <v>113</v>
      </c>
      <c r="R172" s="0" t="n">
        <f aca="false">VLOOKUP(A172,'Team Data'!$A$1:$P$140,5,FALSE())</f>
        <v>61</v>
      </c>
      <c r="S172" s="0" t="n">
        <f aca="false">VLOOKUP(B172,'Team Data'!$A$1:$P$140,4,FALSE())</f>
        <v>7</v>
      </c>
      <c r="T172" s="0" t="n">
        <f aca="false">VLOOKUP(B172,'Team Data'!$A$1:$P$140,5,FALSE())</f>
        <v>80</v>
      </c>
      <c r="U172" s="0" t="n">
        <f aca="false">IF(K172=1,(MIN(35,(C172-D172)))*(O172/(O172+P172))*(S172/(S172+T172)),(MAX(-35,(C172-D172)))*(IF(P172=0,0.1,(P172/(O172+P172))))*(T172/(S172+T172)))</f>
        <v>-9.6551724137931</v>
      </c>
      <c r="V172" s="0" t="n">
        <f aca="false">IF(L172=1,(MIN(35,(D172-C172)))*(M172/(M172+N172))*(Q172/(Q172+R172)),(MAX(-35,(D172-C172)))*(IF(N172=0,0.1,(N172/(M172+N172))))*(R172/(R172+Q172)))</f>
        <v>0.802231237322515</v>
      </c>
    </row>
    <row r="173" customFormat="false" ht="15" hidden="false" customHeight="false" outlineLevel="0" collapsed="false">
      <c r="A173" s="0" t="s">
        <v>198</v>
      </c>
      <c r="B173" s="0" t="s">
        <v>67</v>
      </c>
      <c r="C173" s="0" t="n">
        <v>7</v>
      </c>
      <c r="D173" s="0" t="n">
        <v>45</v>
      </c>
      <c r="E173" s="0" t="n">
        <v>40</v>
      </c>
      <c r="F173" s="0" t="n">
        <v>201</v>
      </c>
      <c r="G173" s="0" t="n">
        <v>141</v>
      </c>
      <c r="H173" s="0" t="n">
        <v>236</v>
      </c>
      <c r="I173" s="0" t="n">
        <v>0</v>
      </c>
      <c r="J173" s="0" t="n">
        <v>0</v>
      </c>
      <c r="K173" s="0" t="n">
        <v>0</v>
      </c>
      <c r="L173" s="0" t="n">
        <v>1</v>
      </c>
      <c r="M173" s="0" t="n">
        <f aca="false">VLOOKUP(A173,'Team Data'!$A$1:$P$140,2,FALSE())</f>
        <v>5</v>
      </c>
      <c r="N173" s="0" t="n">
        <f aca="false">VLOOKUP(A173,'Team Data'!$A$1:$P$140,3,FALSE())</f>
        <v>80</v>
      </c>
      <c r="O173" s="0" t="n">
        <f aca="false">VLOOKUP(B173,'Team Data'!$A$1:$P$140,2,FALSE())</f>
        <v>1</v>
      </c>
      <c r="P173" s="0" t="n">
        <f aca="false">VLOOKUP(B173,'Team Data'!$A$1:$P$140,3,FALSE())</f>
        <v>1</v>
      </c>
      <c r="Q173" s="0" t="n">
        <f aca="false">VLOOKUP(A173,'Team Data'!$A$1:$P$140,4,FALSE())</f>
        <v>113</v>
      </c>
      <c r="R173" s="0" t="n">
        <f aca="false">VLOOKUP(A173,'Team Data'!$A$1:$P$140,5,FALSE())</f>
        <v>61</v>
      </c>
      <c r="S173" s="0" t="n">
        <f aca="false">VLOOKUP(B173,'Team Data'!$A$1:$P$140,4,FALSE())</f>
        <v>7</v>
      </c>
      <c r="T173" s="0" t="n">
        <f aca="false">VLOOKUP(B173,'Team Data'!$A$1:$P$140,5,FALSE())</f>
        <v>80</v>
      </c>
      <c r="U173" s="0" t="n">
        <f aca="false">IF(K173=1,(MIN(35,(C173-D173)))*(O173/(O173+P173))*(S173/(S173+T173)),(MAX(-35,(C173-D173)))*(IF(P173=0,0.1,(P173/(O173+P173))))*(T173/(S173+T173)))</f>
        <v>-16.0919540229885</v>
      </c>
      <c r="V173" s="0" t="n">
        <f aca="false">IF(L173=1,(MIN(35,(D173-C173)))*(M173/(M173+N173))*(Q173/(Q173+R173)),(MAX(-35,(D173-C173)))*(IF(N173=0,0.1,(N173/(M173+N173))))*(R173/(R173+Q173)))</f>
        <v>1.33705206220419</v>
      </c>
    </row>
    <row r="174" customFormat="false" ht="15" hidden="false" customHeight="false" outlineLevel="0" collapsed="false">
      <c r="A174" s="0" t="s">
        <v>50</v>
      </c>
      <c r="B174" s="0" t="s">
        <v>87</v>
      </c>
      <c r="C174" s="0" t="n">
        <v>27</v>
      </c>
      <c r="D174" s="0" t="n">
        <v>29</v>
      </c>
      <c r="E174" s="0" t="n">
        <v>161</v>
      </c>
      <c r="F174" s="0" t="n">
        <v>165</v>
      </c>
      <c r="G174" s="0" t="n">
        <v>286</v>
      </c>
      <c r="H174" s="0" t="n">
        <v>97</v>
      </c>
      <c r="I174" s="0" t="n">
        <v>1</v>
      </c>
      <c r="J174" s="0" t="n">
        <v>0</v>
      </c>
      <c r="K174" s="0" t="n">
        <v>0</v>
      </c>
      <c r="L174" s="0" t="n">
        <v>1</v>
      </c>
      <c r="M174" s="0" t="n">
        <f aca="false">VLOOKUP(A174,'Team Data'!$A$1:$P$140,2,FALSE())</f>
        <v>1</v>
      </c>
      <c r="N174" s="0" t="n">
        <f aca="false">VLOOKUP(A174,'Team Data'!$A$1:$P$140,3,FALSE())</f>
        <v>2</v>
      </c>
      <c r="O174" s="0" t="n">
        <f aca="false">VLOOKUP(B174,'Team Data'!$A$1:$P$140,2,FALSE())</f>
        <v>1</v>
      </c>
      <c r="P174" s="0" t="n">
        <f aca="false">VLOOKUP(B174,'Team Data'!$A$1:$P$140,3,FALSE())</f>
        <v>1</v>
      </c>
      <c r="Q174" s="0" t="n">
        <f aca="false">VLOOKUP(A174,'Team Data'!$A$1:$P$140,4,FALSE())</f>
        <v>9</v>
      </c>
      <c r="R174" s="0" t="n">
        <f aca="false">VLOOKUP(A174,'Team Data'!$A$1:$P$140,5,FALSE())</f>
        <v>81</v>
      </c>
      <c r="S174" s="0" t="n">
        <f aca="false">VLOOKUP(B174,'Team Data'!$A$1:$P$140,4,FALSE())</f>
        <v>3</v>
      </c>
      <c r="T174" s="0" t="n">
        <f aca="false">VLOOKUP(B174,'Team Data'!$A$1:$P$140,5,FALSE())</f>
        <v>2</v>
      </c>
      <c r="U174" s="0" t="n">
        <f aca="false">IF(K174=1,(MIN(35,(C174-D174)))*(O174/(O174+P174))*(S174/(S174+T174)),(MAX(-35,(C174-D174)))*(IF(P174=0,0.1,(P174/(O174+P174))))*(T174/(S174+T174)))</f>
        <v>-0.4</v>
      </c>
      <c r="V174" s="0" t="n">
        <f aca="false">IF(L174=1,(MIN(35,(D174-C174)))*(M174/(M174+N174))*(Q174/(Q174+R174)),(MAX(-35,(D174-C174)))*(IF(N174=0,0.1,(N174/(M174+N174))))*(R174/(R174+Q174)))</f>
        <v>0.0666666666666667</v>
      </c>
    </row>
    <row r="175" customFormat="false" ht="15" hidden="false" customHeight="false" outlineLevel="0" collapsed="false">
      <c r="A175" s="0" t="s">
        <v>198</v>
      </c>
      <c r="B175" s="0" t="s">
        <v>117</v>
      </c>
      <c r="C175" s="0" t="n">
        <v>10</v>
      </c>
      <c r="D175" s="0" t="n">
        <v>63</v>
      </c>
      <c r="E175" s="0" t="n">
        <v>73</v>
      </c>
      <c r="F175" s="0" t="n">
        <v>256</v>
      </c>
      <c r="G175" s="0" t="n">
        <v>66</v>
      </c>
      <c r="H175" s="0" t="n">
        <v>313</v>
      </c>
      <c r="I175" s="0" t="n">
        <v>1</v>
      </c>
      <c r="J175" s="0" t="n">
        <v>2</v>
      </c>
      <c r="K175" s="0" t="n">
        <v>0</v>
      </c>
      <c r="L175" s="0" t="n">
        <v>1</v>
      </c>
      <c r="M175" s="0" t="n">
        <f aca="false">VLOOKUP(A175,'Team Data'!$A$1:$P$140,2,FALSE())</f>
        <v>5</v>
      </c>
      <c r="N175" s="0" t="n">
        <f aca="false">VLOOKUP(A175,'Team Data'!$A$1:$P$140,3,FALSE())</f>
        <v>80</v>
      </c>
      <c r="O175" s="0" t="n">
        <f aca="false">VLOOKUP(B175,'Team Data'!$A$1:$P$140,2,FALSE())</f>
        <v>1</v>
      </c>
      <c r="P175" s="0" t="n">
        <f aca="false">VLOOKUP(B175,'Team Data'!$A$1:$P$140,3,FALSE())</f>
        <v>1</v>
      </c>
      <c r="Q175" s="0" t="n">
        <f aca="false">VLOOKUP(A175,'Team Data'!$A$1:$P$140,4,FALSE())</f>
        <v>113</v>
      </c>
      <c r="R175" s="0" t="n">
        <f aca="false">VLOOKUP(A175,'Team Data'!$A$1:$P$140,5,FALSE())</f>
        <v>61</v>
      </c>
      <c r="S175" s="0" t="n">
        <f aca="false">VLOOKUP(B175,'Team Data'!$A$1:$P$140,4,FALSE())</f>
        <v>7</v>
      </c>
      <c r="T175" s="0" t="n">
        <f aca="false">VLOOKUP(B175,'Team Data'!$A$1:$P$140,5,FALSE())</f>
        <v>80</v>
      </c>
      <c r="U175" s="0" t="n">
        <f aca="false">IF(K175=1,(MIN(35,(C175-D175)))*(O175/(O175+P175))*(S175/(S175+T175)),(MAX(-35,(C175-D175)))*(IF(P175=0,0.1,(P175/(O175+P175))))*(T175/(S175+T175)))</f>
        <v>-16.0919540229885</v>
      </c>
      <c r="V175" s="0" t="n">
        <f aca="false">IF(L175=1,(MIN(35,(D175-C175)))*(M175/(M175+N175))*(Q175/(Q175+R175)),(MAX(-35,(D175-C175)))*(IF(N175=0,0.1,(N175/(M175+N175))))*(R175/(R175+Q175)))</f>
        <v>1.33705206220419</v>
      </c>
    </row>
    <row r="176" customFormat="false" ht="15" hidden="false" customHeight="false" outlineLevel="0" collapsed="false">
      <c r="A176" s="0" t="s">
        <v>198</v>
      </c>
      <c r="B176" s="0" t="s">
        <v>125</v>
      </c>
      <c r="C176" s="0" t="n">
        <v>10</v>
      </c>
      <c r="D176" s="0" t="n">
        <v>37</v>
      </c>
      <c r="E176" s="0" t="n">
        <v>143</v>
      </c>
      <c r="F176" s="0" t="n">
        <v>152</v>
      </c>
      <c r="G176" s="0" t="n">
        <v>160</v>
      </c>
      <c r="H176" s="0" t="n">
        <v>163</v>
      </c>
      <c r="I176" s="0" t="n">
        <v>1</v>
      </c>
      <c r="J176" s="0" t="n">
        <v>0</v>
      </c>
      <c r="K176" s="0" t="n">
        <v>0</v>
      </c>
      <c r="L176" s="0" t="n">
        <v>1</v>
      </c>
      <c r="M176" s="0" t="n">
        <f aca="false">VLOOKUP(A176,'Team Data'!$A$1:$P$140,2,FALSE())</f>
        <v>5</v>
      </c>
      <c r="N176" s="0" t="n">
        <f aca="false">VLOOKUP(A176,'Team Data'!$A$1:$P$140,3,FALSE())</f>
        <v>80</v>
      </c>
      <c r="O176" s="0" t="n">
        <f aca="false">VLOOKUP(B176,'Team Data'!$A$1:$P$140,2,FALSE())</f>
        <v>2</v>
      </c>
      <c r="P176" s="0" t="n">
        <f aca="false">VLOOKUP(B176,'Team Data'!$A$1:$P$140,3,FALSE())</f>
        <v>0</v>
      </c>
      <c r="Q176" s="0" t="n">
        <f aca="false">VLOOKUP(A176,'Team Data'!$A$1:$P$140,4,FALSE())</f>
        <v>113</v>
      </c>
      <c r="R176" s="0" t="n">
        <f aca="false">VLOOKUP(A176,'Team Data'!$A$1:$P$140,5,FALSE())</f>
        <v>61</v>
      </c>
      <c r="S176" s="0" t="n">
        <f aca="false">VLOOKUP(B176,'Team Data'!$A$1:$P$140,4,FALSE())</f>
        <v>5</v>
      </c>
      <c r="T176" s="0" t="n">
        <f aca="false">VLOOKUP(B176,'Team Data'!$A$1:$P$140,5,FALSE())</f>
        <v>82</v>
      </c>
      <c r="U176" s="0" t="n">
        <f aca="false">IF(K176=1,(MIN(35,(C176-D176)))*(O176/(O176+P176))*(S176/(S176+T176)),(MAX(-35,(C176-D176)))*(IF(P176=0,0.1,(P176/(O176+P176))))*(T176/(S176+T176)))</f>
        <v>-2.5448275862069</v>
      </c>
      <c r="V176" s="0" t="n">
        <f aca="false">IF(L176=1,(MIN(35,(D176-C176)))*(M176/(M176+N176))*(Q176/(Q176+R176)),(MAX(-35,(D176-C176)))*(IF(N176=0,0.1,(N176/(M176+N176))))*(R176/(R176+Q176)))</f>
        <v>1.03144016227181</v>
      </c>
    </row>
    <row r="177" customFormat="false" ht="15" hidden="false" customHeight="false" outlineLevel="0" collapsed="false">
      <c r="A177" s="0" t="s">
        <v>198</v>
      </c>
      <c r="B177" s="0" t="s">
        <v>141</v>
      </c>
      <c r="C177" s="0" t="n">
        <v>14</v>
      </c>
      <c r="D177" s="0" t="n">
        <v>49</v>
      </c>
      <c r="E177" s="0" t="n">
        <v>158</v>
      </c>
      <c r="F177" s="0" t="n">
        <v>148</v>
      </c>
      <c r="G177" s="0" t="n">
        <v>273</v>
      </c>
      <c r="H177" s="0" t="n">
        <v>266</v>
      </c>
      <c r="I177" s="0" t="n">
        <v>2</v>
      </c>
      <c r="J177" s="0" t="n">
        <v>0</v>
      </c>
      <c r="K177" s="0" t="n">
        <v>0</v>
      </c>
      <c r="L177" s="0" t="n">
        <v>1</v>
      </c>
      <c r="M177" s="0" t="n">
        <f aca="false">VLOOKUP(A177,'Team Data'!$A$1:$P$140,2,FALSE())</f>
        <v>5</v>
      </c>
      <c r="N177" s="0" t="n">
        <f aca="false">VLOOKUP(A177,'Team Data'!$A$1:$P$140,3,FALSE())</f>
        <v>80</v>
      </c>
      <c r="O177" s="0" t="n">
        <f aca="false">VLOOKUP(B177,'Team Data'!$A$1:$P$140,2,FALSE())</f>
        <v>1</v>
      </c>
      <c r="P177" s="0" t="n">
        <f aca="false">VLOOKUP(B177,'Team Data'!$A$1:$P$140,3,FALSE())</f>
        <v>1</v>
      </c>
      <c r="Q177" s="0" t="n">
        <f aca="false">VLOOKUP(A177,'Team Data'!$A$1:$P$140,4,FALSE())</f>
        <v>113</v>
      </c>
      <c r="R177" s="0" t="n">
        <f aca="false">VLOOKUP(A177,'Team Data'!$A$1:$P$140,5,FALSE())</f>
        <v>61</v>
      </c>
      <c r="S177" s="0" t="n">
        <f aca="false">VLOOKUP(B177,'Team Data'!$A$1:$P$140,4,FALSE())</f>
        <v>7</v>
      </c>
      <c r="T177" s="0" t="n">
        <f aca="false">VLOOKUP(B177,'Team Data'!$A$1:$P$140,5,FALSE())</f>
        <v>80</v>
      </c>
      <c r="U177" s="0" t="n">
        <f aca="false">IF(K177=1,(MIN(35,(C177-D177)))*(O177/(O177+P177))*(S177/(S177+T177)),(MAX(-35,(C177-D177)))*(IF(P177=0,0.1,(P177/(O177+P177))))*(T177/(S177+T177)))</f>
        <v>-16.0919540229885</v>
      </c>
      <c r="V177" s="0" t="n">
        <f aca="false">IF(L177=1,(MIN(35,(D177-C177)))*(M177/(M177+N177))*(Q177/(Q177+R177)),(MAX(-35,(D177-C177)))*(IF(N177=0,0.1,(N177/(M177+N177))))*(R177/(R177+Q177)))</f>
        <v>1.33705206220419</v>
      </c>
    </row>
    <row r="178" customFormat="false" ht="15" hidden="false" customHeight="false" outlineLevel="0" collapsed="false">
      <c r="A178" s="0" t="s">
        <v>60</v>
      </c>
      <c r="B178" s="0" t="s">
        <v>57</v>
      </c>
      <c r="C178" s="0" t="n">
        <v>14</v>
      </c>
      <c r="D178" s="0" t="n">
        <v>45</v>
      </c>
      <c r="E178" s="0" t="n">
        <v>-3</v>
      </c>
      <c r="F178" s="0" t="n">
        <v>147</v>
      </c>
      <c r="G178" s="0" t="n">
        <v>143</v>
      </c>
      <c r="H178" s="0" t="n">
        <v>381</v>
      </c>
      <c r="I178" s="0" t="n">
        <v>3</v>
      </c>
      <c r="J178" s="0" t="n">
        <v>4</v>
      </c>
      <c r="K178" s="0" t="n">
        <v>0</v>
      </c>
      <c r="L178" s="0" t="n">
        <v>1</v>
      </c>
      <c r="M178" s="0" t="n">
        <f aca="false">VLOOKUP(A178,'Team Data'!$A$1:$P$140,2,FALSE())</f>
        <v>1</v>
      </c>
      <c r="N178" s="0" t="n">
        <f aca="false">VLOOKUP(A178,'Team Data'!$A$1:$P$140,3,FALSE())</f>
        <v>1</v>
      </c>
      <c r="O178" s="0" t="n">
        <f aca="false">VLOOKUP(B178,'Team Data'!$A$1:$P$140,2,FALSE())</f>
        <v>2</v>
      </c>
      <c r="P178" s="0" t="n">
        <f aca="false">VLOOKUP(B178,'Team Data'!$A$1:$P$140,3,FALSE())</f>
        <v>0</v>
      </c>
      <c r="Q178" s="0" t="n">
        <f aca="false">VLOOKUP(A178,'Team Data'!$A$1:$P$140,4,FALSE())</f>
        <v>7</v>
      </c>
      <c r="R178" s="0" t="n">
        <f aca="false">VLOOKUP(A178,'Team Data'!$A$1:$P$140,5,FALSE())</f>
        <v>80</v>
      </c>
      <c r="S178" s="0" t="n">
        <f aca="false">VLOOKUP(B178,'Team Data'!$A$1:$P$140,4,FALSE())</f>
        <v>2</v>
      </c>
      <c r="T178" s="0" t="n">
        <f aca="false">VLOOKUP(B178,'Team Data'!$A$1:$P$140,5,FALSE())</f>
        <v>2</v>
      </c>
      <c r="U178" s="0" t="n">
        <f aca="false">IF(K178=1,(MIN(35,(C178-D178)))*(O178/(O178+P178))*(S178/(S178+T178)),(MAX(-35,(C178-D178)))*(IF(P178=0,0.1,(P178/(O178+P178))))*(T178/(S178+T178)))</f>
        <v>-1.55</v>
      </c>
      <c r="V178" s="0" t="n">
        <f aca="false">IF(L178=1,(MIN(35,(D178-C178)))*(M178/(M178+N178))*(Q178/(Q178+R178)),(MAX(-35,(D178-C178)))*(IF(N178=0,0.1,(N178/(M178+N178))))*(R178/(R178+Q178)))</f>
        <v>1.24712643678161</v>
      </c>
    </row>
    <row r="179" customFormat="false" ht="15" hidden="false" customHeight="false" outlineLevel="0" collapsed="false">
      <c r="A179" s="0" t="s">
        <v>198</v>
      </c>
      <c r="B179" s="0" t="s">
        <v>51</v>
      </c>
      <c r="C179" s="0" t="n">
        <v>3</v>
      </c>
      <c r="D179" s="0" t="n">
        <v>87</v>
      </c>
      <c r="E179" s="0" t="n">
        <v>86</v>
      </c>
      <c r="F179" s="0" t="n">
        <v>290</v>
      </c>
      <c r="G179" s="0" t="n">
        <v>118</v>
      </c>
      <c r="H179" s="0" t="n">
        <v>298</v>
      </c>
      <c r="I179" s="0" t="n">
        <v>2</v>
      </c>
      <c r="J179" s="0" t="n">
        <v>1</v>
      </c>
      <c r="K179" s="0" t="n">
        <v>0</v>
      </c>
      <c r="L179" s="0" t="n">
        <v>1</v>
      </c>
      <c r="M179" s="0" t="n">
        <f aca="false">VLOOKUP(A179,'Team Data'!$A$1:$P$140,2,FALSE())</f>
        <v>5</v>
      </c>
      <c r="N179" s="0" t="n">
        <f aca="false">VLOOKUP(A179,'Team Data'!$A$1:$P$140,3,FALSE())</f>
        <v>80</v>
      </c>
      <c r="O179" s="0" t="n">
        <f aca="false">VLOOKUP(B179,'Team Data'!$A$1:$P$140,2,FALSE())</f>
        <v>2</v>
      </c>
      <c r="P179" s="0" t="n">
        <f aca="false">VLOOKUP(B179,'Team Data'!$A$1:$P$140,3,FALSE())</f>
        <v>0</v>
      </c>
      <c r="Q179" s="0" t="n">
        <f aca="false">VLOOKUP(A179,'Team Data'!$A$1:$P$140,4,FALSE())</f>
        <v>113</v>
      </c>
      <c r="R179" s="0" t="n">
        <f aca="false">VLOOKUP(A179,'Team Data'!$A$1:$P$140,5,FALSE())</f>
        <v>61</v>
      </c>
      <c r="S179" s="0" t="n">
        <f aca="false">VLOOKUP(B179,'Team Data'!$A$1:$P$140,4,FALSE())</f>
        <v>6</v>
      </c>
      <c r="T179" s="0" t="n">
        <f aca="false">VLOOKUP(B179,'Team Data'!$A$1:$P$140,5,FALSE())</f>
        <v>81</v>
      </c>
      <c r="U179" s="0" t="n">
        <f aca="false">IF(K179=1,(MIN(35,(C179-D179)))*(O179/(O179+P179))*(S179/(S179+T179)),(MAX(-35,(C179-D179)))*(IF(P179=0,0.1,(P179/(O179+P179))))*(T179/(S179+T179)))</f>
        <v>-3.25862068965517</v>
      </c>
      <c r="V179" s="0" t="n">
        <f aca="false">IF(L179=1,(MIN(35,(D179-C179)))*(M179/(M179+N179))*(Q179/(Q179+R179)),(MAX(-35,(D179-C179)))*(IF(N179=0,0.1,(N179/(M179+N179))))*(R179/(R179+Q179)))</f>
        <v>1.33705206220419</v>
      </c>
    </row>
    <row r="180" customFormat="false" ht="15" hidden="false" customHeight="false" outlineLevel="0" collapsed="false">
      <c r="A180" s="0" t="s">
        <v>198</v>
      </c>
      <c r="B180" s="0" t="s">
        <v>28</v>
      </c>
      <c r="C180" s="0" t="n">
        <v>7</v>
      </c>
      <c r="D180" s="0" t="n">
        <v>45</v>
      </c>
      <c r="E180" s="0" t="n">
        <v>114</v>
      </c>
      <c r="F180" s="0" t="n">
        <v>251</v>
      </c>
      <c r="G180" s="0" t="n">
        <v>101</v>
      </c>
      <c r="H180" s="0" t="n">
        <v>209</v>
      </c>
      <c r="I180" s="0" t="n">
        <v>4</v>
      </c>
      <c r="J180" s="0" t="n">
        <v>0</v>
      </c>
      <c r="K180" s="0" t="n">
        <v>0</v>
      </c>
      <c r="L180" s="0" t="n">
        <v>1</v>
      </c>
      <c r="M180" s="0" t="n">
        <f aca="false">VLOOKUP(A180,'Team Data'!$A$1:$P$140,2,FALSE())</f>
        <v>5</v>
      </c>
      <c r="N180" s="0" t="n">
        <f aca="false">VLOOKUP(A180,'Team Data'!$A$1:$P$140,3,FALSE())</f>
        <v>80</v>
      </c>
      <c r="O180" s="0" t="n">
        <f aca="false">VLOOKUP(B180,'Team Data'!$A$1:$P$140,2,FALSE())</f>
        <v>1</v>
      </c>
      <c r="P180" s="0" t="n">
        <f aca="false">VLOOKUP(B180,'Team Data'!$A$1:$P$140,3,FALSE())</f>
        <v>1</v>
      </c>
      <c r="Q180" s="0" t="n">
        <f aca="false">VLOOKUP(A180,'Team Data'!$A$1:$P$140,4,FALSE())</f>
        <v>113</v>
      </c>
      <c r="R180" s="0" t="n">
        <f aca="false">VLOOKUP(A180,'Team Data'!$A$1:$P$140,5,FALSE())</f>
        <v>61</v>
      </c>
      <c r="S180" s="0" t="n">
        <f aca="false">VLOOKUP(B180,'Team Data'!$A$1:$P$140,4,FALSE())</f>
        <v>7</v>
      </c>
      <c r="T180" s="0" t="n">
        <f aca="false">VLOOKUP(B180,'Team Data'!$A$1:$P$140,5,FALSE())</f>
        <v>80</v>
      </c>
      <c r="U180" s="0" t="n">
        <f aca="false">IF(K180=1,(MIN(35,(C180-D180)))*(O180/(O180+P180))*(S180/(S180+T180)),(MAX(-35,(C180-D180)))*(IF(P180=0,0.1,(P180/(O180+P180))))*(T180/(S180+T180)))</f>
        <v>-16.0919540229885</v>
      </c>
      <c r="V180" s="0" t="n">
        <f aca="false">IF(L180=1,(MIN(35,(D180-C180)))*(M180/(M180+N180))*(Q180/(Q180+R180)),(MAX(-35,(D180-C180)))*(IF(N180=0,0.1,(N180/(M180+N180))))*(R180/(R180+Q180)))</f>
        <v>1.33705206220419</v>
      </c>
    </row>
    <row r="181" customFormat="false" ht="15" hidden="false" customHeight="false" outlineLevel="0" collapsed="false">
      <c r="A181" s="0" t="s">
        <v>198</v>
      </c>
      <c r="B181" s="0" t="s">
        <v>58</v>
      </c>
      <c r="C181" s="0" t="n">
        <v>23</v>
      </c>
      <c r="D181" s="0" t="n">
        <v>24</v>
      </c>
      <c r="E181" s="0" t="n">
        <v>118</v>
      </c>
      <c r="F181" s="0" t="n">
        <v>193</v>
      </c>
      <c r="G181" s="0" t="n">
        <v>186</v>
      </c>
      <c r="H181" s="0" t="n">
        <v>186</v>
      </c>
      <c r="I181" s="0" t="n">
        <v>3</v>
      </c>
      <c r="J181" s="0" t="n">
        <v>2</v>
      </c>
      <c r="K181" s="0" t="n">
        <v>0</v>
      </c>
      <c r="L181" s="0" t="n">
        <v>1</v>
      </c>
      <c r="M181" s="0" t="n">
        <f aca="false">VLOOKUP(A181,'Team Data'!$A$1:$P$140,2,FALSE())</f>
        <v>5</v>
      </c>
      <c r="N181" s="0" t="n">
        <f aca="false">VLOOKUP(A181,'Team Data'!$A$1:$P$140,3,FALSE())</f>
        <v>80</v>
      </c>
      <c r="O181" s="0" t="n">
        <f aca="false">VLOOKUP(B181,'Team Data'!$A$1:$P$140,2,FALSE())</f>
        <v>1</v>
      </c>
      <c r="P181" s="0" t="n">
        <f aca="false">VLOOKUP(B181,'Team Data'!$A$1:$P$140,3,FALSE())</f>
        <v>1</v>
      </c>
      <c r="Q181" s="0" t="n">
        <f aca="false">VLOOKUP(A181,'Team Data'!$A$1:$P$140,4,FALSE())</f>
        <v>113</v>
      </c>
      <c r="R181" s="0" t="n">
        <f aca="false">VLOOKUP(A181,'Team Data'!$A$1:$P$140,5,FALSE())</f>
        <v>61</v>
      </c>
      <c r="S181" s="0" t="n">
        <f aca="false">VLOOKUP(B181,'Team Data'!$A$1:$P$140,4,FALSE())</f>
        <v>7</v>
      </c>
      <c r="T181" s="0" t="n">
        <f aca="false">VLOOKUP(B181,'Team Data'!$A$1:$P$140,5,FALSE())</f>
        <v>80</v>
      </c>
      <c r="U181" s="0" t="n">
        <f aca="false">IF(K181=1,(MIN(35,(C181-D181)))*(O181/(O181+P181))*(S181/(S181+T181)),(MAX(-35,(C181-D181)))*(IF(P181=0,0.1,(P181/(O181+P181))))*(T181/(S181+T181)))</f>
        <v>-0.459770114942529</v>
      </c>
      <c r="V181" s="0" t="n">
        <f aca="false">IF(L181=1,(MIN(35,(D181-C181)))*(M181/(M181+N181))*(Q181/(Q181+R181)),(MAX(-35,(D181-C181)))*(IF(N181=0,0.1,(N181/(M181+N181))))*(R181/(R181+Q181)))</f>
        <v>0.0382014874915483</v>
      </c>
    </row>
    <row r="182" customFormat="false" ht="15" hidden="false" customHeight="false" outlineLevel="0" collapsed="false">
      <c r="A182" s="0" t="s">
        <v>198</v>
      </c>
      <c r="B182" s="0" t="s">
        <v>13</v>
      </c>
      <c r="C182" s="0" t="n">
        <v>7</v>
      </c>
      <c r="D182" s="0" t="n">
        <v>52</v>
      </c>
      <c r="E182" s="0" t="n">
        <v>72</v>
      </c>
      <c r="F182" s="0" t="n">
        <v>256</v>
      </c>
      <c r="G182" s="0" t="n">
        <v>174</v>
      </c>
      <c r="H182" s="0" t="n">
        <v>135</v>
      </c>
      <c r="I182" s="0" t="n">
        <v>4</v>
      </c>
      <c r="J182" s="0" t="n">
        <v>1</v>
      </c>
      <c r="K182" s="0" t="n">
        <v>0</v>
      </c>
      <c r="L182" s="0" t="n">
        <v>1</v>
      </c>
      <c r="M182" s="0" t="n">
        <f aca="false">VLOOKUP(A182,'Team Data'!$A$1:$P$140,2,FALSE())</f>
        <v>5</v>
      </c>
      <c r="N182" s="0" t="n">
        <f aca="false">VLOOKUP(A182,'Team Data'!$A$1:$P$140,3,FALSE())</f>
        <v>80</v>
      </c>
      <c r="O182" s="0" t="n">
        <f aca="false">VLOOKUP(B182,'Team Data'!$A$1:$P$140,2,FALSE())</f>
        <v>1</v>
      </c>
      <c r="P182" s="0" t="n">
        <f aca="false">VLOOKUP(B182,'Team Data'!$A$1:$P$140,3,FALSE())</f>
        <v>1</v>
      </c>
      <c r="Q182" s="0" t="n">
        <f aca="false">VLOOKUP(A182,'Team Data'!$A$1:$P$140,4,FALSE())</f>
        <v>113</v>
      </c>
      <c r="R182" s="0" t="n">
        <f aca="false">VLOOKUP(A182,'Team Data'!$A$1:$P$140,5,FALSE())</f>
        <v>61</v>
      </c>
      <c r="S182" s="0" t="n">
        <f aca="false">VLOOKUP(B182,'Team Data'!$A$1:$P$140,4,FALSE())</f>
        <v>7</v>
      </c>
      <c r="T182" s="0" t="n">
        <f aca="false">VLOOKUP(B182,'Team Data'!$A$1:$P$140,5,FALSE())</f>
        <v>81</v>
      </c>
      <c r="U182" s="0" t="n">
        <f aca="false">IF(K182=1,(MIN(35,(C182-D182)))*(O182/(O182+P182))*(S182/(S182+T182)),(MAX(-35,(C182-D182)))*(IF(P182=0,0.1,(P182/(O182+P182))))*(T182/(S182+T182)))</f>
        <v>-16.1079545454545</v>
      </c>
      <c r="V182" s="0" t="n">
        <f aca="false">IF(L182=1,(MIN(35,(D182-C182)))*(M182/(M182+N182))*(Q182/(Q182+R182)),(MAX(-35,(D182-C182)))*(IF(N182=0,0.1,(N182/(M182+N182))))*(R182/(R182+Q182)))</f>
        <v>1.33705206220419</v>
      </c>
    </row>
    <row r="183" customFormat="false" ht="15" hidden="false" customHeight="false" outlineLevel="0" collapsed="false">
      <c r="A183" s="0" t="s">
        <v>198</v>
      </c>
      <c r="B183" s="0" t="s">
        <v>118</v>
      </c>
      <c r="C183" s="0" t="n">
        <v>17</v>
      </c>
      <c r="D183" s="0" t="n">
        <v>34</v>
      </c>
      <c r="E183" s="0" t="n">
        <v>116</v>
      </c>
      <c r="F183" s="0" t="n">
        <v>226</v>
      </c>
      <c r="G183" s="0" t="n">
        <v>105</v>
      </c>
      <c r="H183" s="0" t="n">
        <v>201</v>
      </c>
      <c r="I183" s="0" t="n">
        <v>1</v>
      </c>
      <c r="J183" s="0" t="n">
        <v>0</v>
      </c>
      <c r="K183" s="0" t="n">
        <v>0</v>
      </c>
      <c r="L183" s="0" t="n">
        <v>1</v>
      </c>
      <c r="M183" s="0" t="n">
        <f aca="false">VLOOKUP(A183,'Team Data'!$A$1:$P$140,2,FALSE())</f>
        <v>5</v>
      </c>
      <c r="N183" s="0" t="n">
        <f aca="false">VLOOKUP(A183,'Team Data'!$A$1:$P$140,3,FALSE())</f>
        <v>80</v>
      </c>
      <c r="O183" s="0" t="n">
        <f aca="false">VLOOKUP(B183,'Team Data'!$A$1:$P$140,2,FALSE())</f>
        <v>2</v>
      </c>
      <c r="P183" s="0" t="n">
        <f aca="false">VLOOKUP(B183,'Team Data'!$A$1:$P$140,3,FALSE())</f>
        <v>0</v>
      </c>
      <c r="Q183" s="0" t="n">
        <f aca="false">VLOOKUP(A183,'Team Data'!$A$1:$P$140,4,FALSE())</f>
        <v>113</v>
      </c>
      <c r="R183" s="0" t="n">
        <f aca="false">VLOOKUP(A183,'Team Data'!$A$1:$P$140,5,FALSE())</f>
        <v>61</v>
      </c>
      <c r="S183" s="0" t="n">
        <f aca="false">VLOOKUP(B183,'Team Data'!$A$1:$P$140,4,FALSE())</f>
        <v>5</v>
      </c>
      <c r="T183" s="0" t="n">
        <f aca="false">VLOOKUP(B183,'Team Data'!$A$1:$P$140,5,FALSE())</f>
        <v>82</v>
      </c>
      <c r="U183" s="0" t="n">
        <f aca="false">IF(K183=1,(MIN(35,(C183-D183)))*(O183/(O183+P183))*(S183/(S183+T183)),(MAX(-35,(C183-D183)))*(IF(P183=0,0.1,(P183/(O183+P183))))*(T183/(S183+T183)))</f>
        <v>-1.60229885057471</v>
      </c>
      <c r="V183" s="0" t="n">
        <f aca="false">IF(L183=1,(MIN(35,(D183-C183)))*(M183/(M183+N183))*(Q183/(Q183+R183)),(MAX(-35,(D183-C183)))*(IF(N183=0,0.1,(N183/(M183+N183))))*(R183/(R183+Q183)))</f>
        <v>0.649425287356322</v>
      </c>
    </row>
    <row r="184" customFormat="false" ht="15" hidden="false" customHeight="false" outlineLevel="0" collapsed="false">
      <c r="A184" s="0" t="s">
        <v>42</v>
      </c>
      <c r="B184" s="0" t="s">
        <v>54</v>
      </c>
      <c r="C184" s="0" t="n">
        <v>31</v>
      </c>
      <c r="D184" s="0" t="n">
        <v>17</v>
      </c>
      <c r="E184" s="0" t="n">
        <v>230</v>
      </c>
      <c r="F184" s="0" t="n">
        <v>72</v>
      </c>
      <c r="G184" s="0" t="n">
        <v>253</v>
      </c>
      <c r="H184" s="0" t="n">
        <v>260</v>
      </c>
      <c r="I184" s="0" t="n">
        <v>2</v>
      </c>
      <c r="J184" s="0" t="n">
        <v>1</v>
      </c>
      <c r="K184" s="0" t="n">
        <v>1</v>
      </c>
      <c r="L184" s="0" t="n">
        <v>0</v>
      </c>
      <c r="M184" s="0" t="n">
        <f aca="false">VLOOKUP(A184,'Team Data'!$A$1:$P$140,2,FALSE())</f>
        <v>2</v>
      </c>
      <c r="N184" s="0" t="n">
        <f aca="false">VLOOKUP(A184,'Team Data'!$A$1:$P$140,3,FALSE())</f>
        <v>0</v>
      </c>
      <c r="O184" s="0" t="n">
        <f aca="false">VLOOKUP(B184,'Team Data'!$A$1:$P$140,2,FALSE())</f>
        <v>1</v>
      </c>
      <c r="P184" s="0" t="n">
        <f aca="false">VLOOKUP(B184,'Team Data'!$A$1:$P$140,3,FALSE())</f>
        <v>1</v>
      </c>
      <c r="Q184" s="0" t="n">
        <f aca="false">VLOOKUP(A184,'Team Data'!$A$1:$P$140,4,FALSE())</f>
        <v>6</v>
      </c>
      <c r="R184" s="0" t="n">
        <f aca="false">VLOOKUP(A184,'Team Data'!$A$1:$P$140,5,FALSE())</f>
        <v>81</v>
      </c>
      <c r="S184" s="0" t="n">
        <f aca="false">VLOOKUP(B184,'Team Data'!$A$1:$P$140,4,FALSE())</f>
        <v>7</v>
      </c>
      <c r="T184" s="0" t="n">
        <f aca="false">VLOOKUP(B184,'Team Data'!$A$1:$P$140,5,FALSE())</f>
        <v>80</v>
      </c>
      <c r="U184" s="0" t="n">
        <f aca="false">IF(K184=1,(MIN(35,(C184-D184)))*(O184/(O184+P184))*(S184/(S184+T184)),(MAX(-35,(C184-D184)))*(IF(P184=0,0.1,(P184/(O184+P184))))*(T184/(S184+T184)))</f>
        <v>0.563218390804598</v>
      </c>
      <c r="V184" s="0" t="n">
        <f aca="false">IF(L184=1,(MIN(35,(D184-C184)))*(M184/(M184+N184))*(Q184/(Q184+R184)),(MAX(-35,(D184-C184)))*(IF(N184=0,0.1,(N184/(M184+N184))))*(R184/(R184+Q184)))</f>
        <v>-1.30344827586207</v>
      </c>
    </row>
    <row r="185" customFormat="false" ht="15" hidden="false" customHeight="false" outlineLevel="0" collapsed="false">
      <c r="A185" s="0" t="s">
        <v>70</v>
      </c>
      <c r="B185" s="0" t="s">
        <v>63</v>
      </c>
      <c r="C185" s="0" t="n">
        <v>26</v>
      </c>
      <c r="D185" s="0" t="n">
        <v>28</v>
      </c>
      <c r="E185" s="0" t="n">
        <v>109</v>
      </c>
      <c r="F185" s="0" t="n">
        <v>129</v>
      </c>
      <c r="G185" s="0" t="n">
        <v>243</v>
      </c>
      <c r="H185" s="0" t="n">
        <v>181</v>
      </c>
      <c r="I185" s="0" t="n">
        <v>1</v>
      </c>
      <c r="J185" s="0" t="n">
        <v>1</v>
      </c>
      <c r="K185" s="0" t="n">
        <v>0</v>
      </c>
      <c r="L185" s="0" t="n">
        <v>1</v>
      </c>
      <c r="M185" s="0" t="n">
        <f aca="false">VLOOKUP(A185,'Team Data'!$A$1:$P$140,2,FALSE())</f>
        <v>1</v>
      </c>
      <c r="N185" s="0" t="n">
        <f aca="false">VLOOKUP(A185,'Team Data'!$A$1:$P$140,3,FALSE())</f>
        <v>1</v>
      </c>
      <c r="O185" s="0" t="n">
        <f aca="false">VLOOKUP(B185,'Team Data'!$A$1:$P$140,2,FALSE())</f>
        <v>1</v>
      </c>
      <c r="P185" s="0" t="n">
        <f aca="false">VLOOKUP(B185,'Team Data'!$A$1:$P$140,3,FALSE())</f>
        <v>1</v>
      </c>
      <c r="Q185" s="0" t="n">
        <f aca="false">VLOOKUP(A185,'Team Data'!$A$1:$P$140,4,FALSE())</f>
        <v>6</v>
      </c>
      <c r="R185" s="0" t="n">
        <f aca="false">VLOOKUP(A185,'Team Data'!$A$1:$P$140,5,FALSE())</f>
        <v>81</v>
      </c>
      <c r="S185" s="0" t="n">
        <f aca="false">VLOOKUP(B185,'Team Data'!$A$1:$P$140,4,FALSE())</f>
        <v>3</v>
      </c>
      <c r="T185" s="0" t="n">
        <f aca="false">VLOOKUP(B185,'Team Data'!$A$1:$P$140,5,FALSE())</f>
        <v>1</v>
      </c>
      <c r="U185" s="0" t="n">
        <f aca="false">IF(K185=1,(MIN(35,(C185-D185)))*(O185/(O185+P185))*(S185/(S185+T185)),(MAX(-35,(C185-D185)))*(IF(P185=0,0.1,(P185/(O185+P185))))*(T185/(S185+T185)))</f>
        <v>-0.25</v>
      </c>
      <c r="V185" s="0" t="n">
        <f aca="false">IF(L185=1,(MIN(35,(D185-C185)))*(M185/(M185+N185))*(Q185/(Q185+R185)),(MAX(-35,(D185-C185)))*(IF(N185=0,0.1,(N185/(M185+N185))))*(R185/(R185+Q185)))</f>
        <v>0.0689655172413793</v>
      </c>
    </row>
    <row r="186" customFormat="false" ht="15" hidden="false" customHeight="false" outlineLevel="0" collapsed="false">
      <c r="A186" s="0" t="s">
        <v>198</v>
      </c>
      <c r="B186" s="0" t="s">
        <v>74</v>
      </c>
      <c r="C186" s="0" t="n">
        <v>14</v>
      </c>
      <c r="D186" s="0" t="n">
        <v>48</v>
      </c>
      <c r="E186" s="0" t="n">
        <v>118</v>
      </c>
      <c r="F186" s="0" t="n">
        <v>264</v>
      </c>
      <c r="G186" s="0" t="n">
        <v>105</v>
      </c>
      <c r="H186" s="0" t="n">
        <v>320</v>
      </c>
      <c r="I186" s="0" t="n">
        <v>2</v>
      </c>
      <c r="J186" s="0" t="n">
        <v>0</v>
      </c>
      <c r="K186" s="0" t="n">
        <v>0</v>
      </c>
      <c r="L186" s="0" t="n">
        <v>1</v>
      </c>
      <c r="M186" s="0" t="n">
        <f aca="false">VLOOKUP(A186,'Team Data'!$A$1:$P$140,2,FALSE())</f>
        <v>5</v>
      </c>
      <c r="N186" s="0" t="n">
        <f aca="false">VLOOKUP(A186,'Team Data'!$A$1:$P$140,3,FALSE())</f>
        <v>80</v>
      </c>
      <c r="O186" s="0" t="n">
        <f aca="false">VLOOKUP(B186,'Team Data'!$A$1:$P$140,2,FALSE())</f>
        <v>1</v>
      </c>
      <c r="P186" s="0" t="n">
        <f aca="false">VLOOKUP(B186,'Team Data'!$A$1:$P$140,3,FALSE())</f>
        <v>1</v>
      </c>
      <c r="Q186" s="0" t="n">
        <f aca="false">VLOOKUP(A186,'Team Data'!$A$1:$P$140,4,FALSE())</f>
        <v>113</v>
      </c>
      <c r="R186" s="0" t="n">
        <f aca="false">VLOOKUP(A186,'Team Data'!$A$1:$P$140,5,FALSE())</f>
        <v>61</v>
      </c>
      <c r="S186" s="0" t="n">
        <f aca="false">VLOOKUP(B186,'Team Data'!$A$1:$P$140,4,FALSE())</f>
        <v>7</v>
      </c>
      <c r="T186" s="0" t="n">
        <f aca="false">VLOOKUP(B186,'Team Data'!$A$1:$P$140,5,FALSE())</f>
        <v>80</v>
      </c>
      <c r="U186" s="0" t="n">
        <f aca="false">IF(K186=1,(MIN(35,(C186-D186)))*(O186/(O186+P186))*(S186/(S186+T186)),(MAX(-35,(C186-D186)))*(IF(P186=0,0.1,(P186/(O186+P186))))*(T186/(S186+T186)))</f>
        <v>-15.632183908046</v>
      </c>
      <c r="V186" s="0" t="n">
        <f aca="false">IF(L186=1,(MIN(35,(D186-C186)))*(M186/(M186+N186))*(Q186/(Q186+R186)),(MAX(-35,(D186-C186)))*(IF(N186=0,0.1,(N186/(M186+N186))))*(R186/(R186+Q186)))</f>
        <v>1.29885057471264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2" min="2" style="0" width="10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  <c r="Q1" s="1"/>
      <c r="R1" s="1" t="s">
        <v>212</v>
      </c>
      <c r="S1" s="1" t="s">
        <v>213</v>
      </c>
      <c r="T1" s="1" t="s">
        <v>214</v>
      </c>
      <c r="U1" s="1" t="s">
        <v>215</v>
      </c>
      <c r="V1" s="1" t="s">
        <v>216</v>
      </c>
    </row>
    <row r="2" customFormat="false" ht="15" hidden="false" customHeight="false" outlineLevel="0" collapsed="false">
      <c r="A2" s="0" t="s">
        <v>6</v>
      </c>
      <c r="B2" s="0" t="n">
        <f aca="false">SUMIF(Games!$A$2:$A$186,$A2,Games!$K$2:$K$186)+SUMIF(Games!$B$2:$B$186,$A2,Games!$L$2:$L$186)</f>
        <v>1</v>
      </c>
      <c r="C2" s="0" t="n">
        <f aca="false">SUMIF(Games!$A$2:$A$186,$A2,Games!$L$2:$L$186)+SUMIF(Games!$B$2:$B$186,$A2,Games!$K$2:$K$186)</f>
        <v>1</v>
      </c>
      <c r="D2" s="0" t="n">
        <f aca="false">SUMIF(Games!$A$2:$A$186,$A2,Games!$O$2:$O$186)+SUMIF(Games!$B$2:$B$186,$A2,Games!$M$2:$M$186)</f>
        <v>8</v>
      </c>
      <c r="E2" s="0" t="n">
        <f aca="false">SUMIF(Games!$A$2:$A$186,$A2,Games!$P$2:$P$186)+SUMIF(Games!$B$2:$B$186,$A2,Games!$N$2:$N$186)</f>
        <v>80</v>
      </c>
      <c r="F2" s="0" t="n">
        <f aca="false">SUMIF(Games!$A$2:$A$186,$A2,Games!$S$2:$S$186)+SUMIF(Games!$B$2:$B$186,$A2,Games!$Q$2:$Q$186)</f>
        <v>120</v>
      </c>
      <c r="G2" s="0" t="n">
        <f aca="false">SUMIF(Games!$A$2:$A$186,$A2,Games!$T$2:$T$186)+SUMIF(Games!$B$2:$B$186,$A2,Games!$R$2:$R$186)</f>
        <v>144</v>
      </c>
      <c r="H2" s="0" t="n">
        <f aca="false">SUMIF(Games!$A$2:$A$186,$A2,Games!$U$2:$U$186)+SUMIF(Games!$B$2:$B$186,$A2,Games!$V$2:$V$186)</f>
        <v>0.74551724137931</v>
      </c>
      <c r="I2" s="0" t="n">
        <f aca="false">SUMIF(Games!$A$2:$A$186,$A2,Games!$E$2:$E$186)+SUMIF(Games!$B$2:$B$186,$A2,Games!$F$2:$F$186)</f>
        <v>638</v>
      </c>
      <c r="J2" s="0" t="n">
        <f aca="false">IFERROR(I2/(B2+C2),0)</f>
        <v>319</v>
      </c>
      <c r="K2" s="0" t="n">
        <f aca="false">SUMIF(Games!$A$2:$A$186,$A2,Games!$F$2:$F$186)+SUMIF(Games!$B$2:$B$186,$A2,Games!$E$2:$E$186)</f>
        <v>200</v>
      </c>
      <c r="L2" s="0" t="n">
        <f aca="false">SUMIF(Games!$A$2:$A$186,$A2,Games!$G$2:$G$186)+SUMIF(Games!$B$2:$B$186,$A2,Games!$H$2:$H$186)</f>
        <v>198</v>
      </c>
      <c r="M2" s="0" t="n">
        <f aca="false">IFERROR(L2/(B2+C2),0)</f>
        <v>99</v>
      </c>
      <c r="N2" s="0" t="n">
        <f aca="false">SUMIF(Games!$A$2:$A$186,$A2,Games!$H$2:$H$186)+SUMIF(Games!$B$2:$B$186,$A2,Games!$G$2:$G$186)</f>
        <v>281</v>
      </c>
      <c r="O2" s="0" t="n">
        <f aca="false">SUMIF(Games!$A$2:$A$186,$A2,Games!$I$2:$I$186)+SUMIF(Games!$B$2:$B$186,$A2,Games!$J$2:$J$186)</f>
        <v>1</v>
      </c>
      <c r="P2" s="0" t="n">
        <f aca="false">SUMIF(Games!$A$2:$A$186,$A2,Games!$J$2:$J$186)+SUMIF(Games!$B$2:$B$186,$A2,Games!$I$2:$I$186)</f>
        <v>3</v>
      </c>
      <c r="R2" s="0" t="n">
        <f aca="false">IFERROR((K2+N2)/(B2+C2),0)</f>
        <v>240.5</v>
      </c>
      <c r="S2" s="0" t="n">
        <f aca="false">P2-O2</f>
        <v>2</v>
      </c>
      <c r="T2" s="0" t="n">
        <f aca="false">IFERROR((D2/(D2+E2))*(F2/(F2+G2)),0)</f>
        <v>0.0413223140495868</v>
      </c>
      <c r="U2" s="0" t="n">
        <f aca="false">RANK(T2,T$2:T$139)</f>
        <v>86</v>
      </c>
      <c r="V2" s="0" t="n">
        <f aca="false">IFERROR((B2/(B2+C2))*25,0)+IFERROR((D2/(D2+E2))*25,0)+IFERROR((F2/(F2+G2))*10,0)+H2+((J2-RMEAN)/RDEV)*5+((M2-PMEAN)/PDEV)*5+((DMEAN-R2)/DDEV)*7+((S2-TOMEAN)/TODEV)*3</f>
        <v>30.2216152740554</v>
      </c>
    </row>
    <row r="3" customFormat="false" ht="15" hidden="false" customHeight="false" outlineLevel="0" collapsed="false">
      <c r="A3" s="0" t="s">
        <v>7</v>
      </c>
      <c r="B3" s="0" t="n">
        <f aca="false">SUMIF(Games!$A$2:$A$186,$A3,Games!$K$2:$K$186)+SUMIF(Games!$B$2:$B$186,$A3,Games!$L$2:$L$186)</f>
        <v>1</v>
      </c>
      <c r="C3" s="0" t="n">
        <f aca="false">SUMIF(Games!$A$2:$A$186,$A3,Games!$L$2:$L$186)+SUMIF(Games!$B$2:$B$186,$A3,Games!$K$2:$K$186)</f>
        <v>1</v>
      </c>
      <c r="D3" s="0" t="n">
        <f aca="false">SUMIF(Games!$A$2:$A$186,$A3,Games!$O$2:$O$186)+SUMIF(Games!$B$2:$B$186,$A3,Games!$M$2:$M$186)</f>
        <v>7</v>
      </c>
      <c r="E3" s="0" t="n">
        <f aca="false">SUMIF(Games!$A$2:$A$186,$A3,Games!$P$2:$P$186)+SUMIF(Games!$B$2:$B$186,$A3,Games!$N$2:$N$186)</f>
        <v>80</v>
      </c>
      <c r="F3" s="0" t="n">
        <f aca="false">SUMIF(Games!$A$2:$A$186,$A3,Games!$S$2:$S$186)+SUMIF(Games!$B$2:$B$186,$A3,Games!$Q$2:$Q$186)</f>
        <v>115</v>
      </c>
      <c r="G3" s="0" t="n">
        <f aca="false">SUMIF(Games!$A$2:$A$186,$A3,Games!$T$2:$T$186)+SUMIF(Games!$B$2:$B$186,$A3,Games!$R$2:$R$186)</f>
        <v>63</v>
      </c>
      <c r="H3" s="0" t="n">
        <f aca="false">SUMIF(Games!$A$2:$A$186,$A3,Games!$U$2:$U$186)+SUMIF(Games!$B$2:$B$186,$A3,Games!$V$2:$V$186)</f>
        <v>0.237052062204192</v>
      </c>
      <c r="I3" s="0" t="n">
        <f aca="false">SUMIF(Games!$A$2:$A$186,$A3,Games!$E$2:$E$186)+SUMIF(Games!$B$2:$B$186,$A3,Games!$F$2:$F$186)</f>
        <v>390</v>
      </c>
      <c r="J3" s="0" t="n">
        <f aca="false">IFERROR(I3/(B3+C3),0)</f>
        <v>195</v>
      </c>
      <c r="K3" s="0" t="n">
        <f aca="false">SUMIF(Games!$A$2:$A$186,$A3,Games!$F$2:$F$186)+SUMIF(Games!$B$2:$B$186,$A3,Games!$E$2:$E$186)</f>
        <v>217</v>
      </c>
      <c r="L3" s="0" t="n">
        <f aca="false">SUMIF(Games!$A$2:$A$186,$A3,Games!$G$2:$G$186)+SUMIF(Games!$B$2:$B$186,$A3,Games!$H$2:$H$186)</f>
        <v>438</v>
      </c>
      <c r="M3" s="0" t="n">
        <f aca="false">IFERROR(L3/(B3+C3),0)</f>
        <v>219</v>
      </c>
      <c r="N3" s="0" t="n">
        <f aca="false">SUMIF(Games!$A$2:$A$186,$A3,Games!$H$2:$H$186)+SUMIF(Games!$B$2:$B$186,$A3,Games!$G$2:$G$186)</f>
        <v>536</v>
      </c>
      <c r="O3" s="0" t="n">
        <f aca="false">SUMIF(Games!$A$2:$A$186,$A3,Games!$I$2:$I$186)+SUMIF(Games!$B$2:$B$186,$A3,Games!$J$2:$J$186)</f>
        <v>2</v>
      </c>
      <c r="P3" s="0" t="n">
        <f aca="false">SUMIF(Games!$A$2:$A$186,$A3,Games!$J$2:$J$186)+SUMIF(Games!$B$2:$B$186,$A3,Games!$I$2:$I$186)</f>
        <v>2</v>
      </c>
      <c r="R3" s="0" t="n">
        <f aca="false">IFERROR((K3+N3)/(B3+C3),0)</f>
        <v>376.5</v>
      </c>
      <c r="S3" s="0" t="n">
        <f aca="false">P3-O3</f>
        <v>0</v>
      </c>
      <c r="T3" s="0" t="n">
        <f aca="false">IFERROR((D3/(D3+E3))*(F3/(F3+G3)),0)</f>
        <v>0.0519824357484179</v>
      </c>
      <c r="U3" s="0" t="n">
        <f aca="false">RANK(T3,T$2:T$139)</f>
        <v>39</v>
      </c>
      <c r="V3" s="0" t="n">
        <f aca="false">IFERROR((B3/(B3+C3))*25,0)+IFERROR((D3/(D3+E3))*25,0)+IFERROR((F3/(F3+G3))*10,0)+H3+((J3-RMEAN)/RDEV)*5+((M3-PMEAN)/PDEV)*5+((DMEAN-R3)/DDEV)*7+((S3-TOMEAN)/TODEV)*3</f>
        <v>17.0292048696142</v>
      </c>
    </row>
    <row r="4" customFormat="false" ht="15" hidden="false" customHeight="false" outlineLevel="0" collapsed="false">
      <c r="A4" s="0" t="s">
        <v>8</v>
      </c>
      <c r="B4" s="0" t="n">
        <f aca="false">SUMIF(Games!$A$2:$A$186,$A4,Games!$K$2:$K$186)+SUMIF(Games!$B$2:$B$186,$A4,Games!$L$2:$L$186)</f>
        <v>2</v>
      </c>
      <c r="C4" s="0" t="n">
        <f aca="false">SUMIF(Games!$A$2:$A$186,$A4,Games!$L$2:$L$186)+SUMIF(Games!$B$2:$B$186,$A4,Games!$K$2:$K$186)</f>
        <v>0</v>
      </c>
      <c r="D4" s="0" t="n">
        <f aca="false">SUMIF(Games!$A$2:$A$186,$A4,Games!$O$2:$O$186)+SUMIF(Games!$B$2:$B$186,$A4,Games!$M$2:$M$186)</f>
        <v>1</v>
      </c>
      <c r="E4" s="0" t="n">
        <f aca="false">SUMIF(Games!$A$2:$A$186,$A4,Games!$P$2:$P$186)+SUMIF(Games!$B$2:$B$186,$A4,Games!$N$2:$N$186)</f>
        <v>3</v>
      </c>
      <c r="F4" s="0" t="n">
        <f aca="false">SUMIF(Games!$A$2:$A$186,$A4,Games!$S$2:$S$186)+SUMIF(Games!$B$2:$B$186,$A4,Games!$Q$2:$Q$186)</f>
        <v>11</v>
      </c>
      <c r="G4" s="0" t="n">
        <f aca="false">SUMIF(Games!$A$2:$A$186,$A4,Games!$T$2:$T$186)+SUMIF(Games!$B$2:$B$186,$A4,Games!$R$2:$R$186)</f>
        <v>80</v>
      </c>
      <c r="H4" s="0" t="n">
        <f aca="false">SUMIF(Games!$A$2:$A$186,$A4,Games!$U$2:$U$186)+SUMIF(Games!$B$2:$B$186,$A4,Games!$V$2:$V$186)</f>
        <v>1.1264367816092</v>
      </c>
      <c r="I4" s="0" t="n">
        <f aca="false">SUMIF(Games!$A$2:$A$186,$A4,Games!$E$2:$E$186)+SUMIF(Games!$B$2:$B$186,$A4,Games!$F$2:$F$186)</f>
        <v>382</v>
      </c>
      <c r="J4" s="0" t="n">
        <f aca="false">IFERROR(I4/(B4+C4),0)</f>
        <v>191</v>
      </c>
      <c r="K4" s="0" t="n">
        <f aca="false">SUMIF(Games!$A$2:$A$186,$A4,Games!$F$2:$F$186)+SUMIF(Games!$B$2:$B$186,$A4,Games!$E$2:$E$186)</f>
        <v>65</v>
      </c>
      <c r="L4" s="0" t="n">
        <f aca="false">SUMIF(Games!$A$2:$A$186,$A4,Games!$G$2:$G$186)+SUMIF(Games!$B$2:$B$186,$A4,Games!$H$2:$H$186)</f>
        <v>448</v>
      </c>
      <c r="M4" s="0" t="n">
        <f aca="false">IFERROR(L4/(B4+C4),0)</f>
        <v>224</v>
      </c>
      <c r="N4" s="0" t="n">
        <f aca="false">SUMIF(Games!$A$2:$A$186,$A4,Games!$H$2:$H$186)+SUMIF(Games!$B$2:$B$186,$A4,Games!$G$2:$G$186)</f>
        <v>306</v>
      </c>
      <c r="O4" s="0" t="n">
        <f aca="false">SUMIF(Games!$A$2:$A$186,$A4,Games!$I$2:$I$186)+SUMIF(Games!$B$2:$B$186,$A4,Games!$J$2:$J$186)</f>
        <v>4</v>
      </c>
      <c r="P4" s="0" t="n">
        <f aca="false">SUMIF(Games!$A$2:$A$186,$A4,Games!$J$2:$J$186)+SUMIF(Games!$B$2:$B$186,$A4,Games!$I$2:$I$186)</f>
        <v>4</v>
      </c>
      <c r="R4" s="0" t="n">
        <f aca="false">IFERROR((K4+N4)/(B4+C4),0)</f>
        <v>185.5</v>
      </c>
      <c r="S4" s="0" t="n">
        <f aca="false">P4-O4</f>
        <v>0</v>
      </c>
      <c r="T4" s="0" t="n">
        <f aca="false">IFERROR((D4/(D4+E4))*(F4/(F4+G4)),0)</f>
        <v>0.0302197802197802</v>
      </c>
      <c r="U4" s="0" t="n">
        <f aca="false">RANK(T4,T$2:T$139)</f>
        <v>132</v>
      </c>
      <c r="V4" s="0" t="n">
        <f aca="false">IFERROR((B4/(B4+C4))*25,0)+IFERROR((D4/(D4+E4))*25,0)+IFERROR((F4/(F4+G4))*10,0)+H4+((J4-RMEAN)/RDEV)*5+((M4-PMEAN)/PDEV)*5+((DMEAN-R4)/DDEV)*7+((S4-TOMEAN)/TODEV)*3</f>
        <v>44.6721297714686</v>
      </c>
    </row>
    <row r="5" customFormat="false" ht="15" hidden="false" customHeight="false" outlineLevel="0" collapsed="false">
      <c r="A5" s="0" t="s">
        <v>9</v>
      </c>
      <c r="B5" s="0" t="n">
        <f aca="false">SUMIF(Games!$A$2:$A$186,$A5,Games!$K$2:$K$186)+SUMIF(Games!$B$2:$B$186,$A5,Games!$L$2:$L$186)</f>
        <v>2</v>
      </c>
      <c r="C5" s="0" t="n">
        <f aca="false">SUMIF(Games!$A$2:$A$186,$A5,Games!$L$2:$L$186)+SUMIF(Games!$B$2:$B$186,$A5,Games!$K$2:$K$186)</f>
        <v>0</v>
      </c>
      <c r="D5" s="0" t="n">
        <f aca="false">SUMIF(Games!$A$2:$A$186,$A5,Games!$O$2:$O$186)+SUMIF(Games!$B$2:$B$186,$A5,Games!$M$2:$M$186)</f>
        <v>5</v>
      </c>
      <c r="E5" s="0" t="n">
        <f aca="false">SUMIF(Games!$A$2:$A$186,$A5,Games!$P$2:$P$186)+SUMIF(Games!$B$2:$B$186,$A5,Games!$N$2:$N$186)</f>
        <v>82</v>
      </c>
      <c r="F5" s="0" t="n">
        <f aca="false">SUMIF(Games!$A$2:$A$186,$A5,Games!$S$2:$S$186)+SUMIF(Games!$B$2:$B$186,$A5,Games!$Q$2:$Q$186)</f>
        <v>117</v>
      </c>
      <c r="G5" s="0" t="n">
        <f aca="false">SUMIF(Games!$A$2:$A$186,$A5,Games!$T$2:$T$186)+SUMIF(Games!$B$2:$B$186,$A5,Games!$R$2:$R$186)</f>
        <v>61</v>
      </c>
      <c r="H5" s="0" t="n">
        <f aca="false">SUMIF(Games!$A$2:$A$186,$A5,Games!$U$2:$U$186)+SUMIF(Games!$B$2:$B$186,$A5,Games!$V$2:$V$186)</f>
        <v>1.33705206220419</v>
      </c>
      <c r="I5" s="0" t="n">
        <f aca="false">SUMIF(Games!$A$2:$A$186,$A5,Games!$E$2:$E$186)+SUMIF(Games!$B$2:$B$186,$A5,Games!$F$2:$F$186)</f>
        <v>428</v>
      </c>
      <c r="J5" s="0" t="n">
        <f aca="false">IFERROR(I5/(B5+C5),0)</f>
        <v>214</v>
      </c>
      <c r="K5" s="0" t="n">
        <f aca="false">SUMIF(Games!$A$2:$A$186,$A5,Games!$F$2:$F$186)+SUMIF(Games!$B$2:$B$186,$A5,Games!$E$2:$E$186)</f>
        <v>239</v>
      </c>
      <c r="L5" s="0" t="n">
        <f aca="false">SUMIF(Games!$A$2:$A$186,$A5,Games!$G$2:$G$186)+SUMIF(Games!$B$2:$B$186,$A5,Games!$H$2:$H$186)</f>
        <v>615</v>
      </c>
      <c r="M5" s="0" t="n">
        <f aca="false">IFERROR(L5/(B5+C5),0)</f>
        <v>307.5</v>
      </c>
      <c r="N5" s="0" t="n">
        <f aca="false">SUMIF(Games!$A$2:$A$186,$A5,Games!$H$2:$H$186)+SUMIF(Games!$B$2:$B$186,$A5,Games!$G$2:$G$186)</f>
        <v>428</v>
      </c>
      <c r="O5" s="0" t="n">
        <f aca="false">SUMIF(Games!$A$2:$A$186,$A5,Games!$I$2:$I$186)+SUMIF(Games!$B$2:$B$186,$A5,Games!$J$2:$J$186)</f>
        <v>1</v>
      </c>
      <c r="P5" s="0" t="n">
        <f aca="false">SUMIF(Games!$A$2:$A$186,$A5,Games!$J$2:$J$186)+SUMIF(Games!$B$2:$B$186,$A5,Games!$I$2:$I$186)</f>
        <v>4</v>
      </c>
      <c r="R5" s="0" t="n">
        <f aca="false">IFERROR((K5+N5)/(B5+C5),0)</f>
        <v>333.5</v>
      </c>
      <c r="S5" s="0" t="n">
        <f aca="false">P5-O5</f>
        <v>3</v>
      </c>
      <c r="T5" s="0" t="n">
        <f aca="false">IFERROR((D5/(D5+E5))*(F5/(F5+G5)),0)</f>
        <v>0.0377760557923286</v>
      </c>
      <c r="U5" s="0" t="n">
        <f aca="false">RANK(T5,T$2:T$139)</f>
        <v>93</v>
      </c>
      <c r="V5" s="0" t="n">
        <f aca="false">IFERROR((B5/(B5+C5))*25,0)+IFERROR((D5/(D5+E5))*25,0)+IFERROR((F5/(F5+G5))*10,0)+H5+((J5-RMEAN)/RDEV)*5+((M5-PMEAN)/PDEV)*5+((DMEAN-R5)/DDEV)*7+((S5-TOMEAN)/TODEV)*3</f>
        <v>44.7202278423257</v>
      </c>
    </row>
    <row r="6" customFormat="false" ht="15" hidden="false" customHeight="false" outlineLevel="0" collapsed="false">
      <c r="A6" s="0" t="s">
        <v>10</v>
      </c>
      <c r="B6" s="0" t="n">
        <f aca="false">SUMIF(Games!$A$2:$A$186,$A6,Games!$K$2:$K$186)+SUMIF(Games!$B$2:$B$186,$A6,Games!$L$2:$L$186)</f>
        <v>1</v>
      </c>
      <c r="C6" s="0" t="n">
        <f aca="false">SUMIF(Games!$A$2:$A$186,$A6,Games!$L$2:$L$186)+SUMIF(Games!$B$2:$B$186,$A6,Games!$K$2:$K$186)</f>
        <v>1</v>
      </c>
      <c r="D6" s="0" t="n">
        <f aca="false">SUMIF(Games!$A$2:$A$186,$A6,Games!$O$2:$O$186)+SUMIF(Games!$B$2:$B$186,$A6,Games!$M$2:$M$186)</f>
        <v>7</v>
      </c>
      <c r="E6" s="0" t="n">
        <f aca="false">SUMIF(Games!$A$2:$A$186,$A6,Games!$P$2:$P$186)+SUMIF(Games!$B$2:$B$186,$A6,Games!$N$2:$N$186)</f>
        <v>80</v>
      </c>
      <c r="F6" s="0" t="n">
        <f aca="false">SUMIF(Games!$A$2:$A$186,$A6,Games!$S$2:$S$186)+SUMIF(Games!$B$2:$B$186,$A6,Games!$Q$2:$Q$186)</f>
        <v>119</v>
      </c>
      <c r="G6" s="0" t="n">
        <f aca="false">SUMIF(Games!$A$2:$A$186,$A6,Games!$T$2:$T$186)+SUMIF(Games!$B$2:$B$186,$A6,Games!$R$2:$R$186)</f>
        <v>142</v>
      </c>
      <c r="H6" s="0" t="n">
        <f aca="false">SUMIF(Games!$A$2:$A$186,$A6,Games!$U$2:$U$186)+SUMIF(Games!$B$2:$B$186,$A6,Games!$V$2:$V$186)</f>
        <v>0.0455037187288707</v>
      </c>
      <c r="I6" s="0" t="n">
        <f aca="false">SUMIF(Games!$A$2:$A$186,$A6,Games!$E$2:$E$186)+SUMIF(Games!$B$2:$B$186,$A6,Games!$F$2:$F$186)</f>
        <v>303</v>
      </c>
      <c r="J6" s="0" t="n">
        <f aca="false">IFERROR(I6/(B6+C6),0)</f>
        <v>151.5</v>
      </c>
      <c r="K6" s="0" t="n">
        <f aca="false">SUMIF(Games!$A$2:$A$186,$A6,Games!$F$2:$F$186)+SUMIF(Games!$B$2:$B$186,$A6,Games!$E$2:$E$186)</f>
        <v>141</v>
      </c>
      <c r="L6" s="0" t="n">
        <f aca="false">SUMIF(Games!$A$2:$A$186,$A6,Games!$G$2:$G$186)+SUMIF(Games!$B$2:$B$186,$A6,Games!$H$2:$H$186)</f>
        <v>544</v>
      </c>
      <c r="M6" s="0" t="n">
        <f aca="false">IFERROR(L6/(B6+C6),0)</f>
        <v>272</v>
      </c>
      <c r="N6" s="0" t="n">
        <f aca="false">SUMIF(Games!$A$2:$A$186,$A6,Games!$H$2:$H$186)+SUMIF(Games!$B$2:$B$186,$A6,Games!$G$2:$G$186)</f>
        <v>417</v>
      </c>
      <c r="O6" s="0" t="n">
        <f aca="false">SUMIF(Games!$A$2:$A$186,$A6,Games!$I$2:$I$186)+SUMIF(Games!$B$2:$B$186,$A6,Games!$J$2:$J$186)</f>
        <v>4</v>
      </c>
      <c r="P6" s="0" t="n">
        <f aca="false">SUMIF(Games!$A$2:$A$186,$A6,Games!$J$2:$J$186)+SUMIF(Games!$B$2:$B$186,$A6,Games!$I$2:$I$186)</f>
        <v>1</v>
      </c>
      <c r="R6" s="0" t="n">
        <f aca="false">IFERROR((K6+N6)/(B6+C6),0)</f>
        <v>279</v>
      </c>
      <c r="S6" s="0" t="n">
        <f aca="false">P6-O6</f>
        <v>-3</v>
      </c>
      <c r="T6" s="0" t="n">
        <f aca="false">IFERROR((D6/(D6+E6))*(F6/(F6+G6)),0)</f>
        <v>0.0366847227727133</v>
      </c>
      <c r="U6" s="0" t="n">
        <f aca="false">RANK(T6,T$2:T$139)</f>
        <v>104</v>
      </c>
      <c r="V6" s="0" t="n">
        <f aca="false">IFERROR((B6/(B6+C6))*25,0)+IFERROR((D6/(D6+E6))*25,0)+IFERROR((F6/(F6+G6))*10,0)+H6+((J6-RMEAN)/RDEV)*5+((M6-PMEAN)/PDEV)*5+((DMEAN-R6)/DDEV)*7+((S6-TOMEAN)/TODEV)*3</f>
        <v>19.4758525657564</v>
      </c>
    </row>
    <row r="7" customFormat="false" ht="15" hidden="false" customHeight="false" outlineLevel="0" collapsed="false">
      <c r="A7" s="0" t="s">
        <v>11</v>
      </c>
      <c r="B7" s="0" t="n">
        <f aca="false">SUMIF(Games!$A$2:$A$186,$A7,Games!$K$2:$K$186)+SUMIF(Games!$B$2:$B$186,$A7,Games!$L$2:$L$186)</f>
        <v>1</v>
      </c>
      <c r="C7" s="0" t="n">
        <f aca="false">SUMIF(Games!$A$2:$A$186,$A7,Games!$L$2:$L$186)+SUMIF(Games!$B$2:$B$186,$A7,Games!$K$2:$K$186)</f>
        <v>1</v>
      </c>
      <c r="D7" s="0" t="n">
        <f aca="false">SUMIF(Games!$A$2:$A$186,$A7,Games!$O$2:$O$186)+SUMIF(Games!$B$2:$B$186,$A7,Games!$M$2:$M$186)</f>
        <v>7</v>
      </c>
      <c r="E7" s="0" t="n">
        <f aca="false">SUMIF(Games!$A$2:$A$186,$A7,Games!$P$2:$P$186)+SUMIF(Games!$B$2:$B$186,$A7,Games!$N$2:$N$186)</f>
        <v>80</v>
      </c>
      <c r="F7" s="0" t="n">
        <f aca="false">SUMIF(Games!$A$2:$A$186,$A7,Games!$S$2:$S$186)+SUMIF(Games!$B$2:$B$186,$A7,Games!$Q$2:$Q$186)</f>
        <v>115</v>
      </c>
      <c r="G7" s="0" t="n">
        <f aca="false">SUMIF(Games!$A$2:$A$186,$A7,Games!$T$2:$T$186)+SUMIF(Games!$B$2:$B$186,$A7,Games!$R$2:$R$186)</f>
        <v>63</v>
      </c>
      <c r="H7" s="0" t="n">
        <f aca="false">SUMIF(Games!$A$2:$A$186,$A7,Games!$U$2:$U$186)+SUMIF(Games!$B$2:$B$186,$A7,Games!$V$2:$V$186)</f>
        <v>-0.0629479377958082</v>
      </c>
      <c r="I7" s="0" t="n">
        <f aca="false">SUMIF(Games!$A$2:$A$186,$A7,Games!$E$2:$E$186)+SUMIF(Games!$B$2:$B$186,$A7,Games!$F$2:$F$186)</f>
        <v>364</v>
      </c>
      <c r="J7" s="0" t="n">
        <f aca="false">IFERROR(I7/(B7+C7),0)</f>
        <v>182</v>
      </c>
      <c r="K7" s="0" t="n">
        <f aca="false">SUMIF(Games!$A$2:$A$186,$A7,Games!$F$2:$F$186)+SUMIF(Games!$B$2:$B$186,$A7,Games!$E$2:$E$186)</f>
        <v>194</v>
      </c>
      <c r="L7" s="0" t="n">
        <f aca="false">SUMIF(Games!$A$2:$A$186,$A7,Games!$G$2:$G$186)+SUMIF(Games!$B$2:$B$186,$A7,Games!$H$2:$H$186)</f>
        <v>686</v>
      </c>
      <c r="M7" s="0" t="n">
        <f aca="false">IFERROR(L7/(B7+C7),0)</f>
        <v>343</v>
      </c>
      <c r="N7" s="0" t="n">
        <f aca="false">SUMIF(Games!$A$2:$A$186,$A7,Games!$H$2:$H$186)+SUMIF(Games!$B$2:$B$186,$A7,Games!$G$2:$G$186)</f>
        <v>249</v>
      </c>
      <c r="O7" s="0" t="n">
        <f aca="false">SUMIF(Games!$A$2:$A$186,$A7,Games!$I$2:$I$186)+SUMIF(Games!$B$2:$B$186,$A7,Games!$J$2:$J$186)</f>
        <v>5</v>
      </c>
      <c r="P7" s="0" t="n">
        <f aca="false">SUMIF(Games!$A$2:$A$186,$A7,Games!$J$2:$J$186)+SUMIF(Games!$B$2:$B$186,$A7,Games!$I$2:$I$186)</f>
        <v>1</v>
      </c>
      <c r="R7" s="0" t="n">
        <f aca="false">IFERROR((K7+N7)/(B7+C7),0)</f>
        <v>221.5</v>
      </c>
      <c r="S7" s="0" t="n">
        <f aca="false">P7-O7</f>
        <v>-4</v>
      </c>
      <c r="T7" s="0" t="n">
        <f aca="false">IFERROR((D7/(D7+E7))*(F7/(F7+G7)),0)</f>
        <v>0.0519824357484179</v>
      </c>
      <c r="U7" s="0" t="n">
        <f aca="false">RANK(T7,T$2:T$139)</f>
        <v>39</v>
      </c>
      <c r="V7" s="0" t="n">
        <f aca="false">IFERROR((B7/(B7+C7))*25,0)+IFERROR((D7/(D7+E7))*25,0)+IFERROR((F7/(F7+G7))*10,0)+H7+((J7-RMEAN)/RDEV)*5+((M7-PMEAN)/PDEV)*5+((DMEAN-R7)/DDEV)*7+((S7-TOMEAN)/TODEV)*3</f>
        <v>31.8444779867218</v>
      </c>
    </row>
    <row r="8" customFormat="false" ht="15" hidden="false" customHeight="false" outlineLevel="0" collapsed="false">
      <c r="A8" s="0" t="s">
        <v>12</v>
      </c>
      <c r="B8" s="0" t="n">
        <f aca="false">SUMIF(Games!$A$2:$A$186,$A8,Games!$K$2:$K$186)+SUMIF(Games!$B$2:$B$186,$A8,Games!$L$2:$L$186)</f>
        <v>1</v>
      </c>
      <c r="C8" s="0" t="n">
        <f aca="false">SUMIF(Games!$A$2:$A$186,$A8,Games!$L$2:$L$186)+SUMIF(Games!$B$2:$B$186,$A8,Games!$K$2:$K$186)</f>
        <v>1</v>
      </c>
      <c r="D8" s="0" t="n">
        <f aca="false">SUMIF(Games!$A$2:$A$186,$A8,Games!$O$2:$O$186)+SUMIF(Games!$B$2:$B$186,$A8,Games!$M$2:$M$186)</f>
        <v>7</v>
      </c>
      <c r="E8" s="0" t="n">
        <f aca="false">SUMIF(Games!$A$2:$A$186,$A8,Games!$P$2:$P$186)+SUMIF(Games!$B$2:$B$186,$A8,Games!$N$2:$N$186)</f>
        <v>80</v>
      </c>
      <c r="F8" s="0" t="n">
        <f aca="false">SUMIF(Games!$A$2:$A$186,$A8,Games!$S$2:$S$186)+SUMIF(Games!$B$2:$B$186,$A8,Games!$Q$2:$Q$186)</f>
        <v>119</v>
      </c>
      <c r="G8" s="0" t="n">
        <f aca="false">SUMIF(Games!$A$2:$A$186,$A8,Games!$T$2:$T$186)+SUMIF(Games!$B$2:$B$186,$A8,Games!$R$2:$R$186)</f>
        <v>142</v>
      </c>
      <c r="H8" s="0" t="n">
        <f aca="false">SUMIF(Games!$A$2:$A$186,$A8,Games!$U$2:$U$186)+SUMIF(Games!$B$2:$B$186,$A8,Games!$V$2:$V$186)</f>
        <v>-2.42298850574713</v>
      </c>
      <c r="I8" s="0" t="n">
        <f aca="false">SUMIF(Games!$A$2:$A$186,$A8,Games!$E$2:$E$186)+SUMIF(Games!$B$2:$B$186,$A8,Games!$F$2:$F$186)</f>
        <v>209</v>
      </c>
      <c r="J8" s="0" t="n">
        <f aca="false">IFERROR(I8/(B8+C8),0)</f>
        <v>104.5</v>
      </c>
      <c r="K8" s="0" t="n">
        <f aca="false">SUMIF(Games!$A$2:$A$186,$A8,Games!$F$2:$F$186)+SUMIF(Games!$B$2:$B$186,$A8,Games!$E$2:$E$186)</f>
        <v>181</v>
      </c>
      <c r="L8" s="0" t="n">
        <f aca="false">SUMIF(Games!$A$2:$A$186,$A8,Games!$G$2:$G$186)+SUMIF(Games!$B$2:$B$186,$A8,Games!$H$2:$H$186)</f>
        <v>511</v>
      </c>
      <c r="M8" s="0" t="n">
        <f aca="false">IFERROR(L8/(B8+C8),0)</f>
        <v>255.5</v>
      </c>
      <c r="N8" s="0" t="n">
        <f aca="false">SUMIF(Games!$A$2:$A$186,$A8,Games!$H$2:$H$186)+SUMIF(Games!$B$2:$B$186,$A8,Games!$G$2:$G$186)</f>
        <v>414</v>
      </c>
      <c r="O8" s="0" t="n">
        <f aca="false">SUMIF(Games!$A$2:$A$186,$A8,Games!$I$2:$I$186)+SUMIF(Games!$B$2:$B$186,$A8,Games!$J$2:$J$186)</f>
        <v>4</v>
      </c>
      <c r="P8" s="0" t="n">
        <f aca="false">SUMIF(Games!$A$2:$A$186,$A8,Games!$J$2:$J$186)+SUMIF(Games!$B$2:$B$186,$A8,Games!$I$2:$I$186)</f>
        <v>2</v>
      </c>
      <c r="R8" s="0" t="n">
        <f aca="false">IFERROR((K8+N8)/(B8+C8),0)</f>
        <v>297.5</v>
      </c>
      <c r="S8" s="0" t="n">
        <f aca="false">P8-O8</f>
        <v>-2</v>
      </c>
      <c r="T8" s="0" t="n">
        <f aca="false">IFERROR((D8/(D8+E8))*(F8/(F8+G8)),0)</f>
        <v>0.0366847227727133</v>
      </c>
      <c r="U8" s="0" t="n">
        <f aca="false">RANK(T8,T$2:T$139)</f>
        <v>104</v>
      </c>
      <c r="V8" s="0" t="n">
        <f aca="false">IFERROR((B8/(B8+C8))*25,0)+IFERROR((D8/(D8+E8))*25,0)+IFERROR((F8/(F8+G8))*10,0)+H8+((J8-RMEAN)/RDEV)*5+((M8-PMEAN)/PDEV)*5+((DMEAN-R8)/DDEV)*7+((S8-TOMEAN)/TODEV)*3</f>
        <v>12.0472529973168</v>
      </c>
    </row>
    <row r="9" customFormat="false" ht="15" hidden="false" customHeight="false" outlineLevel="0" collapsed="false">
      <c r="A9" s="0" t="s">
        <v>13</v>
      </c>
      <c r="B9" s="0" t="n">
        <f aca="false">SUMIF(Games!$A$2:$A$186,$A9,Games!$K$2:$K$186)+SUMIF(Games!$B$2:$B$186,$A9,Games!$L$2:$L$186)</f>
        <v>1</v>
      </c>
      <c r="C9" s="0" t="n">
        <f aca="false">SUMIF(Games!$A$2:$A$186,$A9,Games!$L$2:$L$186)+SUMIF(Games!$B$2:$B$186,$A9,Games!$K$2:$K$186)</f>
        <v>1</v>
      </c>
      <c r="D9" s="0" t="n">
        <f aca="false">SUMIF(Games!$A$2:$A$186,$A9,Games!$O$2:$O$186)+SUMIF(Games!$B$2:$B$186,$A9,Games!$M$2:$M$186)</f>
        <v>7</v>
      </c>
      <c r="E9" s="0" t="n">
        <f aca="false">SUMIF(Games!$A$2:$A$186,$A9,Games!$P$2:$P$186)+SUMIF(Games!$B$2:$B$186,$A9,Games!$N$2:$N$186)</f>
        <v>81</v>
      </c>
      <c r="F9" s="0" t="n">
        <f aca="false">SUMIF(Games!$A$2:$A$186,$A9,Games!$S$2:$S$186)+SUMIF(Games!$B$2:$B$186,$A9,Games!$Q$2:$Q$186)</f>
        <v>116</v>
      </c>
      <c r="G9" s="0" t="n">
        <f aca="false">SUMIF(Games!$A$2:$A$186,$A9,Games!$T$2:$T$186)+SUMIF(Games!$B$2:$B$186,$A9,Games!$R$2:$R$186)</f>
        <v>65</v>
      </c>
      <c r="H9" s="0" t="n">
        <f aca="false">SUMIF(Games!$A$2:$A$186,$A9,Games!$U$2:$U$186)+SUMIF(Games!$B$2:$B$186,$A9,Games!$V$2:$V$186)</f>
        <v>-2.09151936636724</v>
      </c>
      <c r="I9" s="0" t="n">
        <f aca="false">SUMIF(Games!$A$2:$A$186,$A9,Games!$E$2:$E$186)+SUMIF(Games!$B$2:$B$186,$A9,Games!$F$2:$F$186)</f>
        <v>365</v>
      </c>
      <c r="J9" s="0" t="n">
        <f aca="false">IFERROR(I9/(B9+C9),0)</f>
        <v>182.5</v>
      </c>
      <c r="K9" s="0" t="n">
        <f aca="false">SUMIF(Games!$A$2:$A$186,$A9,Games!$F$2:$F$186)+SUMIF(Games!$B$2:$B$186,$A9,Games!$E$2:$E$186)</f>
        <v>407</v>
      </c>
      <c r="L9" s="0" t="n">
        <f aca="false">SUMIF(Games!$A$2:$A$186,$A9,Games!$G$2:$G$186)+SUMIF(Games!$B$2:$B$186,$A9,Games!$H$2:$H$186)</f>
        <v>460</v>
      </c>
      <c r="M9" s="0" t="n">
        <f aca="false">IFERROR(L9/(B9+C9),0)</f>
        <v>230</v>
      </c>
      <c r="N9" s="0" t="n">
        <f aca="false">SUMIF(Games!$A$2:$A$186,$A9,Games!$H$2:$H$186)+SUMIF(Games!$B$2:$B$186,$A9,Games!$G$2:$G$186)</f>
        <v>362</v>
      </c>
      <c r="O9" s="0" t="n">
        <f aca="false">SUMIF(Games!$A$2:$A$186,$A9,Games!$I$2:$I$186)+SUMIF(Games!$B$2:$B$186,$A9,Games!$J$2:$J$186)</f>
        <v>5</v>
      </c>
      <c r="P9" s="0" t="n">
        <f aca="false">SUMIF(Games!$A$2:$A$186,$A9,Games!$J$2:$J$186)+SUMIF(Games!$B$2:$B$186,$A9,Games!$I$2:$I$186)</f>
        <v>6</v>
      </c>
      <c r="R9" s="0" t="n">
        <f aca="false">IFERROR((K9+N9)/(B9+C9),0)</f>
        <v>384.5</v>
      </c>
      <c r="S9" s="0" t="n">
        <f aca="false">P9-O9</f>
        <v>1</v>
      </c>
      <c r="T9" s="0" t="n">
        <f aca="false">IFERROR((D9/(D9+E9))*(F9/(F9+G9)),0)</f>
        <v>0.0509794073329985</v>
      </c>
      <c r="U9" s="0" t="n">
        <f aca="false">RANK(T9,T$2:T$139)</f>
        <v>64</v>
      </c>
      <c r="V9" s="0" t="n">
        <f aca="false">IFERROR((B9/(B9+C9))*25,0)+IFERROR((D9/(D9+E9))*25,0)+IFERROR((F9/(F9+G9))*10,0)+H9+((J9-RMEAN)/RDEV)*5+((M9-PMEAN)/PDEV)*5+((DMEAN-R9)/DDEV)*7+((S9-TOMEAN)/TODEV)*3</f>
        <v>15.0011036578401</v>
      </c>
    </row>
    <row r="10" customFormat="false" ht="15" hidden="false" customHeight="false" outlineLevel="0" collapsed="false">
      <c r="A10" s="0" t="s">
        <v>14</v>
      </c>
      <c r="B10" s="0" t="n">
        <f aca="false">SUMIF(Games!$A$2:$A$186,$A10,Games!$K$2:$K$186)+SUMIF(Games!$B$2:$B$186,$A10,Games!$L$2:$L$186)</f>
        <v>1</v>
      </c>
      <c r="C10" s="0" t="n">
        <f aca="false">SUMIF(Games!$A$2:$A$186,$A10,Games!$L$2:$L$186)+SUMIF(Games!$B$2:$B$186,$A10,Games!$K$2:$K$186)</f>
        <v>1</v>
      </c>
      <c r="D10" s="0" t="n">
        <f aca="false">SUMIF(Games!$A$2:$A$186,$A10,Games!$O$2:$O$186)+SUMIF(Games!$B$2:$B$186,$A10,Games!$M$2:$M$186)</f>
        <v>7</v>
      </c>
      <c r="E10" s="0" t="n">
        <f aca="false">SUMIF(Games!$A$2:$A$186,$A10,Games!$P$2:$P$186)+SUMIF(Games!$B$2:$B$186,$A10,Games!$N$2:$N$186)</f>
        <v>80</v>
      </c>
      <c r="F10" s="0" t="n">
        <f aca="false">SUMIF(Games!$A$2:$A$186,$A10,Games!$S$2:$S$186)+SUMIF(Games!$B$2:$B$186,$A10,Games!$Q$2:$Q$186)</f>
        <v>115</v>
      </c>
      <c r="G10" s="0" t="n">
        <f aca="false">SUMIF(Games!$A$2:$A$186,$A10,Games!$T$2:$T$186)+SUMIF(Games!$B$2:$B$186,$A10,Games!$R$2:$R$186)</f>
        <v>63</v>
      </c>
      <c r="H10" s="0" t="n">
        <f aca="false">SUMIF(Games!$A$2:$A$186,$A10,Games!$U$2:$U$186)+SUMIF(Games!$B$2:$B$186,$A10,Games!$V$2:$V$186)</f>
        <v>1.13705206220419</v>
      </c>
      <c r="I10" s="0" t="n">
        <f aca="false">SUMIF(Games!$A$2:$A$186,$A10,Games!$E$2:$E$186)+SUMIF(Games!$B$2:$B$186,$A10,Games!$F$2:$F$186)</f>
        <v>788</v>
      </c>
      <c r="J10" s="0" t="n">
        <f aca="false">IFERROR(I10/(B10+C10),0)</f>
        <v>394</v>
      </c>
      <c r="K10" s="0" t="n">
        <f aca="false">SUMIF(Games!$A$2:$A$186,$A10,Games!$F$2:$F$186)+SUMIF(Games!$B$2:$B$186,$A10,Games!$E$2:$E$186)</f>
        <v>197</v>
      </c>
      <c r="L10" s="0" t="n">
        <f aca="false">SUMIF(Games!$A$2:$A$186,$A10,Games!$G$2:$G$186)+SUMIF(Games!$B$2:$B$186,$A10,Games!$H$2:$H$186)</f>
        <v>207</v>
      </c>
      <c r="M10" s="0" t="n">
        <f aca="false">IFERROR(L10/(B10+C10),0)</f>
        <v>103.5</v>
      </c>
      <c r="N10" s="0" t="n">
        <f aca="false">SUMIF(Games!$A$2:$A$186,$A10,Games!$H$2:$H$186)+SUMIF(Games!$B$2:$B$186,$A10,Games!$G$2:$G$186)</f>
        <v>337</v>
      </c>
      <c r="O10" s="0" t="n">
        <f aca="false">SUMIF(Games!$A$2:$A$186,$A10,Games!$I$2:$I$186)+SUMIF(Games!$B$2:$B$186,$A10,Games!$J$2:$J$186)</f>
        <v>1</v>
      </c>
      <c r="P10" s="0" t="n">
        <f aca="false">SUMIF(Games!$A$2:$A$186,$A10,Games!$J$2:$J$186)+SUMIF(Games!$B$2:$B$186,$A10,Games!$I$2:$I$186)</f>
        <v>0</v>
      </c>
      <c r="R10" s="0" t="n">
        <f aca="false">IFERROR((K10+N10)/(B10+C10),0)</f>
        <v>267</v>
      </c>
      <c r="S10" s="0" t="n">
        <f aca="false">P10-O10</f>
        <v>-1</v>
      </c>
      <c r="T10" s="0" t="n">
        <f aca="false">IFERROR((D10/(D10+E10))*(F10/(F10+G10)),0)</f>
        <v>0.0519824357484179</v>
      </c>
      <c r="U10" s="0" t="n">
        <f aca="false">RANK(T10,T$2:T$139)</f>
        <v>39</v>
      </c>
      <c r="V10" s="0" t="n">
        <f aca="false">IFERROR((B10/(B10+C10))*25,0)+IFERROR((D10/(D10+E10))*25,0)+IFERROR((F10/(F10+G10))*10,0)+H10+((J10-RMEAN)/RDEV)*5+((M10-PMEAN)/PDEV)*5+((DMEAN-R10)/DDEV)*7+((S10-TOMEAN)/TODEV)*3</f>
        <v>32.5296763487594</v>
      </c>
    </row>
    <row r="11" customFormat="false" ht="15" hidden="false" customHeight="false" outlineLevel="0" collapsed="false">
      <c r="A11" s="0" t="s">
        <v>15</v>
      </c>
      <c r="B11" s="0" t="n">
        <f aca="false">SUMIF(Games!$A$2:$A$186,$A11,Games!$K$2:$K$186)+SUMIF(Games!$B$2:$B$186,$A11,Games!$L$2:$L$186)</f>
        <v>2</v>
      </c>
      <c r="C11" s="0" t="n">
        <f aca="false">SUMIF(Games!$A$2:$A$186,$A11,Games!$L$2:$L$186)+SUMIF(Games!$B$2:$B$186,$A11,Games!$K$2:$K$186)</f>
        <v>0</v>
      </c>
      <c r="D11" s="0" t="n">
        <f aca="false">SUMIF(Games!$A$2:$A$186,$A11,Games!$O$2:$O$186)+SUMIF(Games!$B$2:$B$186,$A11,Games!$M$2:$M$186)</f>
        <v>2</v>
      </c>
      <c r="E11" s="0" t="n">
        <f aca="false">SUMIF(Games!$A$2:$A$186,$A11,Games!$P$2:$P$186)+SUMIF(Games!$B$2:$B$186,$A11,Games!$N$2:$N$186)</f>
        <v>2</v>
      </c>
      <c r="F11" s="0" t="n">
        <f aca="false">SUMIF(Games!$A$2:$A$186,$A11,Games!$S$2:$S$186)+SUMIF(Games!$B$2:$B$186,$A11,Games!$Q$2:$Q$186)</f>
        <v>14</v>
      </c>
      <c r="G11" s="0" t="n">
        <f aca="false">SUMIF(Games!$A$2:$A$186,$A11,Games!$T$2:$T$186)+SUMIF(Games!$B$2:$B$186,$A11,Games!$R$2:$R$186)</f>
        <v>160</v>
      </c>
      <c r="H11" s="0" t="n">
        <f aca="false">SUMIF(Games!$A$2:$A$186,$A11,Games!$U$2:$U$186)+SUMIF(Games!$B$2:$B$186,$A11,Games!$V$2:$V$186)</f>
        <v>1.44827586206897</v>
      </c>
      <c r="I11" s="0" t="n">
        <f aca="false">SUMIF(Games!$A$2:$A$186,$A11,Games!$E$2:$E$186)+SUMIF(Games!$B$2:$B$186,$A11,Games!$F$2:$F$186)</f>
        <v>473</v>
      </c>
      <c r="J11" s="0" t="n">
        <f aca="false">IFERROR(I11/(B11+C11),0)</f>
        <v>236.5</v>
      </c>
      <c r="K11" s="0" t="n">
        <f aca="false">SUMIF(Games!$A$2:$A$186,$A11,Games!$F$2:$F$186)+SUMIF(Games!$B$2:$B$186,$A11,Games!$E$2:$E$186)</f>
        <v>153</v>
      </c>
      <c r="L11" s="0" t="n">
        <f aca="false">SUMIF(Games!$A$2:$A$186,$A11,Games!$G$2:$G$186)+SUMIF(Games!$B$2:$B$186,$A11,Games!$H$2:$H$186)</f>
        <v>526</v>
      </c>
      <c r="M11" s="0" t="n">
        <f aca="false">IFERROR(L11/(B11+C11),0)</f>
        <v>263</v>
      </c>
      <c r="N11" s="0" t="n">
        <f aca="false">SUMIF(Games!$A$2:$A$186,$A11,Games!$H$2:$H$186)+SUMIF(Games!$B$2:$B$186,$A11,Games!$G$2:$G$186)</f>
        <v>504</v>
      </c>
      <c r="O11" s="0" t="n">
        <f aca="false">SUMIF(Games!$A$2:$A$186,$A11,Games!$I$2:$I$186)+SUMIF(Games!$B$2:$B$186,$A11,Games!$J$2:$J$186)</f>
        <v>4</v>
      </c>
      <c r="P11" s="0" t="n">
        <f aca="false">SUMIF(Games!$A$2:$A$186,$A11,Games!$J$2:$J$186)+SUMIF(Games!$B$2:$B$186,$A11,Games!$I$2:$I$186)</f>
        <v>4</v>
      </c>
      <c r="R11" s="0" t="n">
        <f aca="false">IFERROR((K11+N11)/(B11+C11),0)</f>
        <v>328.5</v>
      </c>
      <c r="S11" s="0" t="n">
        <f aca="false">P11-O11</f>
        <v>0</v>
      </c>
      <c r="T11" s="0" t="n">
        <f aca="false">IFERROR((D11/(D11+E11))*(F11/(F11+G11)),0)</f>
        <v>0.0402298850574713</v>
      </c>
      <c r="U11" s="0" t="n">
        <f aca="false">RANK(T11,T$2:T$139)</f>
        <v>87</v>
      </c>
      <c r="V11" s="0" t="n">
        <f aca="false">IFERROR((B11/(B11+C11))*25,0)+IFERROR((D11/(D11+E11))*25,0)+IFERROR((F11/(F11+G11))*10,0)+H11+((J11-RMEAN)/RDEV)*5+((M11-PMEAN)/PDEV)*5+((DMEAN-R11)/DDEV)*7+((S11-TOMEAN)/TODEV)*3</f>
        <v>45.5619010612629</v>
      </c>
    </row>
    <row r="12" customFormat="false" ht="15" hidden="false" customHeight="false" outlineLevel="0" collapsed="false">
      <c r="A12" s="0" t="s">
        <v>16</v>
      </c>
      <c r="B12" s="0" t="n">
        <f aca="false">SUMIF(Games!$A$2:$A$186,$A12,Games!$K$2:$K$186)+SUMIF(Games!$B$2:$B$186,$A12,Games!$L$2:$L$186)</f>
        <v>2</v>
      </c>
      <c r="C12" s="0" t="n">
        <f aca="false">SUMIF(Games!$A$2:$A$186,$A12,Games!$L$2:$L$186)+SUMIF(Games!$B$2:$B$186,$A12,Games!$K$2:$K$186)</f>
        <v>0</v>
      </c>
      <c r="D12" s="0" t="n">
        <f aca="false">SUMIF(Games!$A$2:$A$186,$A12,Games!$O$2:$O$186)+SUMIF(Games!$B$2:$B$186,$A12,Games!$M$2:$M$186)</f>
        <v>6</v>
      </c>
      <c r="E12" s="0" t="n">
        <f aca="false">SUMIF(Games!$A$2:$A$186,$A12,Games!$P$2:$P$186)+SUMIF(Games!$B$2:$B$186,$A12,Games!$N$2:$N$186)</f>
        <v>81</v>
      </c>
      <c r="F12" s="0" t="n">
        <f aca="false">SUMIF(Games!$A$2:$A$186,$A12,Games!$S$2:$S$186)+SUMIF(Games!$B$2:$B$186,$A12,Games!$Q$2:$Q$186)</f>
        <v>120</v>
      </c>
      <c r="G12" s="0" t="n">
        <f aca="false">SUMIF(Games!$A$2:$A$186,$A12,Games!$T$2:$T$186)+SUMIF(Games!$B$2:$B$186,$A12,Games!$R$2:$R$186)</f>
        <v>141</v>
      </c>
      <c r="H12" s="0" t="n">
        <f aca="false">SUMIF(Games!$A$2:$A$186,$A12,Games!$U$2:$U$186)+SUMIF(Games!$B$2:$B$186,$A12,Games!$V$2:$V$186)</f>
        <v>1.77958079783638</v>
      </c>
      <c r="I12" s="0" t="n">
        <f aca="false">SUMIF(Games!$A$2:$A$186,$A12,Games!$E$2:$E$186)+SUMIF(Games!$B$2:$B$186,$A12,Games!$F$2:$F$186)</f>
        <v>456</v>
      </c>
      <c r="J12" s="0" t="n">
        <f aca="false">IFERROR(I12/(B12+C12),0)</f>
        <v>228</v>
      </c>
      <c r="K12" s="0" t="n">
        <f aca="false">SUMIF(Games!$A$2:$A$186,$A12,Games!$F$2:$F$186)+SUMIF(Games!$B$2:$B$186,$A12,Games!$E$2:$E$186)</f>
        <v>146</v>
      </c>
      <c r="L12" s="0" t="n">
        <f aca="false">SUMIF(Games!$A$2:$A$186,$A12,Games!$G$2:$G$186)+SUMIF(Games!$B$2:$B$186,$A12,Games!$H$2:$H$186)</f>
        <v>430</v>
      </c>
      <c r="M12" s="0" t="n">
        <f aca="false">IFERROR(L12/(B12+C12),0)</f>
        <v>215</v>
      </c>
      <c r="N12" s="0" t="n">
        <f aca="false">SUMIF(Games!$A$2:$A$186,$A12,Games!$H$2:$H$186)+SUMIF(Games!$B$2:$B$186,$A12,Games!$G$2:$G$186)</f>
        <v>365</v>
      </c>
      <c r="O12" s="0" t="n">
        <f aca="false">SUMIF(Games!$A$2:$A$186,$A12,Games!$I$2:$I$186)+SUMIF(Games!$B$2:$B$186,$A12,Games!$J$2:$J$186)</f>
        <v>0</v>
      </c>
      <c r="P12" s="0" t="n">
        <f aca="false">SUMIF(Games!$A$2:$A$186,$A12,Games!$J$2:$J$186)+SUMIF(Games!$B$2:$B$186,$A12,Games!$I$2:$I$186)</f>
        <v>5</v>
      </c>
      <c r="R12" s="0" t="n">
        <f aca="false">IFERROR((K12+N12)/(B12+C12),0)</f>
        <v>255.5</v>
      </c>
      <c r="S12" s="0" t="n">
        <f aca="false">P12-O12</f>
        <v>5</v>
      </c>
      <c r="T12" s="0" t="n">
        <f aca="false">IFERROR((D12/(D12+E12))*(F12/(F12+G12)),0)</f>
        <v>0.0317082837891399</v>
      </c>
      <c r="U12" s="0" t="n">
        <f aca="false">RANK(T12,T$2:T$139)</f>
        <v>118</v>
      </c>
      <c r="V12" s="0" t="n">
        <f aca="false">IFERROR((B12/(B12+C12))*25,0)+IFERROR((D12/(D12+E12))*25,0)+IFERROR((F12/(F12+G12))*10,0)+H12+((J12-RMEAN)/RDEV)*5+((M12-PMEAN)/PDEV)*5+((DMEAN-R12)/DDEV)*7+((S12-TOMEAN)/TODEV)*3</f>
        <v>46.7781578687187</v>
      </c>
    </row>
    <row r="13" customFormat="false" ht="15" hidden="false" customHeight="false" outlineLevel="0" collapsed="false">
      <c r="A13" s="0" t="s">
        <v>17</v>
      </c>
      <c r="B13" s="0" t="n">
        <f aca="false">SUMIF(Games!$A$2:$A$186,$A13,Games!$K$2:$K$186)+SUMIF(Games!$B$2:$B$186,$A13,Games!$L$2:$L$186)</f>
        <v>1</v>
      </c>
      <c r="C13" s="0" t="n">
        <f aca="false">SUMIF(Games!$A$2:$A$186,$A13,Games!$L$2:$L$186)+SUMIF(Games!$B$2:$B$186,$A13,Games!$K$2:$K$186)</f>
        <v>1</v>
      </c>
      <c r="D13" s="0" t="n">
        <f aca="false">SUMIF(Games!$A$2:$A$186,$A13,Games!$O$2:$O$186)+SUMIF(Games!$B$2:$B$186,$A13,Games!$M$2:$M$186)</f>
        <v>6</v>
      </c>
      <c r="E13" s="0" t="n">
        <f aca="false">SUMIF(Games!$A$2:$A$186,$A13,Games!$P$2:$P$186)+SUMIF(Games!$B$2:$B$186,$A13,Games!$N$2:$N$186)</f>
        <v>81</v>
      </c>
      <c r="F13" s="0" t="n">
        <f aca="false">SUMIF(Games!$A$2:$A$186,$A13,Games!$S$2:$S$186)+SUMIF(Games!$B$2:$B$186,$A13,Games!$Q$2:$Q$186)</f>
        <v>116</v>
      </c>
      <c r="G13" s="0" t="n">
        <f aca="false">SUMIF(Games!$A$2:$A$186,$A13,Games!$T$2:$T$186)+SUMIF(Games!$B$2:$B$186,$A13,Games!$R$2:$R$186)</f>
        <v>62</v>
      </c>
      <c r="H13" s="0" t="n">
        <f aca="false">SUMIF(Games!$A$2:$A$186,$A13,Games!$U$2:$U$186)+SUMIF(Games!$B$2:$B$186,$A13,Games!$V$2:$V$186)</f>
        <v>-3.45816430020284</v>
      </c>
      <c r="I13" s="0" t="n">
        <f aca="false">SUMIF(Games!$A$2:$A$186,$A13,Games!$E$2:$E$186)+SUMIF(Games!$B$2:$B$186,$A13,Games!$F$2:$F$186)</f>
        <v>271</v>
      </c>
      <c r="J13" s="0" t="n">
        <f aca="false">IFERROR(I13/(B13+C13),0)</f>
        <v>135.5</v>
      </c>
      <c r="K13" s="0" t="n">
        <f aca="false">SUMIF(Games!$A$2:$A$186,$A13,Games!$F$2:$F$186)+SUMIF(Games!$B$2:$B$186,$A13,Games!$E$2:$E$186)</f>
        <v>420</v>
      </c>
      <c r="L13" s="0" t="n">
        <f aca="false">SUMIF(Games!$A$2:$A$186,$A13,Games!$G$2:$G$186)+SUMIF(Games!$B$2:$B$186,$A13,Games!$H$2:$H$186)</f>
        <v>376</v>
      </c>
      <c r="M13" s="0" t="n">
        <f aca="false">IFERROR(L13/(B13+C13),0)</f>
        <v>188</v>
      </c>
      <c r="N13" s="0" t="n">
        <f aca="false">SUMIF(Games!$A$2:$A$186,$A13,Games!$H$2:$H$186)+SUMIF(Games!$B$2:$B$186,$A13,Games!$G$2:$G$186)</f>
        <v>581</v>
      </c>
      <c r="O13" s="0" t="n">
        <f aca="false">SUMIF(Games!$A$2:$A$186,$A13,Games!$I$2:$I$186)+SUMIF(Games!$B$2:$B$186,$A13,Games!$J$2:$J$186)</f>
        <v>2</v>
      </c>
      <c r="P13" s="0" t="n">
        <f aca="false">SUMIF(Games!$A$2:$A$186,$A13,Games!$J$2:$J$186)+SUMIF(Games!$B$2:$B$186,$A13,Games!$I$2:$I$186)</f>
        <v>3</v>
      </c>
      <c r="R13" s="0" t="n">
        <f aca="false">IFERROR((K13+N13)/(B13+C13),0)</f>
        <v>500.5</v>
      </c>
      <c r="S13" s="0" t="n">
        <f aca="false">P13-O13</f>
        <v>1</v>
      </c>
      <c r="T13" s="0" t="n">
        <f aca="false">IFERROR((D13/(D13+E13))*(F13/(F13+G13)),0)</f>
        <v>0.0449438202247191</v>
      </c>
      <c r="U13" s="0" t="n">
        <f aca="false">RANK(T13,T$2:T$139)</f>
        <v>71</v>
      </c>
      <c r="V13" s="0" t="n">
        <f aca="false">IFERROR((B13/(B13+C13))*25,0)+IFERROR((D13/(D13+E13))*25,0)+IFERROR((F13/(F13+G13))*10,0)+H13+((J13-RMEAN)/RDEV)*5+((M13-PMEAN)/PDEV)*5+((DMEAN-R13)/DDEV)*7+((S13-TOMEAN)/TODEV)*3</f>
        <v>-2.20888768611654</v>
      </c>
    </row>
    <row r="14" customFormat="false" ht="15" hidden="false" customHeight="false" outlineLevel="0" collapsed="false">
      <c r="A14" s="0" t="s">
        <v>18</v>
      </c>
      <c r="B14" s="0" t="n">
        <f aca="false">SUMIF(Games!$A$2:$A$186,$A14,Games!$K$2:$K$186)+SUMIF(Games!$B$2:$B$186,$A14,Games!$L$2:$L$186)</f>
        <v>1</v>
      </c>
      <c r="C14" s="0" t="n">
        <f aca="false">SUMIF(Games!$A$2:$A$186,$A14,Games!$L$2:$L$186)+SUMIF(Games!$B$2:$B$186,$A14,Games!$K$2:$K$186)</f>
        <v>1</v>
      </c>
      <c r="D14" s="0" t="n">
        <f aca="false">SUMIF(Games!$A$2:$A$186,$A14,Games!$O$2:$O$186)+SUMIF(Games!$B$2:$B$186,$A14,Games!$M$2:$M$186)</f>
        <v>7</v>
      </c>
      <c r="E14" s="0" t="n">
        <f aca="false">SUMIF(Games!$A$2:$A$186,$A14,Games!$P$2:$P$186)+SUMIF(Games!$B$2:$B$186,$A14,Games!$N$2:$N$186)</f>
        <v>80</v>
      </c>
      <c r="F14" s="0" t="n">
        <f aca="false">SUMIF(Games!$A$2:$A$186,$A14,Games!$S$2:$S$186)+SUMIF(Games!$B$2:$B$186,$A14,Games!$Q$2:$Q$186)</f>
        <v>115</v>
      </c>
      <c r="G14" s="0" t="n">
        <f aca="false">SUMIF(Games!$A$2:$A$186,$A14,Games!$T$2:$T$186)+SUMIF(Games!$B$2:$B$186,$A14,Games!$R$2:$R$186)</f>
        <v>63</v>
      </c>
      <c r="H14" s="0" t="n">
        <f aca="false">SUMIF(Games!$A$2:$A$186,$A14,Games!$U$2:$U$186)+SUMIF(Games!$B$2:$B$186,$A14,Games!$V$2:$V$186)</f>
        <v>1.28705206220419</v>
      </c>
      <c r="I14" s="0" t="n">
        <f aca="false">SUMIF(Games!$A$2:$A$186,$A14,Games!$E$2:$E$186)+SUMIF(Games!$B$2:$B$186,$A14,Games!$F$2:$F$186)</f>
        <v>335</v>
      </c>
      <c r="J14" s="0" t="n">
        <f aca="false">IFERROR(I14/(B14+C14),0)</f>
        <v>167.5</v>
      </c>
      <c r="K14" s="0" t="n">
        <f aca="false">SUMIF(Games!$A$2:$A$186,$A14,Games!$F$2:$F$186)+SUMIF(Games!$B$2:$B$186,$A14,Games!$E$2:$E$186)</f>
        <v>166</v>
      </c>
      <c r="L14" s="0" t="n">
        <f aca="false">SUMIF(Games!$A$2:$A$186,$A14,Games!$G$2:$G$186)+SUMIF(Games!$B$2:$B$186,$A14,Games!$H$2:$H$186)</f>
        <v>653</v>
      </c>
      <c r="M14" s="0" t="n">
        <f aca="false">IFERROR(L14/(B14+C14),0)</f>
        <v>326.5</v>
      </c>
      <c r="N14" s="0" t="n">
        <f aca="false">SUMIF(Games!$A$2:$A$186,$A14,Games!$H$2:$H$186)+SUMIF(Games!$B$2:$B$186,$A14,Games!$G$2:$G$186)</f>
        <v>333</v>
      </c>
      <c r="O14" s="0" t="n">
        <f aca="false">SUMIF(Games!$A$2:$A$186,$A14,Games!$I$2:$I$186)+SUMIF(Games!$B$2:$B$186,$A14,Games!$J$2:$J$186)</f>
        <v>5</v>
      </c>
      <c r="P14" s="0" t="n">
        <f aca="false">SUMIF(Games!$A$2:$A$186,$A14,Games!$J$2:$J$186)+SUMIF(Games!$B$2:$B$186,$A14,Games!$I$2:$I$186)</f>
        <v>4</v>
      </c>
      <c r="R14" s="0" t="n">
        <f aca="false">IFERROR((K14+N14)/(B14+C14),0)</f>
        <v>249.5</v>
      </c>
      <c r="S14" s="0" t="n">
        <f aca="false">P14-O14</f>
        <v>-1</v>
      </c>
      <c r="T14" s="0" t="n">
        <f aca="false">IFERROR((D14/(D14+E14))*(F14/(F14+G14)),0)</f>
        <v>0.0519824357484179</v>
      </c>
      <c r="U14" s="0" t="n">
        <f aca="false">RANK(T14,T$2:T$139)</f>
        <v>39</v>
      </c>
      <c r="V14" s="0" t="n">
        <f aca="false">IFERROR((B14/(B14+C14))*25,0)+IFERROR((D14/(D14+E14))*25,0)+IFERROR((F14/(F14+G14))*10,0)+H14+((J14-RMEAN)/RDEV)*5+((M14-PMEAN)/PDEV)*5+((DMEAN-R14)/DDEV)*7+((S14-TOMEAN)/TODEV)*3</f>
        <v>32.3291704617781</v>
      </c>
    </row>
    <row r="15" customFormat="false" ht="15" hidden="false" customHeight="false" outlineLevel="0" collapsed="false">
      <c r="A15" s="0" t="s">
        <v>19</v>
      </c>
      <c r="B15" s="0" t="n">
        <f aca="false">SUMIF(Games!$A$2:$A$186,$A15,Games!$K$2:$K$186)+SUMIF(Games!$B$2:$B$186,$A15,Games!$L$2:$L$186)</f>
        <v>1</v>
      </c>
      <c r="C15" s="0" t="n">
        <f aca="false">SUMIF(Games!$A$2:$A$186,$A15,Games!$L$2:$L$186)+SUMIF(Games!$B$2:$B$186,$A15,Games!$K$2:$K$186)</f>
        <v>1</v>
      </c>
      <c r="D15" s="0" t="n">
        <f aca="false">SUMIF(Games!$A$2:$A$186,$A15,Games!$O$2:$O$186)+SUMIF(Games!$B$2:$B$186,$A15,Games!$M$2:$M$186)</f>
        <v>3</v>
      </c>
      <c r="E15" s="0" t="n">
        <f aca="false">SUMIF(Games!$A$2:$A$186,$A15,Games!$P$2:$P$186)+SUMIF(Games!$B$2:$B$186,$A15,Games!$N$2:$N$186)</f>
        <v>2</v>
      </c>
      <c r="F15" s="0" t="n">
        <f aca="false">SUMIF(Games!$A$2:$A$186,$A15,Games!$S$2:$S$186)+SUMIF(Games!$B$2:$B$186,$A15,Games!$Q$2:$Q$186)</f>
        <v>5</v>
      </c>
      <c r="G15" s="0" t="n">
        <f aca="false">SUMIF(Games!$A$2:$A$186,$A15,Games!$T$2:$T$186)+SUMIF(Games!$B$2:$B$186,$A15,Games!$R$2:$R$186)</f>
        <v>6</v>
      </c>
      <c r="H15" s="0" t="n">
        <f aca="false">SUMIF(Games!$A$2:$A$186,$A15,Games!$U$2:$U$186)+SUMIF(Games!$B$2:$B$186,$A15,Games!$V$2:$V$186)</f>
        <v>3.39285714285714</v>
      </c>
      <c r="I15" s="0" t="n">
        <f aca="false">SUMIF(Games!$A$2:$A$186,$A15,Games!$E$2:$E$186)+SUMIF(Games!$B$2:$B$186,$A15,Games!$F$2:$F$186)</f>
        <v>450</v>
      </c>
      <c r="J15" s="0" t="n">
        <f aca="false">IFERROR(I15/(B15+C15),0)</f>
        <v>225</v>
      </c>
      <c r="K15" s="0" t="n">
        <f aca="false">SUMIF(Games!$A$2:$A$186,$A15,Games!$F$2:$F$186)+SUMIF(Games!$B$2:$B$186,$A15,Games!$E$2:$E$186)</f>
        <v>254</v>
      </c>
      <c r="L15" s="0" t="n">
        <f aca="false">SUMIF(Games!$A$2:$A$186,$A15,Games!$G$2:$G$186)+SUMIF(Games!$B$2:$B$186,$A15,Games!$H$2:$H$186)</f>
        <v>402</v>
      </c>
      <c r="M15" s="0" t="n">
        <f aca="false">IFERROR(L15/(B15+C15),0)</f>
        <v>201</v>
      </c>
      <c r="N15" s="0" t="n">
        <f aca="false">SUMIF(Games!$A$2:$A$186,$A15,Games!$H$2:$H$186)+SUMIF(Games!$B$2:$B$186,$A15,Games!$G$2:$G$186)</f>
        <v>762</v>
      </c>
      <c r="O15" s="0" t="n">
        <f aca="false">SUMIF(Games!$A$2:$A$186,$A15,Games!$I$2:$I$186)+SUMIF(Games!$B$2:$B$186,$A15,Games!$J$2:$J$186)</f>
        <v>0</v>
      </c>
      <c r="P15" s="0" t="n">
        <f aca="false">SUMIF(Games!$A$2:$A$186,$A15,Games!$J$2:$J$186)+SUMIF(Games!$B$2:$B$186,$A15,Games!$I$2:$I$186)</f>
        <v>2</v>
      </c>
      <c r="R15" s="0" t="n">
        <f aca="false">IFERROR((K15+N15)/(B15+C15),0)</f>
        <v>508</v>
      </c>
      <c r="S15" s="0" t="n">
        <f aca="false">P15-O15</f>
        <v>2</v>
      </c>
      <c r="T15" s="0" t="n">
        <f aca="false">IFERROR((D15/(D15+E15))*(F15/(F15+G15)),0)</f>
        <v>0.272727272727273</v>
      </c>
      <c r="U15" s="0" t="n">
        <f aca="false">RANK(T15,T$2:T$139)</f>
        <v>5</v>
      </c>
      <c r="V15" s="0" t="n">
        <f aca="false">IFERROR((B15/(B15+C15))*25,0)+IFERROR((D15/(D15+E15))*25,0)+IFERROR((F15/(F15+G15))*10,0)+H15+((J15-RMEAN)/RDEV)*5+((M15-PMEAN)/PDEV)*5+((DMEAN-R15)/DDEV)*7+((S15-TOMEAN)/TODEV)*3</f>
        <v>24.2002812768267</v>
      </c>
    </row>
    <row r="16" customFormat="false" ht="15" hidden="false" customHeight="false" outlineLevel="0" collapsed="false">
      <c r="A16" s="0" t="s">
        <v>20</v>
      </c>
      <c r="B16" s="0" t="n">
        <f aca="false">SUMIF(Games!$A$2:$A$186,$A16,Games!$K$2:$K$186)+SUMIF(Games!$B$2:$B$186,$A16,Games!$L$2:$L$186)</f>
        <v>1</v>
      </c>
      <c r="C16" s="0" t="n">
        <f aca="false">SUMIF(Games!$A$2:$A$186,$A16,Games!$L$2:$L$186)+SUMIF(Games!$B$2:$B$186,$A16,Games!$K$2:$K$186)</f>
        <v>1</v>
      </c>
      <c r="D16" s="0" t="n">
        <f aca="false">SUMIF(Games!$A$2:$A$186,$A16,Games!$O$2:$O$186)+SUMIF(Games!$B$2:$B$186,$A16,Games!$M$2:$M$186)</f>
        <v>2</v>
      </c>
      <c r="E16" s="0" t="n">
        <f aca="false">SUMIF(Games!$A$2:$A$186,$A16,Games!$P$2:$P$186)+SUMIF(Games!$B$2:$B$186,$A16,Games!$N$2:$N$186)</f>
        <v>2</v>
      </c>
      <c r="F16" s="0" t="n">
        <f aca="false">SUMIF(Games!$A$2:$A$186,$A16,Games!$S$2:$S$186)+SUMIF(Games!$B$2:$B$186,$A16,Games!$Q$2:$Q$186)</f>
        <v>9</v>
      </c>
      <c r="G16" s="0" t="n">
        <f aca="false">SUMIF(Games!$A$2:$A$186,$A16,Games!$T$2:$T$186)+SUMIF(Games!$B$2:$B$186,$A16,Games!$R$2:$R$186)</f>
        <v>82</v>
      </c>
      <c r="H16" s="0" t="n">
        <f aca="false">SUMIF(Games!$A$2:$A$186,$A16,Games!$U$2:$U$186)+SUMIF(Games!$B$2:$B$186,$A16,Games!$V$2:$V$186)</f>
        <v>-1.76896551724138</v>
      </c>
      <c r="I16" s="0" t="n">
        <f aca="false">SUMIF(Games!$A$2:$A$186,$A16,Games!$E$2:$E$186)+SUMIF(Games!$B$2:$B$186,$A16,Games!$F$2:$F$186)</f>
        <v>315</v>
      </c>
      <c r="J16" s="0" t="n">
        <f aca="false">IFERROR(I16/(B16+C16),0)</f>
        <v>157.5</v>
      </c>
      <c r="K16" s="0" t="n">
        <f aca="false">SUMIF(Games!$A$2:$A$186,$A16,Games!$F$2:$F$186)+SUMIF(Games!$B$2:$B$186,$A16,Games!$E$2:$E$186)</f>
        <v>408</v>
      </c>
      <c r="L16" s="0" t="n">
        <f aca="false">SUMIF(Games!$A$2:$A$186,$A16,Games!$G$2:$G$186)+SUMIF(Games!$B$2:$B$186,$A16,Games!$H$2:$H$186)</f>
        <v>475</v>
      </c>
      <c r="M16" s="0" t="n">
        <f aca="false">IFERROR(L16/(B16+C16),0)</f>
        <v>237.5</v>
      </c>
      <c r="N16" s="0" t="n">
        <f aca="false">SUMIF(Games!$A$2:$A$186,$A16,Games!$H$2:$H$186)+SUMIF(Games!$B$2:$B$186,$A16,Games!$G$2:$G$186)</f>
        <v>315</v>
      </c>
      <c r="O16" s="0" t="n">
        <f aca="false">SUMIF(Games!$A$2:$A$186,$A16,Games!$I$2:$I$186)+SUMIF(Games!$B$2:$B$186,$A16,Games!$J$2:$J$186)</f>
        <v>5</v>
      </c>
      <c r="P16" s="0" t="n">
        <f aca="false">SUMIF(Games!$A$2:$A$186,$A16,Games!$J$2:$J$186)+SUMIF(Games!$B$2:$B$186,$A16,Games!$I$2:$I$186)</f>
        <v>4</v>
      </c>
      <c r="R16" s="0" t="n">
        <f aca="false">IFERROR((K16+N16)/(B16+C16),0)</f>
        <v>361.5</v>
      </c>
      <c r="S16" s="0" t="n">
        <f aca="false">P16-O16</f>
        <v>-1</v>
      </c>
      <c r="T16" s="0" t="n">
        <f aca="false">IFERROR((D16/(D16+E16))*(F16/(F16+G16)),0)</f>
        <v>0.0494505494505495</v>
      </c>
      <c r="U16" s="0" t="n">
        <f aca="false">RANK(T16,T$2:T$139)</f>
        <v>69</v>
      </c>
      <c r="V16" s="0" t="n">
        <f aca="false">IFERROR((B16/(B16+C16))*25,0)+IFERROR((D16/(D16+E16))*25,0)+IFERROR((F16/(F16+G16))*10,0)+H16+((J16-RMEAN)/RDEV)*5+((M16-PMEAN)/PDEV)*5+((DMEAN-R16)/DDEV)*7+((S16-TOMEAN)/TODEV)*3</f>
        <v>18.4791562133026</v>
      </c>
    </row>
    <row r="17" customFormat="false" ht="15" hidden="false" customHeight="false" outlineLevel="0" collapsed="false">
      <c r="A17" s="0" t="s">
        <v>21</v>
      </c>
      <c r="B17" s="0" t="n">
        <f aca="false">SUMIF(Games!$A$2:$A$186,$A17,Games!$K$2:$K$186)+SUMIF(Games!$B$2:$B$186,$A17,Games!$L$2:$L$186)</f>
        <v>0</v>
      </c>
      <c r="C17" s="0" t="n">
        <f aca="false">SUMIF(Games!$A$2:$A$186,$A17,Games!$L$2:$L$186)+SUMIF(Games!$B$2:$B$186,$A17,Games!$K$2:$K$186)</f>
        <v>2</v>
      </c>
      <c r="D17" s="0" t="n">
        <f aca="false">SUMIF(Games!$A$2:$A$186,$A17,Games!$O$2:$O$186)+SUMIF(Games!$B$2:$B$186,$A17,Games!$M$2:$M$186)</f>
        <v>7</v>
      </c>
      <c r="E17" s="0" t="n">
        <f aca="false">SUMIF(Games!$A$2:$A$186,$A17,Games!$P$2:$P$186)+SUMIF(Games!$B$2:$B$186,$A17,Games!$N$2:$N$186)</f>
        <v>80</v>
      </c>
      <c r="F17" s="0" t="n">
        <f aca="false">SUMIF(Games!$A$2:$A$186,$A17,Games!$S$2:$S$186)+SUMIF(Games!$B$2:$B$186,$A17,Games!$Q$2:$Q$186)</f>
        <v>114</v>
      </c>
      <c r="G17" s="0" t="n">
        <f aca="false">SUMIF(Games!$A$2:$A$186,$A17,Games!$T$2:$T$186)+SUMIF(Games!$B$2:$B$186,$A17,Games!$R$2:$R$186)</f>
        <v>64</v>
      </c>
      <c r="H17" s="0" t="n">
        <f aca="false">SUMIF(Games!$A$2:$A$186,$A17,Games!$U$2:$U$186)+SUMIF(Games!$B$2:$B$186,$A17,Games!$V$2:$V$186)</f>
        <v>-4.93466869506423</v>
      </c>
      <c r="I17" s="0" t="n">
        <f aca="false">SUMIF(Games!$A$2:$A$186,$A17,Games!$E$2:$E$186)+SUMIF(Games!$B$2:$B$186,$A17,Games!$F$2:$F$186)</f>
        <v>189</v>
      </c>
      <c r="J17" s="0" t="n">
        <f aca="false">IFERROR(I17/(B17+C17),0)</f>
        <v>94.5</v>
      </c>
      <c r="K17" s="0" t="n">
        <f aca="false">SUMIF(Games!$A$2:$A$186,$A17,Games!$F$2:$F$186)+SUMIF(Games!$B$2:$B$186,$A17,Games!$E$2:$E$186)</f>
        <v>522</v>
      </c>
      <c r="L17" s="0" t="n">
        <f aca="false">SUMIF(Games!$A$2:$A$186,$A17,Games!$G$2:$G$186)+SUMIF(Games!$B$2:$B$186,$A17,Games!$H$2:$H$186)</f>
        <v>346</v>
      </c>
      <c r="M17" s="0" t="n">
        <f aca="false">IFERROR(L17/(B17+C17),0)</f>
        <v>173</v>
      </c>
      <c r="N17" s="0" t="n">
        <f aca="false">SUMIF(Games!$A$2:$A$186,$A17,Games!$H$2:$H$186)+SUMIF(Games!$B$2:$B$186,$A17,Games!$G$2:$G$186)</f>
        <v>488</v>
      </c>
      <c r="O17" s="0" t="n">
        <f aca="false">SUMIF(Games!$A$2:$A$186,$A17,Games!$I$2:$I$186)+SUMIF(Games!$B$2:$B$186,$A17,Games!$J$2:$J$186)</f>
        <v>4</v>
      </c>
      <c r="P17" s="0" t="n">
        <f aca="false">SUMIF(Games!$A$2:$A$186,$A17,Games!$J$2:$J$186)+SUMIF(Games!$B$2:$B$186,$A17,Games!$I$2:$I$186)</f>
        <v>2</v>
      </c>
      <c r="R17" s="0" t="n">
        <f aca="false">IFERROR((K17+N17)/(B17+C17),0)</f>
        <v>505</v>
      </c>
      <c r="S17" s="0" t="n">
        <f aca="false">P17-O17</f>
        <v>-2</v>
      </c>
      <c r="T17" s="0" t="n">
        <f aca="false">IFERROR((D17/(D17+E17))*(F17/(F17+G17)),0)</f>
        <v>0.0515304145679969</v>
      </c>
      <c r="U17" s="0" t="n">
        <f aca="false">RANK(T17,T$2:T$139)</f>
        <v>56</v>
      </c>
      <c r="V17" s="0" t="n">
        <f aca="false">IFERROR((B17/(B17+C17))*25,0)+IFERROR((D17/(D17+E17))*25,0)+IFERROR((F17/(F17+G17))*10,0)+H17+((J17-RMEAN)/RDEV)*5+((M17-PMEAN)/PDEV)*5+((DMEAN-R17)/DDEV)*7+((S17-TOMEAN)/TODEV)*3</f>
        <v>-24.0948997236949</v>
      </c>
    </row>
    <row r="18" customFormat="false" ht="15" hidden="false" customHeight="false" outlineLevel="0" collapsed="false">
      <c r="A18" s="0" t="s">
        <v>22</v>
      </c>
      <c r="B18" s="0" t="n">
        <f aca="false">SUMIF(Games!$A$2:$A$186,$A18,Games!$K$2:$K$186)+SUMIF(Games!$B$2:$B$186,$A18,Games!$L$2:$L$186)</f>
        <v>1</v>
      </c>
      <c r="C18" s="0" t="n">
        <f aca="false">SUMIF(Games!$A$2:$A$186,$A18,Games!$L$2:$L$186)+SUMIF(Games!$B$2:$B$186,$A18,Games!$K$2:$K$186)</f>
        <v>1</v>
      </c>
      <c r="D18" s="0" t="n">
        <f aca="false">SUMIF(Games!$A$2:$A$186,$A18,Games!$O$2:$O$186)+SUMIF(Games!$B$2:$B$186,$A18,Games!$M$2:$M$186)</f>
        <v>6</v>
      </c>
      <c r="E18" s="0" t="n">
        <f aca="false">SUMIF(Games!$A$2:$A$186,$A18,Games!$P$2:$P$186)+SUMIF(Games!$B$2:$B$186,$A18,Games!$N$2:$N$186)</f>
        <v>81</v>
      </c>
      <c r="F18" s="0" t="n">
        <f aca="false">SUMIF(Games!$A$2:$A$186,$A18,Games!$S$2:$S$186)+SUMIF(Games!$B$2:$B$186,$A18,Games!$Q$2:$Q$186)</f>
        <v>116</v>
      </c>
      <c r="G18" s="0" t="n">
        <f aca="false">SUMIF(Games!$A$2:$A$186,$A18,Games!$T$2:$T$186)+SUMIF(Games!$B$2:$B$186,$A18,Games!$R$2:$R$186)</f>
        <v>62</v>
      </c>
      <c r="H18" s="0" t="n">
        <f aca="false">SUMIF(Games!$A$2:$A$186,$A18,Games!$U$2:$U$186)+SUMIF(Games!$B$2:$B$186,$A18,Games!$V$2:$V$186)</f>
        <v>-1.47219405003381</v>
      </c>
      <c r="I18" s="0" t="n">
        <f aca="false">SUMIF(Games!$A$2:$A$186,$A18,Games!$E$2:$E$186)+SUMIF(Games!$B$2:$B$186,$A18,Games!$F$2:$F$186)</f>
        <v>210</v>
      </c>
      <c r="J18" s="0" t="n">
        <f aca="false">IFERROR(I18/(B18+C18),0)</f>
        <v>105</v>
      </c>
      <c r="K18" s="0" t="n">
        <f aca="false">SUMIF(Games!$A$2:$A$186,$A18,Games!$F$2:$F$186)+SUMIF(Games!$B$2:$B$186,$A18,Games!$E$2:$E$186)</f>
        <v>226</v>
      </c>
      <c r="L18" s="0" t="n">
        <f aca="false">SUMIF(Games!$A$2:$A$186,$A18,Games!$G$2:$G$186)+SUMIF(Games!$B$2:$B$186,$A18,Games!$H$2:$H$186)</f>
        <v>438</v>
      </c>
      <c r="M18" s="0" t="n">
        <f aca="false">IFERROR(L18/(B18+C18),0)</f>
        <v>219</v>
      </c>
      <c r="N18" s="0" t="n">
        <f aca="false">SUMIF(Games!$A$2:$A$186,$A18,Games!$H$2:$H$186)+SUMIF(Games!$B$2:$B$186,$A18,Games!$G$2:$G$186)</f>
        <v>590</v>
      </c>
      <c r="O18" s="0" t="n">
        <f aca="false">SUMIF(Games!$A$2:$A$186,$A18,Games!$I$2:$I$186)+SUMIF(Games!$B$2:$B$186,$A18,Games!$J$2:$J$186)</f>
        <v>4</v>
      </c>
      <c r="P18" s="0" t="n">
        <f aca="false">SUMIF(Games!$A$2:$A$186,$A18,Games!$J$2:$J$186)+SUMIF(Games!$B$2:$B$186,$A18,Games!$I$2:$I$186)</f>
        <v>2</v>
      </c>
      <c r="R18" s="0" t="n">
        <f aca="false">IFERROR((K18+N18)/(B18+C18),0)</f>
        <v>408</v>
      </c>
      <c r="S18" s="0" t="n">
        <f aca="false">P18-O18</f>
        <v>-2</v>
      </c>
      <c r="T18" s="0" t="n">
        <f aca="false">IFERROR((D18/(D18+E18))*(F18/(F18+G18)),0)</f>
        <v>0.0449438202247191</v>
      </c>
      <c r="U18" s="0" t="n">
        <f aca="false">RANK(T18,T$2:T$139)</f>
        <v>71</v>
      </c>
      <c r="V18" s="0" t="n">
        <f aca="false">IFERROR((B18/(B18+C18))*25,0)+IFERROR((D18/(D18+E18))*25,0)+IFERROR((F18/(F18+G18))*10,0)+H18+((J18-RMEAN)/RDEV)*5+((M18-PMEAN)/PDEV)*5+((DMEAN-R18)/DDEV)*7+((S18-TOMEAN)/TODEV)*3</f>
        <v>3.3846453044527</v>
      </c>
    </row>
    <row r="19" customFormat="false" ht="15" hidden="false" customHeight="false" outlineLevel="0" collapsed="false">
      <c r="A19" s="0" t="s">
        <v>23</v>
      </c>
      <c r="B19" s="0" t="n">
        <f aca="false">SUMIF(Games!$A$2:$A$186,$A19,Games!$K$2:$K$186)+SUMIF(Games!$B$2:$B$186,$A19,Games!$L$2:$L$186)</f>
        <v>1</v>
      </c>
      <c r="C19" s="0" t="n">
        <f aca="false">SUMIF(Games!$A$2:$A$186,$A19,Games!$L$2:$L$186)+SUMIF(Games!$B$2:$B$186,$A19,Games!$K$2:$K$186)</f>
        <v>1</v>
      </c>
      <c r="D19" s="0" t="n">
        <f aca="false">SUMIF(Games!$A$2:$A$186,$A19,Games!$O$2:$O$186)+SUMIF(Games!$B$2:$B$186,$A19,Games!$M$2:$M$186)</f>
        <v>3</v>
      </c>
      <c r="E19" s="0" t="n">
        <f aca="false">SUMIF(Games!$A$2:$A$186,$A19,Games!$P$2:$P$186)+SUMIF(Games!$B$2:$B$186,$A19,Games!$N$2:$N$186)</f>
        <v>1</v>
      </c>
      <c r="F19" s="0" t="n">
        <f aca="false">SUMIF(Games!$A$2:$A$186,$A19,Games!$S$2:$S$186)+SUMIF(Games!$B$2:$B$186,$A19,Games!$Q$2:$Q$186)</f>
        <v>8</v>
      </c>
      <c r="G19" s="0" t="n">
        <f aca="false">SUMIF(Games!$A$2:$A$186,$A19,Games!$T$2:$T$186)+SUMIF(Games!$B$2:$B$186,$A19,Games!$R$2:$R$186)</f>
        <v>83</v>
      </c>
      <c r="H19" s="0" t="n">
        <f aca="false">SUMIF(Games!$A$2:$A$186,$A19,Games!$U$2:$U$186)+SUMIF(Games!$B$2:$B$186,$A19,Games!$V$2:$V$186)</f>
        <v>-0.946551724137931</v>
      </c>
      <c r="I19" s="0" t="n">
        <f aca="false">SUMIF(Games!$A$2:$A$186,$A19,Games!$E$2:$E$186)+SUMIF(Games!$B$2:$B$186,$A19,Games!$F$2:$F$186)</f>
        <v>186</v>
      </c>
      <c r="J19" s="0" t="n">
        <f aca="false">IFERROR(I19/(B19+C19),0)</f>
        <v>93</v>
      </c>
      <c r="K19" s="0" t="n">
        <f aca="false">SUMIF(Games!$A$2:$A$186,$A19,Games!$F$2:$F$186)+SUMIF(Games!$B$2:$B$186,$A19,Games!$E$2:$E$186)</f>
        <v>395</v>
      </c>
      <c r="L19" s="0" t="n">
        <f aca="false">SUMIF(Games!$A$2:$A$186,$A19,Games!$G$2:$G$186)+SUMIF(Games!$B$2:$B$186,$A19,Games!$H$2:$H$186)</f>
        <v>473</v>
      </c>
      <c r="M19" s="0" t="n">
        <f aca="false">IFERROR(L19/(B19+C19),0)</f>
        <v>236.5</v>
      </c>
      <c r="N19" s="0" t="n">
        <f aca="false">SUMIF(Games!$A$2:$A$186,$A19,Games!$H$2:$H$186)+SUMIF(Games!$B$2:$B$186,$A19,Games!$G$2:$G$186)</f>
        <v>502</v>
      </c>
      <c r="O19" s="0" t="n">
        <f aca="false">SUMIF(Games!$A$2:$A$186,$A19,Games!$I$2:$I$186)+SUMIF(Games!$B$2:$B$186,$A19,Games!$J$2:$J$186)</f>
        <v>3</v>
      </c>
      <c r="P19" s="0" t="n">
        <f aca="false">SUMIF(Games!$A$2:$A$186,$A19,Games!$J$2:$J$186)+SUMIF(Games!$B$2:$B$186,$A19,Games!$I$2:$I$186)</f>
        <v>4</v>
      </c>
      <c r="R19" s="0" t="n">
        <f aca="false">IFERROR((K19+N19)/(B19+C19),0)</f>
        <v>448.5</v>
      </c>
      <c r="S19" s="0" t="n">
        <f aca="false">P19-O19</f>
        <v>1</v>
      </c>
      <c r="T19" s="0" t="n">
        <f aca="false">IFERROR((D19/(D19+E19))*(F19/(F19+G19)),0)</f>
        <v>0.0659340659340659</v>
      </c>
      <c r="U19" s="0" t="n">
        <f aca="false">RANK(T19,T$2:T$139)</f>
        <v>12</v>
      </c>
      <c r="V19" s="0" t="n">
        <f aca="false">IFERROR((B19/(B19+C19))*25,0)+IFERROR((D19/(D19+E19))*25,0)+IFERROR((F19/(F19+G19))*10,0)+H19+((J19-RMEAN)/RDEV)*5+((M19-PMEAN)/PDEV)*5+((DMEAN-R19)/DDEV)*7+((S19-TOMEAN)/TODEV)*3</f>
        <v>15.966635119662</v>
      </c>
    </row>
    <row r="20" customFormat="false" ht="15" hidden="false" customHeight="false" outlineLevel="0" collapsed="false">
      <c r="A20" s="0" t="s">
        <v>24</v>
      </c>
      <c r="B20" s="0" t="n">
        <f aca="false">SUMIF(Games!$A$2:$A$186,$A20,Games!$K$2:$K$186)+SUMIF(Games!$B$2:$B$186,$A20,Games!$L$2:$L$186)</f>
        <v>1</v>
      </c>
      <c r="C20" s="0" t="n">
        <f aca="false">SUMIF(Games!$A$2:$A$186,$A20,Games!$L$2:$L$186)+SUMIF(Games!$B$2:$B$186,$A20,Games!$K$2:$K$186)</f>
        <v>1</v>
      </c>
      <c r="D20" s="0" t="n">
        <f aca="false">SUMIF(Games!$A$2:$A$186,$A20,Games!$O$2:$O$186)+SUMIF(Games!$B$2:$B$186,$A20,Games!$M$2:$M$186)</f>
        <v>7</v>
      </c>
      <c r="E20" s="0" t="n">
        <f aca="false">SUMIF(Games!$A$2:$A$186,$A20,Games!$P$2:$P$186)+SUMIF(Games!$B$2:$B$186,$A20,Games!$N$2:$N$186)</f>
        <v>80</v>
      </c>
      <c r="F20" s="0" t="n">
        <f aca="false">SUMIF(Games!$A$2:$A$186,$A20,Games!$S$2:$S$186)+SUMIF(Games!$B$2:$B$186,$A20,Games!$Q$2:$Q$186)</f>
        <v>119</v>
      </c>
      <c r="G20" s="0" t="n">
        <f aca="false">SUMIF(Games!$A$2:$A$186,$A20,Games!$T$2:$T$186)+SUMIF(Games!$B$2:$B$186,$A20,Games!$R$2:$R$186)</f>
        <v>142</v>
      </c>
      <c r="H20" s="0" t="n">
        <f aca="false">SUMIF(Games!$A$2:$A$186,$A20,Games!$U$2:$U$186)+SUMIF(Games!$B$2:$B$186,$A20,Games!$V$2:$V$186)</f>
        <v>-2.77160243407708</v>
      </c>
      <c r="I20" s="0" t="n">
        <f aca="false">SUMIF(Games!$A$2:$A$186,$A20,Games!$E$2:$E$186)+SUMIF(Games!$B$2:$B$186,$A20,Games!$F$2:$F$186)</f>
        <v>319</v>
      </c>
      <c r="J20" s="0" t="n">
        <f aca="false">IFERROR(I20/(B20+C20),0)</f>
        <v>159.5</v>
      </c>
      <c r="K20" s="0" t="n">
        <f aca="false">SUMIF(Games!$A$2:$A$186,$A20,Games!$F$2:$F$186)+SUMIF(Games!$B$2:$B$186,$A20,Games!$E$2:$E$186)</f>
        <v>300</v>
      </c>
      <c r="L20" s="0" t="n">
        <f aca="false">SUMIF(Games!$A$2:$A$186,$A20,Games!$G$2:$G$186)+SUMIF(Games!$B$2:$B$186,$A20,Games!$H$2:$H$186)</f>
        <v>106</v>
      </c>
      <c r="M20" s="0" t="n">
        <f aca="false">IFERROR(L20/(B20+C20),0)</f>
        <v>53</v>
      </c>
      <c r="N20" s="0" t="n">
        <f aca="false">SUMIF(Games!$A$2:$A$186,$A20,Games!$H$2:$H$186)+SUMIF(Games!$B$2:$B$186,$A20,Games!$G$2:$G$186)</f>
        <v>283</v>
      </c>
      <c r="O20" s="0" t="n">
        <f aca="false">SUMIF(Games!$A$2:$A$186,$A20,Games!$I$2:$I$186)+SUMIF(Games!$B$2:$B$186,$A20,Games!$J$2:$J$186)</f>
        <v>5</v>
      </c>
      <c r="P20" s="0" t="n">
        <f aca="false">SUMIF(Games!$A$2:$A$186,$A20,Games!$J$2:$J$186)+SUMIF(Games!$B$2:$B$186,$A20,Games!$I$2:$I$186)</f>
        <v>4</v>
      </c>
      <c r="R20" s="0" t="n">
        <f aca="false">IFERROR((K20+N20)/(B20+C20),0)</f>
        <v>291.5</v>
      </c>
      <c r="S20" s="0" t="n">
        <f aca="false">P20-O20</f>
        <v>-1</v>
      </c>
      <c r="T20" s="0" t="n">
        <f aca="false">IFERROR((D20/(D20+E20))*(F20/(F20+G20)),0)</f>
        <v>0.0366847227727133</v>
      </c>
      <c r="U20" s="0" t="n">
        <f aca="false">RANK(T20,T$2:T$139)</f>
        <v>104</v>
      </c>
      <c r="V20" s="0" t="n">
        <f aca="false">IFERROR((B20/(B20+C20))*25,0)+IFERROR((D20/(D20+E20))*25,0)+IFERROR((F20/(F20+G20))*10,0)+H20+((J20-RMEAN)/RDEV)*5+((M20-PMEAN)/PDEV)*5+((DMEAN-R20)/DDEV)*7+((S20-TOMEAN)/TODEV)*3</f>
        <v>3.58489543964839</v>
      </c>
    </row>
    <row r="21" customFormat="false" ht="15" hidden="false" customHeight="false" outlineLevel="0" collapsed="false">
      <c r="A21" s="0" t="s">
        <v>25</v>
      </c>
      <c r="B21" s="0" t="n">
        <f aca="false">SUMIF(Games!$A$2:$A$186,$A21,Games!$K$2:$K$186)+SUMIF(Games!$B$2:$B$186,$A21,Games!$L$2:$L$186)</f>
        <v>0</v>
      </c>
      <c r="C21" s="0" t="n">
        <f aca="false">SUMIF(Games!$A$2:$A$186,$A21,Games!$L$2:$L$186)+SUMIF(Games!$B$2:$B$186,$A21,Games!$K$2:$K$186)</f>
        <v>2</v>
      </c>
      <c r="D21" s="0" t="n">
        <f aca="false">SUMIF(Games!$A$2:$A$186,$A21,Games!$O$2:$O$186)+SUMIF(Games!$B$2:$B$186,$A21,Games!$M$2:$M$186)</f>
        <v>7</v>
      </c>
      <c r="E21" s="0" t="n">
        <f aca="false">SUMIF(Games!$A$2:$A$186,$A21,Games!$P$2:$P$186)+SUMIF(Games!$B$2:$B$186,$A21,Games!$N$2:$N$186)</f>
        <v>80</v>
      </c>
      <c r="F21" s="0" t="n">
        <f aca="false">SUMIF(Games!$A$2:$A$186,$A21,Games!$S$2:$S$186)+SUMIF(Games!$B$2:$B$186,$A21,Games!$Q$2:$Q$186)</f>
        <v>114</v>
      </c>
      <c r="G21" s="0" t="n">
        <f aca="false">SUMIF(Games!$A$2:$A$186,$A21,Games!$T$2:$T$186)+SUMIF(Games!$B$2:$B$186,$A21,Games!$R$2:$R$186)</f>
        <v>64</v>
      </c>
      <c r="H21" s="0" t="n">
        <f aca="false">SUMIF(Games!$A$2:$A$186,$A21,Games!$U$2:$U$186)+SUMIF(Games!$B$2:$B$186,$A21,Games!$V$2:$V$186)</f>
        <v>-3.05990534144692</v>
      </c>
      <c r="I21" s="0" t="n">
        <f aca="false">SUMIF(Games!$A$2:$A$186,$A21,Games!$E$2:$E$186)+SUMIF(Games!$B$2:$B$186,$A21,Games!$F$2:$F$186)</f>
        <v>359</v>
      </c>
      <c r="J21" s="0" t="n">
        <f aca="false">IFERROR(I21/(B21+C21),0)</f>
        <v>179.5</v>
      </c>
      <c r="K21" s="0" t="n">
        <f aca="false">SUMIF(Games!$A$2:$A$186,$A21,Games!$F$2:$F$186)+SUMIF(Games!$B$2:$B$186,$A21,Games!$E$2:$E$186)</f>
        <v>395</v>
      </c>
      <c r="L21" s="0" t="n">
        <f aca="false">SUMIF(Games!$A$2:$A$186,$A21,Games!$G$2:$G$186)+SUMIF(Games!$B$2:$B$186,$A21,Games!$H$2:$H$186)</f>
        <v>501</v>
      </c>
      <c r="M21" s="0" t="n">
        <f aca="false">IFERROR(L21/(B21+C21),0)</f>
        <v>250.5</v>
      </c>
      <c r="N21" s="0" t="n">
        <f aca="false">SUMIF(Games!$A$2:$A$186,$A21,Games!$H$2:$H$186)+SUMIF(Games!$B$2:$B$186,$A21,Games!$G$2:$G$186)</f>
        <v>425</v>
      </c>
      <c r="O21" s="0" t="n">
        <f aca="false">SUMIF(Games!$A$2:$A$186,$A21,Games!$I$2:$I$186)+SUMIF(Games!$B$2:$B$186,$A21,Games!$J$2:$J$186)</f>
        <v>3</v>
      </c>
      <c r="P21" s="0" t="n">
        <f aca="false">SUMIF(Games!$A$2:$A$186,$A21,Games!$J$2:$J$186)+SUMIF(Games!$B$2:$B$186,$A21,Games!$I$2:$I$186)</f>
        <v>1</v>
      </c>
      <c r="R21" s="0" t="n">
        <f aca="false">IFERROR((K21+N21)/(B21+C21),0)</f>
        <v>410</v>
      </c>
      <c r="S21" s="0" t="n">
        <f aca="false">P21-O21</f>
        <v>-2</v>
      </c>
      <c r="T21" s="0" t="n">
        <f aca="false">IFERROR((D21/(D21+E21))*(F21/(F21+G21)),0)</f>
        <v>0.0515304145679969</v>
      </c>
      <c r="U21" s="0" t="n">
        <f aca="false">RANK(T21,T$2:T$139)</f>
        <v>56</v>
      </c>
      <c r="V21" s="0" t="n">
        <f aca="false">IFERROR((B21/(B21+C21))*25,0)+IFERROR((D21/(D21+E21))*25,0)+IFERROR((F21/(F21+G21))*10,0)+H21+((J21-RMEAN)/RDEV)*5+((M21-PMEAN)/PDEV)*5+((DMEAN-R21)/DDEV)*7+((S21-TOMEAN)/TODEV)*3</f>
        <v>-2.89376444095258</v>
      </c>
    </row>
    <row r="22" customFormat="false" ht="15" hidden="false" customHeight="false" outlineLevel="0" collapsed="false">
      <c r="A22" s="0" t="s">
        <v>26</v>
      </c>
      <c r="B22" s="0" t="n">
        <f aca="false">SUMIF(Games!$A$2:$A$186,$A22,Games!$K$2:$K$186)+SUMIF(Games!$B$2:$B$186,$A22,Games!$L$2:$L$186)</f>
        <v>2</v>
      </c>
      <c r="C22" s="0" t="n">
        <f aca="false">SUMIF(Games!$A$2:$A$186,$A22,Games!$L$2:$L$186)+SUMIF(Games!$B$2:$B$186,$A22,Games!$K$2:$K$186)</f>
        <v>0</v>
      </c>
      <c r="D22" s="0" t="n">
        <f aca="false">SUMIF(Games!$A$2:$A$186,$A22,Games!$O$2:$O$186)+SUMIF(Games!$B$2:$B$186,$A22,Games!$M$2:$M$186)</f>
        <v>6</v>
      </c>
      <c r="E22" s="0" t="n">
        <f aca="false">SUMIF(Games!$A$2:$A$186,$A22,Games!$P$2:$P$186)+SUMIF(Games!$B$2:$B$186,$A22,Games!$N$2:$N$186)</f>
        <v>81</v>
      </c>
      <c r="F22" s="0" t="n">
        <f aca="false">SUMIF(Games!$A$2:$A$186,$A22,Games!$S$2:$S$186)+SUMIF(Games!$B$2:$B$186,$A22,Games!$Q$2:$Q$186)</f>
        <v>115</v>
      </c>
      <c r="G22" s="0" t="n">
        <f aca="false">SUMIF(Games!$A$2:$A$186,$A22,Games!$T$2:$T$186)+SUMIF(Games!$B$2:$B$186,$A22,Games!$R$2:$R$186)</f>
        <v>63</v>
      </c>
      <c r="H22" s="0" t="n">
        <f aca="false">SUMIF(Games!$A$2:$A$186,$A22,Games!$U$2:$U$186)+SUMIF(Games!$B$2:$B$186,$A22,Games!$V$2:$V$186)</f>
        <v>6.08705206220419</v>
      </c>
      <c r="I22" s="0" t="n">
        <f aca="false">SUMIF(Games!$A$2:$A$186,$A22,Games!$E$2:$E$186)+SUMIF(Games!$B$2:$B$186,$A22,Games!$F$2:$F$186)</f>
        <v>672</v>
      </c>
      <c r="J22" s="0" t="n">
        <f aca="false">IFERROR(I22/(B22+C22),0)</f>
        <v>336</v>
      </c>
      <c r="K22" s="0" t="n">
        <f aca="false">SUMIF(Games!$A$2:$A$186,$A22,Games!$F$2:$F$186)+SUMIF(Games!$B$2:$B$186,$A22,Games!$E$2:$E$186)</f>
        <v>239</v>
      </c>
      <c r="L22" s="0" t="n">
        <f aca="false">SUMIF(Games!$A$2:$A$186,$A22,Games!$G$2:$G$186)+SUMIF(Games!$B$2:$B$186,$A22,Games!$H$2:$H$186)</f>
        <v>357</v>
      </c>
      <c r="M22" s="0" t="n">
        <f aca="false">IFERROR(L22/(B22+C22),0)</f>
        <v>178.5</v>
      </c>
      <c r="N22" s="0" t="n">
        <f aca="false">SUMIF(Games!$A$2:$A$186,$A22,Games!$H$2:$H$186)+SUMIF(Games!$B$2:$B$186,$A22,Games!$G$2:$G$186)</f>
        <v>390</v>
      </c>
      <c r="O22" s="0" t="n">
        <f aca="false">SUMIF(Games!$A$2:$A$186,$A22,Games!$I$2:$I$186)+SUMIF(Games!$B$2:$B$186,$A22,Games!$J$2:$J$186)</f>
        <v>0</v>
      </c>
      <c r="P22" s="0" t="n">
        <f aca="false">SUMIF(Games!$A$2:$A$186,$A22,Games!$J$2:$J$186)+SUMIF(Games!$B$2:$B$186,$A22,Games!$I$2:$I$186)</f>
        <v>3</v>
      </c>
      <c r="R22" s="0" t="n">
        <f aca="false">IFERROR((K22+N22)/(B22+C22),0)</f>
        <v>314.5</v>
      </c>
      <c r="S22" s="0" t="n">
        <f aca="false">P22-O22</f>
        <v>3</v>
      </c>
      <c r="T22" s="0" t="n">
        <f aca="false">IFERROR((D22/(D22+E22))*(F22/(F22+G22)),0)</f>
        <v>0.0445563734986439</v>
      </c>
      <c r="U22" s="0" t="n">
        <f aca="false">RANK(T22,T$2:T$139)</f>
        <v>83</v>
      </c>
      <c r="V22" s="0" t="n">
        <f aca="false">IFERROR((B22/(B22+C22))*25,0)+IFERROR((D22/(D22+E22))*25,0)+IFERROR((F22/(F22+G22))*10,0)+H22+((J22-RMEAN)/RDEV)*5+((M22-PMEAN)/PDEV)*5+((DMEAN-R22)/DDEV)*7+((S22-TOMEAN)/TODEV)*3</f>
        <v>51.48804822066</v>
      </c>
    </row>
    <row r="23" customFormat="false" ht="15" hidden="false" customHeight="false" outlineLevel="0" collapsed="false">
      <c r="A23" s="0" t="s">
        <v>27</v>
      </c>
      <c r="B23" s="0" t="n">
        <f aca="false">SUMIF(Games!$A$2:$A$186,$A23,Games!$K$2:$K$186)+SUMIF(Games!$B$2:$B$186,$A23,Games!$L$2:$L$186)</f>
        <v>1</v>
      </c>
      <c r="C23" s="0" t="n">
        <f aca="false">SUMIF(Games!$A$2:$A$186,$A23,Games!$L$2:$L$186)+SUMIF(Games!$B$2:$B$186,$A23,Games!$K$2:$K$186)</f>
        <v>1</v>
      </c>
      <c r="D23" s="0" t="n">
        <f aca="false">SUMIF(Games!$A$2:$A$186,$A23,Games!$O$2:$O$186)+SUMIF(Games!$B$2:$B$186,$A23,Games!$M$2:$M$186)</f>
        <v>3</v>
      </c>
      <c r="E23" s="0" t="n">
        <f aca="false">SUMIF(Games!$A$2:$A$186,$A23,Games!$P$2:$P$186)+SUMIF(Games!$B$2:$B$186,$A23,Games!$N$2:$N$186)</f>
        <v>1</v>
      </c>
      <c r="F23" s="0" t="n">
        <f aca="false">SUMIF(Games!$A$2:$A$186,$A23,Games!$S$2:$S$186)+SUMIF(Games!$B$2:$B$186,$A23,Games!$Q$2:$Q$186)</f>
        <v>8</v>
      </c>
      <c r="G23" s="0" t="n">
        <f aca="false">SUMIF(Games!$A$2:$A$186,$A23,Games!$T$2:$T$186)+SUMIF(Games!$B$2:$B$186,$A23,Games!$R$2:$R$186)</f>
        <v>83</v>
      </c>
      <c r="H23" s="0" t="n">
        <f aca="false">SUMIF(Games!$A$2:$A$186,$A23,Games!$U$2:$U$186)+SUMIF(Games!$B$2:$B$186,$A23,Games!$V$2:$V$186)</f>
        <v>-1.23275862068966</v>
      </c>
      <c r="I23" s="0" t="n">
        <f aca="false">SUMIF(Games!$A$2:$A$186,$A23,Games!$E$2:$E$186)+SUMIF(Games!$B$2:$B$186,$A23,Games!$F$2:$F$186)</f>
        <v>190</v>
      </c>
      <c r="J23" s="0" t="n">
        <f aca="false">IFERROR(I23/(B23+C23),0)</f>
        <v>95</v>
      </c>
      <c r="K23" s="0" t="n">
        <f aca="false">SUMIF(Games!$A$2:$A$186,$A23,Games!$F$2:$F$186)+SUMIF(Games!$B$2:$B$186,$A23,Games!$E$2:$E$186)</f>
        <v>331</v>
      </c>
      <c r="L23" s="0" t="n">
        <f aca="false">SUMIF(Games!$A$2:$A$186,$A23,Games!$G$2:$G$186)+SUMIF(Games!$B$2:$B$186,$A23,Games!$H$2:$H$186)</f>
        <v>302</v>
      </c>
      <c r="M23" s="0" t="n">
        <f aca="false">IFERROR(L23/(B23+C23),0)</f>
        <v>151</v>
      </c>
      <c r="N23" s="0" t="n">
        <f aca="false">SUMIF(Games!$A$2:$A$186,$A23,Games!$H$2:$H$186)+SUMIF(Games!$B$2:$B$186,$A23,Games!$G$2:$G$186)</f>
        <v>579</v>
      </c>
      <c r="O23" s="0" t="n">
        <f aca="false">SUMIF(Games!$A$2:$A$186,$A23,Games!$I$2:$I$186)+SUMIF(Games!$B$2:$B$186,$A23,Games!$J$2:$J$186)</f>
        <v>3</v>
      </c>
      <c r="P23" s="0" t="n">
        <f aca="false">SUMIF(Games!$A$2:$A$186,$A23,Games!$J$2:$J$186)+SUMIF(Games!$B$2:$B$186,$A23,Games!$I$2:$I$186)</f>
        <v>2</v>
      </c>
      <c r="R23" s="0" t="n">
        <f aca="false">IFERROR((K23+N23)/(B23+C23),0)</f>
        <v>455</v>
      </c>
      <c r="S23" s="0" t="n">
        <f aca="false">P23-O23</f>
        <v>-1</v>
      </c>
      <c r="T23" s="0" t="n">
        <f aca="false">IFERROR((D23/(D23+E23))*(F23/(F23+G23)),0)</f>
        <v>0.0659340659340659</v>
      </c>
      <c r="U23" s="0" t="n">
        <f aca="false">RANK(T23,T$2:T$139)</f>
        <v>12</v>
      </c>
      <c r="V23" s="0" t="n">
        <f aca="false">IFERROR((B23/(B23+C23))*25,0)+IFERROR((D23/(D23+E23))*25,0)+IFERROR((F23/(F23+G23))*10,0)+H23+((J23-RMEAN)/RDEV)*5+((M23-PMEAN)/PDEV)*5+((DMEAN-R23)/DDEV)*7+((S23-TOMEAN)/TODEV)*3</f>
        <v>7.02768864879535</v>
      </c>
    </row>
    <row r="24" customFormat="false" ht="15" hidden="false" customHeight="false" outlineLevel="0" collapsed="false">
      <c r="A24" s="0" t="s">
        <v>28</v>
      </c>
      <c r="B24" s="0" t="n">
        <f aca="false">SUMIF(Games!$A$2:$A$186,$A24,Games!$K$2:$K$186)+SUMIF(Games!$B$2:$B$186,$A24,Games!$L$2:$L$186)</f>
        <v>1</v>
      </c>
      <c r="C24" s="0" t="n">
        <f aca="false">SUMIF(Games!$A$2:$A$186,$A24,Games!$L$2:$L$186)+SUMIF(Games!$B$2:$B$186,$A24,Games!$K$2:$K$186)</f>
        <v>1</v>
      </c>
      <c r="D24" s="0" t="n">
        <f aca="false">SUMIF(Games!$A$2:$A$186,$A24,Games!$O$2:$O$186)+SUMIF(Games!$B$2:$B$186,$A24,Games!$M$2:$M$186)</f>
        <v>7</v>
      </c>
      <c r="E24" s="0" t="n">
        <f aca="false">SUMIF(Games!$A$2:$A$186,$A24,Games!$P$2:$P$186)+SUMIF(Games!$B$2:$B$186,$A24,Games!$N$2:$N$186)</f>
        <v>80</v>
      </c>
      <c r="F24" s="0" t="n">
        <f aca="false">SUMIF(Games!$A$2:$A$186,$A24,Games!$S$2:$S$186)+SUMIF(Games!$B$2:$B$186,$A24,Games!$Q$2:$Q$186)</f>
        <v>119</v>
      </c>
      <c r="G24" s="0" t="n">
        <f aca="false">SUMIF(Games!$A$2:$A$186,$A24,Games!$T$2:$T$186)+SUMIF(Games!$B$2:$B$186,$A24,Games!$R$2:$R$186)</f>
        <v>142</v>
      </c>
      <c r="H24" s="0" t="n">
        <f aca="false">SUMIF(Games!$A$2:$A$186,$A24,Games!$U$2:$U$186)+SUMIF(Games!$B$2:$B$186,$A24,Games!$V$2:$V$186)</f>
        <v>0.685327924273157</v>
      </c>
      <c r="I24" s="0" t="n">
        <f aca="false">SUMIF(Games!$A$2:$A$186,$A24,Games!$E$2:$E$186)+SUMIF(Games!$B$2:$B$186,$A24,Games!$F$2:$F$186)</f>
        <v>303</v>
      </c>
      <c r="J24" s="0" t="n">
        <f aca="false">IFERROR(I24/(B24+C24),0)</f>
        <v>151.5</v>
      </c>
      <c r="K24" s="0" t="n">
        <f aca="false">SUMIF(Games!$A$2:$A$186,$A24,Games!$F$2:$F$186)+SUMIF(Games!$B$2:$B$186,$A24,Games!$E$2:$E$186)</f>
        <v>395</v>
      </c>
      <c r="L24" s="0" t="n">
        <f aca="false">SUMIF(Games!$A$2:$A$186,$A24,Games!$G$2:$G$186)+SUMIF(Games!$B$2:$B$186,$A24,Games!$H$2:$H$186)</f>
        <v>582</v>
      </c>
      <c r="M24" s="0" t="n">
        <f aca="false">IFERROR(L24/(B24+C24),0)</f>
        <v>291</v>
      </c>
      <c r="N24" s="0" t="n">
        <f aca="false">SUMIF(Games!$A$2:$A$186,$A24,Games!$H$2:$H$186)+SUMIF(Games!$B$2:$B$186,$A24,Games!$G$2:$G$186)</f>
        <v>233</v>
      </c>
      <c r="O24" s="0" t="n">
        <f aca="false">SUMIF(Games!$A$2:$A$186,$A24,Games!$I$2:$I$186)+SUMIF(Games!$B$2:$B$186,$A24,Games!$J$2:$J$186)</f>
        <v>2</v>
      </c>
      <c r="P24" s="0" t="n">
        <f aca="false">SUMIF(Games!$A$2:$A$186,$A24,Games!$J$2:$J$186)+SUMIF(Games!$B$2:$B$186,$A24,Games!$I$2:$I$186)</f>
        <v>5</v>
      </c>
      <c r="R24" s="0" t="n">
        <f aca="false">IFERROR((K24+N24)/(B24+C24),0)</f>
        <v>314</v>
      </c>
      <c r="S24" s="0" t="n">
        <f aca="false">P24-O24</f>
        <v>3</v>
      </c>
      <c r="T24" s="0" t="n">
        <f aca="false">IFERROR((D24/(D24+E24))*(F24/(F24+G24)),0)</f>
        <v>0.0366847227727133</v>
      </c>
      <c r="U24" s="0" t="n">
        <f aca="false">RANK(T24,T$2:T$139)</f>
        <v>104</v>
      </c>
      <c r="V24" s="0" t="n">
        <f aca="false">IFERROR((B24/(B24+C24))*25,0)+IFERROR((D24/(D24+E24))*25,0)+IFERROR((F24/(F24+G24))*10,0)+H24+((J24-RMEAN)/RDEV)*5+((M24-PMEAN)/PDEV)*5+((DMEAN-R24)/DDEV)*7+((S24-TOMEAN)/TODEV)*3</f>
        <v>25.8290476884222</v>
      </c>
    </row>
    <row r="25" customFormat="false" ht="15" hidden="false" customHeight="false" outlineLevel="0" collapsed="false">
      <c r="A25" s="0" t="s">
        <v>29</v>
      </c>
      <c r="B25" s="0" t="n">
        <f aca="false">SUMIF(Games!$A$2:$A$186,$A25,Games!$K$2:$K$186)+SUMIF(Games!$B$2:$B$186,$A25,Games!$L$2:$L$186)</f>
        <v>2</v>
      </c>
      <c r="C25" s="0" t="n">
        <f aca="false">SUMIF(Games!$A$2:$A$186,$A25,Games!$L$2:$L$186)+SUMIF(Games!$B$2:$B$186,$A25,Games!$K$2:$K$186)</f>
        <v>0</v>
      </c>
      <c r="D25" s="0" t="n">
        <f aca="false">SUMIF(Games!$A$2:$A$186,$A25,Games!$O$2:$O$186)+SUMIF(Games!$B$2:$B$186,$A25,Games!$M$2:$M$186)</f>
        <v>5</v>
      </c>
      <c r="E25" s="0" t="n">
        <f aca="false">SUMIF(Games!$A$2:$A$186,$A25,Games!$P$2:$P$186)+SUMIF(Games!$B$2:$B$186,$A25,Games!$N$2:$N$186)</f>
        <v>82</v>
      </c>
      <c r="F25" s="0" t="n">
        <f aca="false">SUMIF(Games!$A$2:$A$186,$A25,Games!$S$2:$S$186)+SUMIF(Games!$B$2:$B$186,$A25,Games!$Q$2:$Q$186)</f>
        <v>117</v>
      </c>
      <c r="G25" s="0" t="n">
        <f aca="false">SUMIF(Games!$A$2:$A$186,$A25,Games!$T$2:$T$186)+SUMIF(Games!$B$2:$B$186,$A25,Games!$R$2:$R$186)</f>
        <v>61</v>
      </c>
      <c r="H25" s="0" t="n">
        <f aca="false">SUMIF(Games!$A$2:$A$186,$A25,Games!$U$2:$U$186)+SUMIF(Games!$B$2:$B$186,$A25,Games!$V$2:$V$186)</f>
        <v>1.184246112238</v>
      </c>
      <c r="I25" s="0" t="n">
        <f aca="false">SUMIF(Games!$A$2:$A$186,$A25,Games!$E$2:$E$186)+SUMIF(Games!$B$2:$B$186,$A25,Games!$F$2:$F$186)</f>
        <v>363</v>
      </c>
      <c r="J25" s="0" t="n">
        <f aca="false">IFERROR(I25/(B25+C25),0)</f>
        <v>181.5</v>
      </c>
      <c r="K25" s="0" t="n">
        <f aca="false">SUMIF(Games!$A$2:$A$186,$A25,Games!$F$2:$F$186)+SUMIF(Games!$B$2:$B$186,$A25,Games!$E$2:$E$186)</f>
        <v>178</v>
      </c>
      <c r="L25" s="0" t="n">
        <f aca="false">SUMIF(Games!$A$2:$A$186,$A25,Games!$G$2:$G$186)+SUMIF(Games!$B$2:$B$186,$A25,Games!$H$2:$H$186)</f>
        <v>522</v>
      </c>
      <c r="M25" s="0" t="n">
        <f aca="false">IFERROR(L25/(B25+C25),0)</f>
        <v>261</v>
      </c>
      <c r="N25" s="0" t="n">
        <f aca="false">SUMIF(Games!$A$2:$A$186,$A25,Games!$H$2:$H$186)+SUMIF(Games!$B$2:$B$186,$A25,Games!$G$2:$G$186)</f>
        <v>482</v>
      </c>
      <c r="O25" s="0" t="n">
        <f aca="false">SUMIF(Games!$A$2:$A$186,$A25,Games!$I$2:$I$186)+SUMIF(Games!$B$2:$B$186,$A25,Games!$J$2:$J$186)</f>
        <v>2</v>
      </c>
      <c r="P25" s="0" t="n">
        <f aca="false">SUMIF(Games!$A$2:$A$186,$A25,Games!$J$2:$J$186)+SUMIF(Games!$B$2:$B$186,$A25,Games!$I$2:$I$186)</f>
        <v>3</v>
      </c>
      <c r="R25" s="0" t="n">
        <f aca="false">IFERROR((K25+N25)/(B25+C25),0)</f>
        <v>330</v>
      </c>
      <c r="S25" s="0" t="n">
        <f aca="false">P25-O25</f>
        <v>1</v>
      </c>
      <c r="T25" s="0" t="n">
        <f aca="false">IFERROR((D25/(D25+E25))*(F25/(F25+G25)),0)</f>
        <v>0.0377760557923286</v>
      </c>
      <c r="U25" s="0" t="n">
        <f aca="false">RANK(T25,T$2:T$139)</f>
        <v>93</v>
      </c>
      <c r="V25" s="0" t="n">
        <f aca="false">IFERROR((B25/(B25+C25))*25,0)+IFERROR((D25/(D25+E25))*25,0)+IFERROR((F25/(F25+G25))*10,0)+H25+((J25-RMEAN)/RDEV)*5+((M25-PMEAN)/PDEV)*5+((DMEAN-R25)/DDEV)*7+((S25-TOMEAN)/TODEV)*3</f>
        <v>36.7924899923293</v>
      </c>
    </row>
    <row r="26" customFormat="false" ht="15" hidden="false" customHeight="false" outlineLevel="0" collapsed="false">
      <c r="A26" s="0" t="s">
        <v>30</v>
      </c>
      <c r="B26" s="0" t="n">
        <f aca="false">SUMIF(Games!$A$2:$A$186,$A26,Games!$K$2:$K$186)+SUMIF(Games!$B$2:$B$186,$A26,Games!$L$2:$L$186)</f>
        <v>2</v>
      </c>
      <c r="C26" s="0" t="n">
        <f aca="false">SUMIF(Games!$A$2:$A$186,$A26,Games!$L$2:$L$186)+SUMIF(Games!$B$2:$B$186,$A26,Games!$K$2:$K$186)</f>
        <v>0</v>
      </c>
      <c r="D26" s="0" t="n">
        <f aca="false">SUMIF(Games!$A$2:$A$186,$A26,Games!$O$2:$O$186)+SUMIF(Games!$B$2:$B$186,$A26,Games!$M$2:$M$186)</f>
        <v>6</v>
      </c>
      <c r="E26" s="0" t="n">
        <f aca="false">SUMIF(Games!$A$2:$A$186,$A26,Games!$P$2:$P$186)+SUMIF(Games!$B$2:$B$186,$A26,Games!$N$2:$N$186)</f>
        <v>81</v>
      </c>
      <c r="F26" s="0" t="n">
        <f aca="false">SUMIF(Games!$A$2:$A$186,$A26,Games!$S$2:$S$186)+SUMIF(Games!$B$2:$B$186,$A26,Games!$Q$2:$Q$186)</f>
        <v>120</v>
      </c>
      <c r="G26" s="0" t="n">
        <f aca="false">SUMIF(Games!$A$2:$A$186,$A26,Games!$T$2:$T$186)+SUMIF(Games!$B$2:$B$186,$A26,Games!$R$2:$R$186)</f>
        <v>141</v>
      </c>
      <c r="H26" s="0" t="n">
        <f aca="false">SUMIF(Games!$A$2:$A$186,$A26,Games!$U$2:$U$186)+SUMIF(Games!$B$2:$B$186,$A26,Games!$V$2:$V$186)</f>
        <v>2.18390804597701</v>
      </c>
      <c r="I26" s="0" t="n">
        <f aca="false">SUMIF(Games!$A$2:$A$186,$A26,Games!$E$2:$E$186)+SUMIF(Games!$B$2:$B$186,$A26,Games!$F$2:$F$186)</f>
        <v>450</v>
      </c>
      <c r="J26" s="0" t="n">
        <f aca="false">IFERROR(I26/(B26+C26),0)</f>
        <v>225</v>
      </c>
      <c r="K26" s="0" t="n">
        <f aca="false">SUMIF(Games!$A$2:$A$186,$A26,Games!$F$2:$F$186)+SUMIF(Games!$B$2:$B$186,$A26,Games!$E$2:$E$186)</f>
        <v>349</v>
      </c>
      <c r="L26" s="0" t="n">
        <f aca="false">SUMIF(Games!$A$2:$A$186,$A26,Games!$G$2:$G$186)+SUMIF(Games!$B$2:$B$186,$A26,Games!$H$2:$H$186)</f>
        <v>624</v>
      </c>
      <c r="M26" s="0" t="n">
        <f aca="false">IFERROR(L26/(B26+C26),0)</f>
        <v>312</v>
      </c>
      <c r="N26" s="0" t="n">
        <f aca="false">SUMIF(Games!$A$2:$A$186,$A26,Games!$H$2:$H$186)+SUMIF(Games!$B$2:$B$186,$A26,Games!$G$2:$G$186)</f>
        <v>366</v>
      </c>
      <c r="O26" s="0" t="n">
        <f aca="false">SUMIF(Games!$A$2:$A$186,$A26,Games!$I$2:$I$186)+SUMIF(Games!$B$2:$B$186,$A26,Games!$J$2:$J$186)</f>
        <v>1</v>
      </c>
      <c r="P26" s="0" t="n">
        <f aca="false">SUMIF(Games!$A$2:$A$186,$A26,Games!$J$2:$J$186)+SUMIF(Games!$B$2:$B$186,$A26,Games!$I$2:$I$186)</f>
        <v>8</v>
      </c>
      <c r="R26" s="0" t="n">
        <f aca="false">IFERROR((K26+N26)/(B26+C26),0)</f>
        <v>357.5</v>
      </c>
      <c r="S26" s="0" t="n">
        <f aca="false">P26-O26</f>
        <v>7</v>
      </c>
      <c r="T26" s="0" t="n">
        <f aca="false">IFERROR((D26/(D26+E26))*(F26/(F26+G26)),0)</f>
        <v>0.0317082837891399</v>
      </c>
      <c r="U26" s="0" t="n">
        <f aca="false">RANK(T26,T$2:T$139)</f>
        <v>118</v>
      </c>
      <c r="V26" s="0" t="n">
        <f aca="false">IFERROR((B26/(B26+C26))*25,0)+IFERROR((D26/(D26+E26))*25,0)+IFERROR((F26/(F26+G26))*10,0)+H26+((J26-RMEAN)/RDEV)*5+((M26-PMEAN)/PDEV)*5+((DMEAN-R26)/DDEV)*7+((S26-TOMEAN)/TODEV)*3</f>
        <v>47.9030404812919</v>
      </c>
    </row>
    <row r="27" customFormat="false" ht="15" hidden="false" customHeight="false" outlineLevel="0" collapsed="false">
      <c r="A27" s="0" t="s">
        <v>31</v>
      </c>
      <c r="B27" s="0" t="n">
        <f aca="false">SUMIF(Games!$A$2:$A$186,$A27,Games!$K$2:$K$186)+SUMIF(Games!$B$2:$B$186,$A27,Games!$L$2:$L$186)</f>
        <v>1</v>
      </c>
      <c r="C27" s="0" t="n">
        <f aca="false">SUMIF(Games!$A$2:$A$186,$A27,Games!$L$2:$L$186)+SUMIF(Games!$B$2:$B$186,$A27,Games!$K$2:$K$186)</f>
        <v>1</v>
      </c>
      <c r="D27" s="0" t="n">
        <f aca="false">SUMIF(Games!$A$2:$A$186,$A27,Games!$O$2:$O$186)+SUMIF(Games!$B$2:$B$186,$A27,Games!$M$2:$M$186)</f>
        <v>7</v>
      </c>
      <c r="E27" s="0" t="n">
        <f aca="false">SUMIF(Games!$A$2:$A$186,$A27,Games!$P$2:$P$186)+SUMIF(Games!$B$2:$B$186,$A27,Games!$N$2:$N$186)</f>
        <v>80</v>
      </c>
      <c r="F27" s="0" t="n">
        <f aca="false">SUMIF(Games!$A$2:$A$186,$A27,Games!$S$2:$S$186)+SUMIF(Games!$B$2:$B$186,$A27,Games!$Q$2:$Q$186)</f>
        <v>119</v>
      </c>
      <c r="G27" s="0" t="n">
        <f aca="false">SUMIF(Games!$A$2:$A$186,$A27,Games!$T$2:$T$186)+SUMIF(Games!$B$2:$B$186,$A27,Games!$R$2:$R$186)</f>
        <v>142</v>
      </c>
      <c r="H27" s="0" t="n">
        <f aca="false">SUMIF(Games!$A$2:$A$186,$A27,Games!$U$2:$U$186)+SUMIF(Games!$B$2:$B$186,$A27,Games!$V$2:$V$186)</f>
        <v>0.499121027721433</v>
      </c>
      <c r="I27" s="0" t="n">
        <f aca="false">SUMIF(Games!$A$2:$A$186,$A27,Games!$E$2:$E$186)+SUMIF(Games!$B$2:$B$186,$A27,Games!$F$2:$F$186)</f>
        <v>210</v>
      </c>
      <c r="J27" s="0" t="n">
        <f aca="false">IFERROR(I27/(B27+C27),0)</f>
        <v>105</v>
      </c>
      <c r="K27" s="0" t="n">
        <f aca="false">SUMIF(Games!$A$2:$A$186,$A27,Games!$F$2:$F$186)+SUMIF(Games!$B$2:$B$186,$A27,Games!$E$2:$E$186)</f>
        <v>148</v>
      </c>
      <c r="L27" s="0" t="n">
        <f aca="false">SUMIF(Games!$A$2:$A$186,$A27,Games!$G$2:$G$186)+SUMIF(Games!$B$2:$B$186,$A27,Games!$H$2:$H$186)</f>
        <v>675</v>
      </c>
      <c r="M27" s="0" t="n">
        <f aca="false">IFERROR(L27/(B27+C27),0)</f>
        <v>337.5</v>
      </c>
      <c r="N27" s="0" t="n">
        <f aca="false">SUMIF(Games!$A$2:$A$186,$A27,Games!$H$2:$H$186)+SUMIF(Games!$B$2:$B$186,$A27,Games!$G$2:$G$186)</f>
        <v>435</v>
      </c>
      <c r="O27" s="0" t="n">
        <f aca="false">SUMIF(Games!$A$2:$A$186,$A27,Games!$I$2:$I$186)+SUMIF(Games!$B$2:$B$186,$A27,Games!$J$2:$J$186)</f>
        <v>3</v>
      </c>
      <c r="P27" s="0" t="n">
        <f aca="false">SUMIF(Games!$A$2:$A$186,$A27,Games!$J$2:$J$186)+SUMIF(Games!$B$2:$B$186,$A27,Games!$I$2:$I$186)</f>
        <v>3</v>
      </c>
      <c r="R27" s="0" t="n">
        <f aca="false">IFERROR((K27+N27)/(B27+C27),0)</f>
        <v>291.5</v>
      </c>
      <c r="S27" s="0" t="n">
        <f aca="false">P27-O27</f>
        <v>0</v>
      </c>
      <c r="T27" s="0" t="n">
        <f aca="false">IFERROR((D27/(D27+E27))*(F27/(F27+G27)),0)</f>
        <v>0.0366847227727133</v>
      </c>
      <c r="U27" s="0" t="n">
        <f aca="false">RANK(T27,T$2:T$139)</f>
        <v>104</v>
      </c>
      <c r="V27" s="0" t="n">
        <f aca="false">IFERROR((B27/(B27+C27))*25,0)+IFERROR((D27/(D27+E27))*25,0)+IFERROR((F27/(F27+G27))*10,0)+H27+((J27-RMEAN)/RDEV)*5+((M27-PMEAN)/PDEV)*5+((DMEAN-R27)/DDEV)*7+((S27-TOMEAN)/TODEV)*3</f>
        <v>23.5299948094892</v>
      </c>
    </row>
    <row r="28" customFormat="false" ht="15" hidden="false" customHeight="false" outlineLevel="0" collapsed="false">
      <c r="A28" s="0" t="s">
        <v>32</v>
      </c>
      <c r="B28" s="0" t="n">
        <f aca="false">SUMIF(Games!$A$2:$A$186,$A28,Games!$K$2:$K$186)+SUMIF(Games!$B$2:$B$186,$A28,Games!$L$2:$L$186)</f>
        <v>2</v>
      </c>
      <c r="C28" s="0" t="n">
        <f aca="false">SUMIF(Games!$A$2:$A$186,$A28,Games!$L$2:$L$186)+SUMIF(Games!$B$2:$B$186,$A28,Games!$K$2:$K$186)</f>
        <v>0</v>
      </c>
      <c r="D28" s="0" t="n">
        <f aca="false">SUMIF(Games!$A$2:$A$186,$A28,Games!$O$2:$O$186)+SUMIF(Games!$B$2:$B$186,$A28,Games!$M$2:$M$186)</f>
        <v>2</v>
      </c>
      <c r="E28" s="0" t="n">
        <f aca="false">SUMIF(Games!$A$2:$A$186,$A28,Games!$P$2:$P$186)+SUMIF(Games!$B$2:$B$186,$A28,Games!$N$2:$N$186)</f>
        <v>2</v>
      </c>
      <c r="F28" s="0" t="n">
        <f aca="false">SUMIF(Games!$A$2:$A$186,$A28,Games!$S$2:$S$186)+SUMIF(Games!$B$2:$B$186,$A28,Games!$Q$2:$Q$186)</f>
        <v>6</v>
      </c>
      <c r="G28" s="0" t="n">
        <f aca="false">SUMIF(Games!$A$2:$A$186,$A28,Games!$T$2:$T$186)+SUMIF(Games!$B$2:$B$186,$A28,Games!$R$2:$R$186)</f>
        <v>2</v>
      </c>
      <c r="H28" s="0" t="n">
        <f aca="false">SUMIF(Games!$A$2:$A$186,$A28,Games!$U$2:$U$186)+SUMIF(Games!$B$2:$B$186,$A28,Games!$V$2:$V$186)</f>
        <v>6.75</v>
      </c>
      <c r="I28" s="0" t="n">
        <f aca="false">SUMIF(Games!$A$2:$A$186,$A28,Games!$E$2:$E$186)+SUMIF(Games!$B$2:$B$186,$A28,Games!$F$2:$F$186)</f>
        <v>420</v>
      </c>
      <c r="J28" s="0" t="n">
        <f aca="false">IFERROR(I28/(B28+C28),0)</f>
        <v>210</v>
      </c>
      <c r="K28" s="0" t="n">
        <f aca="false">SUMIF(Games!$A$2:$A$186,$A28,Games!$F$2:$F$186)+SUMIF(Games!$B$2:$B$186,$A28,Games!$E$2:$E$186)</f>
        <v>165</v>
      </c>
      <c r="L28" s="0" t="n">
        <f aca="false">SUMIF(Games!$A$2:$A$186,$A28,Games!$G$2:$G$186)+SUMIF(Games!$B$2:$B$186,$A28,Games!$H$2:$H$186)</f>
        <v>337</v>
      </c>
      <c r="M28" s="0" t="n">
        <f aca="false">IFERROR(L28/(B28+C28),0)</f>
        <v>168.5</v>
      </c>
      <c r="N28" s="0" t="n">
        <f aca="false">SUMIF(Games!$A$2:$A$186,$A28,Games!$H$2:$H$186)+SUMIF(Games!$B$2:$B$186,$A28,Games!$G$2:$G$186)</f>
        <v>475</v>
      </c>
      <c r="O28" s="0" t="n">
        <f aca="false">SUMIF(Games!$A$2:$A$186,$A28,Games!$I$2:$I$186)+SUMIF(Games!$B$2:$B$186,$A28,Games!$J$2:$J$186)</f>
        <v>1</v>
      </c>
      <c r="P28" s="0" t="n">
        <f aca="false">SUMIF(Games!$A$2:$A$186,$A28,Games!$J$2:$J$186)+SUMIF(Games!$B$2:$B$186,$A28,Games!$I$2:$I$186)</f>
        <v>2</v>
      </c>
      <c r="R28" s="0" t="n">
        <f aca="false">IFERROR((K28+N28)/(B28+C28),0)</f>
        <v>320</v>
      </c>
      <c r="S28" s="0" t="n">
        <f aca="false">P28-O28</f>
        <v>1</v>
      </c>
      <c r="T28" s="0" t="n">
        <f aca="false">IFERROR((D28/(D28+E28))*(F28/(F28+G28)),0)</f>
        <v>0.375</v>
      </c>
      <c r="U28" s="0" t="n">
        <f aca="false">RANK(T28,T$2:T$139)</f>
        <v>1</v>
      </c>
      <c r="V28" s="0" t="n">
        <f aca="false">IFERROR((B28/(B28+C28))*25,0)+IFERROR((D28/(D28+E28))*25,0)+IFERROR((F28/(F28+G28))*10,0)+H28+((J28-RMEAN)/RDEV)*5+((M28-PMEAN)/PDEV)*5+((DMEAN-R28)/DDEV)*7+((S28-TOMEAN)/TODEV)*3</f>
        <v>50.9279519306207</v>
      </c>
    </row>
    <row r="29" customFormat="false" ht="15" hidden="false" customHeight="false" outlineLevel="0" collapsed="false">
      <c r="A29" s="0" t="s">
        <v>33</v>
      </c>
      <c r="B29" s="0" t="n">
        <f aca="false">SUMIF(Games!$A$2:$A$186,$A29,Games!$K$2:$K$186)+SUMIF(Games!$B$2:$B$186,$A29,Games!$L$2:$L$186)</f>
        <v>0</v>
      </c>
      <c r="C29" s="0" t="n">
        <f aca="false">SUMIF(Games!$A$2:$A$186,$A29,Games!$L$2:$L$186)+SUMIF(Games!$B$2:$B$186,$A29,Games!$K$2:$K$186)</f>
        <v>2</v>
      </c>
      <c r="D29" s="0" t="n">
        <f aca="false">SUMIF(Games!$A$2:$A$186,$A29,Games!$O$2:$O$186)+SUMIF(Games!$B$2:$B$186,$A29,Games!$M$2:$M$186)</f>
        <v>4</v>
      </c>
      <c r="E29" s="0" t="n">
        <f aca="false">SUMIF(Games!$A$2:$A$186,$A29,Games!$P$2:$P$186)+SUMIF(Games!$B$2:$B$186,$A29,Games!$N$2:$N$186)</f>
        <v>0</v>
      </c>
      <c r="F29" s="0" t="n">
        <f aca="false">SUMIF(Games!$A$2:$A$186,$A29,Games!$S$2:$S$186)+SUMIF(Games!$B$2:$B$186,$A29,Games!$Q$2:$Q$186)</f>
        <v>6</v>
      </c>
      <c r="G29" s="0" t="n">
        <f aca="false">SUMIF(Games!$A$2:$A$186,$A29,Games!$T$2:$T$186)+SUMIF(Games!$B$2:$B$186,$A29,Games!$R$2:$R$186)</f>
        <v>85</v>
      </c>
      <c r="H29" s="0" t="n">
        <f aca="false">SUMIF(Games!$A$2:$A$186,$A29,Games!$U$2:$U$186)+SUMIF(Games!$B$2:$B$186,$A29,Games!$V$2:$V$186)</f>
        <v>-2.90775862068966</v>
      </c>
      <c r="I29" s="0" t="n">
        <f aca="false">SUMIF(Games!$A$2:$A$186,$A29,Games!$E$2:$E$186)+SUMIF(Games!$B$2:$B$186,$A29,Games!$F$2:$F$186)</f>
        <v>189</v>
      </c>
      <c r="J29" s="0" t="n">
        <f aca="false">IFERROR(I29/(B29+C29),0)</f>
        <v>94.5</v>
      </c>
      <c r="K29" s="0" t="n">
        <f aca="false">SUMIF(Games!$A$2:$A$186,$A29,Games!$F$2:$F$186)+SUMIF(Games!$B$2:$B$186,$A29,Games!$E$2:$E$186)</f>
        <v>356</v>
      </c>
      <c r="L29" s="0" t="n">
        <f aca="false">SUMIF(Games!$A$2:$A$186,$A29,Games!$G$2:$G$186)+SUMIF(Games!$B$2:$B$186,$A29,Games!$H$2:$H$186)</f>
        <v>390</v>
      </c>
      <c r="M29" s="0" t="n">
        <f aca="false">IFERROR(L29/(B29+C29),0)</f>
        <v>195</v>
      </c>
      <c r="N29" s="0" t="n">
        <f aca="false">SUMIF(Games!$A$2:$A$186,$A29,Games!$H$2:$H$186)+SUMIF(Games!$B$2:$B$186,$A29,Games!$G$2:$G$186)</f>
        <v>527</v>
      </c>
      <c r="O29" s="0" t="n">
        <f aca="false">SUMIF(Games!$A$2:$A$186,$A29,Games!$I$2:$I$186)+SUMIF(Games!$B$2:$B$186,$A29,Games!$J$2:$J$186)</f>
        <v>3</v>
      </c>
      <c r="P29" s="0" t="n">
        <f aca="false">SUMIF(Games!$A$2:$A$186,$A29,Games!$J$2:$J$186)+SUMIF(Games!$B$2:$B$186,$A29,Games!$I$2:$I$186)</f>
        <v>1</v>
      </c>
      <c r="R29" s="0" t="n">
        <f aca="false">IFERROR((K29+N29)/(B29+C29),0)</f>
        <v>441.5</v>
      </c>
      <c r="S29" s="0" t="n">
        <f aca="false">P29-O29</f>
        <v>-2</v>
      </c>
      <c r="T29" s="0" t="n">
        <f aca="false">IFERROR((D29/(D29+E29))*(F29/(F29+G29)),0)</f>
        <v>0.0659340659340659</v>
      </c>
      <c r="U29" s="0" t="n">
        <f aca="false">RANK(T29,T$2:T$139)</f>
        <v>12</v>
      </c>
      <c r="V29" s="0" t="n">
        <f aca="false">IFERROR((B29/(B29+C29))*25,0)+IFERROR((D29/(D29+E29))*25,0)+IFERROR((F29/(F29+G29))*10,0)+H29+((J29-RMEAN)/RDEV)*5+((M29-PMEAN)/PDEV)*5+((DMEAN-R29)/DDEV)*7+((S29-TOMEAN)/TODEV)*3</f>
        <v>1.75181738433183</v>
      </c>
    </row>
    <row r="30" customFormat="false" ht="15" hidden="false" customHeight="false" outlineLevel="0" collapsed="false">
      <c r="A30" s="0" t="s">
        <v>34</v>
      </c>
      <c r="B30" s="0" t="n">
        <f aca="false">SUMIF(Games!$A$2:$A$186,$A30,Games!$K$2:$K$186)+SUMIF(Games!$B$2:$B$186,$A30,Games!$L$2:$L$186)</f>
        <v>1</v>
      </c>
      <c r="C30" s="0" t="n">
        <f aca="false">SUMIF(Games!$A$2:$A$186,$A30,Games!$L$2:$L$186)+SUMIF(Games!$B$2:$B$186,$A30,Games!$K$2:$K$186)</f>
        <v>2</v>
      </c>
      <c r="D30" s="0" t="n">
        <f aca="false">SUMIF(Games!$A$2:$A$186,$A30,Games!$O$2:$O$186)+SUMIF(Games!$B$2:$B$186,$A30,Games!$M$2:$M$186)</f>
        <v>5</v>
      </c>
      <c r="E30" s="0" t="n">
        <f aca="false">SUMIF(Games!$A$2:$A$186,$A30,Games!$P$2:$P$186)+SUMIF(Games!$B$2:$B$186,$A30,Games!$N$2:$N$186)</f>
        <v>3</v>
      </c>
      <c r="F30" s="0" t="n">
        <f aca="false">SUMIF(Games!$A$2:$A$186,$A30,Games!$S$2:$S$186)+SUMIF(Games!$B$2:$B$186,$A30,Games!$Q$2:$Q$186)</f>
        <v>18</v>
      </c>
      <c r="G30" s="0" t="n">
        <f aca="false">SUMIF(Games!$A$2:$A$186,$A30,Games!$T$2:$T$186)+SUMIF(Games!$B$2:$B$186,$A30,Games!$R$2:$R$186)</f>
        <v>168</v>
      </c>
      <c r="H30" s="0" t="n">
        <f aca="false">SUMIF(Games!$A$2:$A$186,$A30,Games!$U$2:$U$186)+SUMIF(Games!$B$2:$B$186,$A30,Games!$V$2:$V$186)</f>
        <v>-3.19701261701262</v>
      </c>
      <c r="I30" s="0" t="n">
        <f aca="false">SUMIF(Games!$A$2:$A$186,$A30,Games!$E$2:$E$186)+SUMIF(Games!$B$2:$B$186,$A30,Games!$F$2:$F$186)</f>
        <v>277</v>
      </c>
      <c r="J30" s="0" t="n">
        <f aca="false">IFERROR(I30/(B30+C30),0)</f>
        <v>92.3333333333333</v>
      </c>
      <c r="K30" s="0" t="n">
        <f aca="false">SUMIF(Games!$A$2:$A$186,$A30,Games!$F$2:$F$186)+SUMIF(Games!$B$2:$B$186,$A30,Games!$E$2:$E$186)</f>
        <v>444</v>
      </c>
      <c r="L30" s="0" t="n">
        <f aca="false">SUMIF(Games!$A$2:$A$186,$A30,Games!$G$2:$G$186)+SUMIF(Games!$B$2:$B$186,$A30,Games!$H$2:$H$186)</f>
        <v>571</v>
      </c>
      <c r="M30" s="0" t="n">
        <f aca="false">IFERROR(L30/(B30+C30),0)</f>
        <v>190.333333333333</v>
      </c>
      <c r="N30" s="0" t="n">
        <f aca="false">SUMIF(Games!$A$2:$A$186,$A30,Games!$H$2:$H$186)+SUMIF(Games!$B$2:$B$186,$A30,Games!$G$2:$G$186)</f>
        <v>749</v>
      </c>
      <c r="O30" s="0" t="n">
        <f aca="false">SUMIF(Games!$A$2:$A$186,$A30,Games!$I$2:$I$186)+SUMIF(Games!$B$2:$B$186,$A30,Games!$J$2:$J$186)</f>
        <v>3</v>
      </c>
      <c r="P30" s="0" t="n">
        <f aca="false">SUMIF(Games!$A$2:$A$186,$A30,Games!$J$2:$J$186)+SUMIF(Games!$B$2:$B$186,$A30,Games!$I$2:$I$186)</f>
        <v>5</v>
      </c>
      <c r="R30" s="0" t="n">
        <f aca="false">IFERROR((K30+N30)/(B30+C30),0)</f>
        <v>397.666666666667</v>
      </c>
      <c r="S30" s="0" t="n">
        <f aca="false">P30-O30</f>
        <v>2</v>
      </c>
      <c r="T30" s="0" t="n">
        <f aca="false">IFERROR((D30/(D30+E30))*(F30/(F30+G30)),0)</f>
        <v>0.0604838709677419</v>
      </c>
      <c r="U30" s="0" t="n">
        <f aca="false">RANK(T30,T$2:T$139)</f>
        <v>25</v>
      </c>
      <c r="V30" s="0" t="n">
        <f aca="false">IFERROR((B30/(B30+C30))*25,0)+IFERROR((D30/(D30+E30))*25,0)+IFERROR((F30/(F30+G30))*10,0)+H30+((J30-RMEAN)/RDEV)*5+((M30-PMEAN)/PDEV)*5+((DMEAN-R30)/DDEV)*7+((S30-TOMEAN)/TODEV)*3</f>
        <v>8.53496187660372</v>
      </c>
    </row>
    <row r="31" customFormat="false" ht="15" hidden="false" customHeight="false" outlineLevel="0" collapsed="false">
      <c r="A31" s="0" t="s">
        <v>35</v>
      </c>
      <c r="B31" s="0" t="n">
        <f aca="false">SUMIF(Games!$A$2:$A$186,$A31,Games!$K$2:$K$186)+SUMIF(Games!$B$2:$B$186,$A31,Games!$L$2:$L$186)</f>
        <v>1</v>
      </c>
      <c r="C31" s="0" t="n">
        <f aca="false">SUMIF(Games!$A$2:$A$186,$A31,Games!$L$2:$L$186)+SUMIF(Games!$B$2:$B$186,$A31,Games!$K$2:$K$186)</f>
        <v>1</v>
      </c>
      <c r="D31" s="0" t="n">
        <f aca="false">SUMIF(Games!$A$2:$A$186,$A31,Games!$O$2:$O$186)+SUMIF(Games!$B$2:$B$186,$A31,Games!$M$2:$M$186)</f>
        <v>3</v>
      </c>
      <c r="E31" s="0" t="n">
        <f aca="false">SUMIF(Games!$A$2:$A$186,$A31,Games!$P$2:$P$186)+SUMIF(Games!$B$2:$B$186,$A31,Games!$N$2:$N$186)</f>
        <v>1</v>
      </c>
      <c r="F31" s="0" t="n">
        <f aca="false">SUMIF(Games!$A$2:$A$186,$A31,Games!$S$2:$S$186)+SUMIF(Games!$B$2:$B$186,$A31,Games!$Q$2:$Q$186)</f>
        <v>8</v>
      </c>
      <c r="G31" s="0" t="n">
        <f aca="false">SUMIF(Games!$A$2:$A$186,$A31,Games!$T$2:$T$186)+SUMIF(Games!$B$2:$B$186,$A31,Games!$R$2:$R$186)</f>
        <v>83</v>
      </c>
      <c r="H31" s="0" t="n">
        <f aca="false">SUMIF(Games!$A$2:$A$186,$A31,Games!$U$2:$U$186)+SUMIF(Games!$B$2:$B$186,$A31,Games!$V$2:$V$186)</f>
        <v>-0.0517241379310345</v>
      </c>
      <c r="I31" s="0" t="n">
        <f aca="false">SUMIF(Games!$A$2:$A$186,$A31,Games!$E$2:$E$186)+SUMIF(Games!$B$2:$B$186,$A31,Games!$F$2:$F$186)</f>
        <v>234</v>
      </c>
      <c r="J31" s="0" t="n">
        <f aca="false">IFERROR(I31/(B31+C31),0)</f>
        <v>117</v>
      </c>
      <c r="K31" s="0" t="n">
        <f aca="false">SUMIF(Games!$A$2:$A$186,$A31,Games!$F$2:$F$186)+SUMIF(Games!$B$2:$B$186,$A31,Games!$E$2:$E$186)</f>
        <v>167</v>
      </c>
      <c r="L31" s="0" t="n">
        <f aca="false">SUMIF(Games!$A$2:$A$186,$A31,Games!$G$2:$G$186)+SUMIF(Games!$B$2:$B$186,$A31,Games!$H$2:$H$186)</f>
        <v>687</v>
      </c>
      <c r="M31" s="0" t="n">
        <f aca="false">IFERROR(L31/(B31+C31),0)</f>
        <v>343.5</v>
      </c>
      <c r="N31" s="0" t="n">
        <f aca="false">SUMIF(Games!$A$2:$A$186,$A31,Games!$H$2:$H$186)+SUMIF(Games!$B$2:$B$186,$A31,Games!$G$2:$G$186)</f>
        <v>349</v>
      </c>
      <c r="O31" s="0" t="n">
        <f aca="false">SUMIF(Games!$A$2:$A$186,$A31,Games!$I$2:$I$186)+SUMIF(Games!$B$2:$B$186,$A31,Games!$J$2:$J$186)</f>
        <v>4</v>
      </c>
      <c r="P31" s="0" t="n">
        <f aca="false">SUMIF(Games!$A$2:$A$186,$A31,Games!$J$2:$J$186)+SUMIF(Games!$B$2:$B$186,$A31,Games!$I$2:$I$186)</f>
        <v>3</v>
      </c>
      <c r="R31" s="0" t="n">
        <f aca="false">IFERROR((K31+N31)/(B31+C31),0)</f>
        <v>258</v>
      </c>
      <c r="S31" s="0" t="n">
        <f aca="false">P31-O31</f>
        <v>-1</v>
      </c>
      <c r="T31" s="0" t="n">
        <f aca="false">IFERROR((D31/(D31+E31))*(F31/(F31+G31)),0)</f>
        <v>0.0659340659340659</v>
      </c>
      <c r="U31" s="0" t="n">
        <f aca="false">RANK(T31,T$2:T$139)</f>
        <v>12</v>
      </c>
      <c r="V31" s="0" t="n">
        <f aca="false">IFERROR((B31/(B31+C31))*25,0)+IFERROR((D31/(D31+E31))*25,0)+IFERROR((F31/(F31+G31))*10,0)+H31+((J31-RMEAN)/RDEV)*5+((M31-PMEAN)/PDEV)*5+((DMEAN-R31)/DDEV)*7+((S31-TOMEAN)/TODEV)*3</f>
        <v>38.8276611636749</v>
      </c>
    </row>
    <row r="32" customFormat="false" ht="15" hidden="false" customHeight="false" outlineLevel="0" collapsed="false">
      <c r="A32" s="0" t="s">
        <v>36</v>
      </c>
      <c r="B32" s="0" t="n">
        <f aca="false">SUMIF(Games!$A$2:$A$186,$A32,Games!$K$2:$K$186)+SUMIF(Games!$B$2:$B$186,$A32,Games!$L$2:$L$186)</f>
        <v>2</v>
      </c>
      <c r="C32" s="0" t="n">
        <f aca="false">SUMIF(Games!$A$2:$A$186,$A32,Games!$L$2:$L$186)+SUMIF(Games!$B$2:$B$186,$A32,Games!$K$2:$K$186)</f>
        <v>0</v>
      </c>
      <c r="D32" s="0" t="n">
        <f aca="false">SUMIF(Games!$A$2:$A$186,$A32,Games!$O$2:$O$186)+SUMIF(Games!$B$2:$B$186,$A32,Games!$M$2:$M$186)</f>
        <v>6</v>
      </c>
      <c r="E32" s="0" t="n">
        <f aca="false">SUMIF(Games!$A$2:$A$186,$A32,Games!$P$2:$P$186)+SUMIF(Games!$B$2:$B$186,$A32,Games!$N$2:$N$186)</f>
        <v>81</v>
      </c>
      <c r="F32" s="0" t="n">
        <f aca="false">SUMIF(Games!$A$2:$A$186,$A32,Games!$S$2:$S$186)+SUMIF(Games!$B$2:$B$186,$A32,Games!$Q$2:$Q$186)</f>
        <v>116</v>
      </c>
      <c r="G32" s="0" t="n">
        <f aca="false">SUMIF(Games!$A$2:$A$186,$A32,Games!$T$2:$T$186)+SUMIF(Games!$B$2:$B$186,$A32,Games!$R$2:$R$186)</f>
        <v>62</v>
      </c>
      <c r="H32" s="0" t="n">
        <f aca="false">SUMIF(Games!$A$2:$A$186,$A32,Games!$U$2:$U$186)+SUMIF(Games!$B$2:$B$186,$A32,Games!$V$2:$V$186)</f>
        <v>14.4620520622042</v>
      </c>
      <c r="I32" s="0" t="n">
        <f aca="false">SUMIF(Games!$A$2:$A$186,$A32,Games!$E$2:$E$186)+SUMIF(Games!$B$2:$B$186,$A32,Games!$F$2:$F$186)</f>
        <v>495</v>
      </c>
      <c r="J32" s="0" t="n">
        <f aca="false">IFERROR(I32/(B32+C32),0)</f>
        <v>247.5</v>
      </c>
      <c r="K32" s="0" t="n">
        <f aca="false">SUMIF(Games!$A$2:$A$186,$A32,Games!$F$2:$F$186)+SUMIF(Games!$B$2:$B$186,$A32,Games!$E$2:$E$186)</f>
        <v>182</v>
      </c>
      <c r="L32" s="0" t="n">
        <f aca="false">SUMIF(Games!$A$2:$A$186,$A32,Games!$G$2:$G$186)+SUMIF(Games!$B$2:$B$186,$A32,Games!$H$2:$H$186)</f>
        <v>643</v>
      </c>
      <c r="M32" s="0" t="n">
        <f aca="false">IFERROR(L32/(B32+C32),0)</f>
        <v>321.5</v>
      </c>
      <c r="N32" s="0" t="n">
        <f aca="false">SUMIF(Games!$A$2:$A$186,$A32,Games!$H$2:$H$186)+SUMIF(Games!$B$2:$B$186,$A32,Games!$G$2:$G$186)</f>
        <v>424</v>
      </c>
      <c r="O32" s="0" t="n">
        <f aca="false">SUMIF(Games!$A$2:$A$186,$A32,Games!$I$2:$I$186)+SUMIF(Games!$B$2:$B$186,$A32,Games!$J$2:$J$186)</f>
        <v>3</v>
      </c>
      <c r="P32" s="0" t="n">
        <f aca="false">SUMIF(Games!$A$2:$A$186,$A32,Games!$J$2:$J$186)+SUMIF(Games!$B$2:$B$186,$A32,Games!$I$2:$I$186)</f>
        <v>5</v>
      </c>
      <c r="R32" s="0" t="n">
        <f aca="false">IFERROR((K32+N32)/(B32+C32),0)</f>
        <v>303</v>
      </c>
      <c r="S32" s="0" t="n">
        <f aca="false">P32-O32</f>
        <v>2</v>
      </c>
      <c r="T32" s="0" t="n">
        <f aca="false">IFERROR((D32/(D32+E32))*(F32/(F32+G32)),0)</f>
        <v>0.0449438202247191</v>
      </c>
      <c r="U32" s="0" t="n">
        <f aca="false">RANK(T32,T$2:T$139)</f>
        <v>71</v>
      </c>
      <c r="V32" s="0" t="n">
        <f aca="false">IFERROR((B32/(B32+C32))*25,0)+IFERROR((D32/(D32+E32))*25,0)+IFERROR((F32/(F32+G32))*10,0)+H32+((J32-RMEAN)/RDEV)*5+((M32-PMEAN)/PDEV)*5+((DMEAN-R32)/DDEV)*7+((S32-TOMEAN)/TODEV)*3</f>
        <v>62.8016455502251</v>
      </c>
    </row>
    <row r="33" customFormat="false" ht="15" hidden="false" customHeight="false" outlineLevel="0" collapsed="false">
      <c r="A33" s="0" t="s">
        <v>37</v>
      </c>
      <c r="B33" s="0" t="n">
        <f aca="false">SUMIF(Games!$A$2:$A$186,$A33,Games!$K$2:$K$186)+SUMIF(Games!$B$2:$B$186,$A33,Games!$L$2:$L$186)</f>
        <v>1</v>
      </c>
      <c r="C33" s="0" t="n">
        <f aca="false">SUMIF(Games!$A$2:$A$186,$A33,Games!$L$2:$L$186)+SUMIF(Games!$B$2:$B$186,$A33,Games!$K$2:$K$186)</f>
        <v>1</v>
      </c>
      <c r="D33" s="0" t="n">
        <f aca="false">SUMIF(Games!$A$2:$A$186,$A33,Games!$O$2:$O$186)+SUMIF(Games!$B$2:$B$186,$A33,Games!$M$2:$M$186)</f>
        <v>3</v>
      </c>
      <c r="E33" s="0" t="n">
        <f aca="false">SUMIF(Games!$A$2:$A$186,$A33,Games!$P$2:$P$186)+SUMIF(Games!$B$2:$B$186,$A33,Games!$N$2:$N$186)</f>
        <v>1</v>
      </c>
      <c r="F33" s="0" t="n">
        <f aca="false">SUMIF(Games!$A$2:$A$186,$A33,Games!$S$2:$S$186)+SUMIF(Games!$B$2:$B$186,$A33,Games!$Q$2:$Q$186)</f>
        <v>12</v>
      </c>
      <c r="G33" s="0" t="n">
        <f aca="false">SUMIF(Games!$A$2:$A$186,$A33,Games!$T$2:$T$186)+SUMIF(Games!$B$2:$B$186,$A33,Games!$R$2:$R$186)</f>
        <v>162</v>
      </c>
      <c r="H33" s="0" t="n">
        <f aca="false">SUMIF(Games!$A$2:$A$186,$A33,Games!$U$2:$U$186)+SUMIF(Games!$B$2:$B$186,$A33,Games!$V$2:$V$186)</f>
        <v>-2.98275862068966</v>
      </c>
      <c r="I33" s="0" t="n">
        <f aca="false">SUMIF(Games!$A$2:$A$186,$A33,Games!$E$2:$E$186)+SUMIF(Games!$B$2:$B$186,$A33,Games!$F$2:$F$186)</f>
        <v>162</v>
      </c>
      <c r="J33" s="0" t="n">
        <f aca="false">IFERROR(I33/(B33+C33),0)</f>
        <v>81</v>
      </c>
      <c r="K33" s="0" t="n">
        <f aca="false">SUMIF(Games!$A$2:$A$186,$A33,Games!$F$2:$F$186)+SUMIF(Games!$B$2:$B$186,$A33,Games!$E$2:$E$186)</f>
        <v>527</v>
      </c>
      <c r="L33" s="0" t="n">
        <f aca="false">SUMIF(Games!$A$2:$A$186,$A33,Games!$G$2:$G$186)+SUMIF(Games!$B$2:$B$186,$A33,Games!$H$2:$H$186)</f>
        <v>662</v>
      </c>
      <c r="M33" s="0" t="n">
        <f aca="false">IFERROR(L33/(B33+C33),0)</f>
        <v>331</v>
      </c>
      <c r="N33" s="0" t="n">
        <f aca="false">SUMIF(Games!$A$2:$A$186,$A33,Games!$H$2:$H$186)+SUMIF(Games!$B$2:$B$186,$A33,Games!$G$2:$G$186)</f>
        <v>490</v>
      </c>
      <c r="O33" s="0" t="n">
        <f aca="false">SUMIF(Games!$A$2:$A$186,$A33,Games!$I$2:$I$186)+SUMIF(Games!$B$2:$B$186,$A33,Games!$J$2:$J$186)</f>
        <v>3</v>
      </c>
      <c r="P33" s="0" t="n">
        <f aca="false">SUMIF(Games!$A$2:$A$186,$A33,Games!$J$2:$J$186)+SUMIF(Games!$B$2:$B$186,$A33,Games!$I$2:$I$186)</f>
        <v>3</v>
      </c>
      <c r="R33" s="0" t="n">
        <f aca="false">IFERROR((K33+N33)/(B33+C33),0)</f>
        <v>508.5</v>
      </c>
      <c r="S33" s="0" t="n">
        <f aca="false">P33-O33</f>
        <v>0</v>
      </c>
      <c r="T33" s="0" t="n">
        <f aca="false">IFERROR((D33/(D33+E33))*(F33/(F33+G33)),0)</f>
        <v>0.0517241379310345</v>
      </c>
      <c r="U33" s="0" t="n">
        <f aca="false">RANK(T33,T$2:T$139)</f>
        <v>54</v>
      </c>
      <c r="V33" s="0" t="n">
        <f aca="false">IFERROR((B33/(B33+C33))*25,0)+IFERROR((D33/(D33+E33))*25,0)+IFERROR((F33/(F33+G33))*10,0)+H33+((J33-RMEAN)/RDEV)*5+((M33-PMEAN)/PDEV)*5+((DMEAN-R33)/DDEV)*7+((S33-TOMEAN)/TODEV)*3</f>
        <v>13.3602361265229</v>
      </c>
    </row>
    <row r="34" customFormat="false" ht="15" hidden="false" customHeight="false" outlineLevel="0" collapsed="false">
      <c r="A34" s="0" t="s">
        <v>38</v>
      </c>
      <c r="B34" s="0" t="n">
        <f aca="false">SUMIF(Games!$A$2:$A$186,$A34,Games!$K$2:$K$186)+SUMIF(Games!$B$2:$B$186,$A34,Games!$L$2:$L$186)</f>
        <v>1</v>
      </c>
      <c r="C34" s="0" t="n">
        <f aca="false">SUMIF(Games!$A$2:$A$186,$A34,Games!$L$2:$L$186)+SUMIF(Games!$B$2:$B$186,$A34,Games!$K$2:$K$186)</f>
        <v>1</v>
      </c>
      <c r="D34" s="0" t="n">
        <f aca="false">SUMIF(Games!$A$2:$A$186,$A34,Games!$O$2:$O$186)+SUMIF(Games!$B$2:$B$186,$A34,Games!$M$2:$M$186)</f>
        <v>3</v>
      </c>
      <c r="E34" s="0" t="n">
        <f aca="false">SUMIF(Games!$A$2:$A$186,$A34,Games!$P$2:$P$186)+SUMIF(Games!$B$2:$B$186,$A34,Games!$N$2:$N$186)</f>
        <v>2</v>
      </c>
      <c r="F34" s="0" t="n">
        <f aca="false">SUMIF(Games!$A$2:$A$186,$A34,Games!$S$2:$S$186)+SUMIF(Games!$B$2:$B$186,$A34,Games!$Q$2:$Q$186)</f>
        <v>13</v>
      </c>
      <c r="G34" s="0" t="n">
        <f aca="false">SUMIF(Games!$A$2:$A$186,$A34,Games!$T$2:$T$186)+SUMIF(Games!$B$2:$B$186,$A34,Games!$R$2:$R$186)</f>
        <v>164</v>
      </c>
      <c r="H34" s="0" t="n">
        <f aca="false">SUMIF(Games!$A$2:$A$186,$A34,Games!$U$2:$U$186)+SUMIF(Games!$B$2:$B$186,$A34,Games!$V$2:$V$186)</f>
        <v>0.161430395913154</v>
      </c>
      <c r="I34" s="0" t="n">
        <f aca="false">SUMIF(Games!$A$2:$A$186,$A34,Games!$E$2:$E$186)+SUMIF(Games!$B$2:$B$186,$A34,Games!$F$2:$F$186)</f>
        <v>416</v>
      </c>
      <c r="J34" s="0" t="n">
        <f aca="false">IFERROR(I34/(B34+C34),0)</f>
        <v>208</v>
      </c>
      <c r="K34" s="0" t="n">
        <f aca="false">SUMIF(Games!$A$2:$A$186,$A34,Games!$F$2:$F$186)+SUMIF(Games!$B$2:$B$186,$A34,Games!$E$2:$E$186)</f>
        <v>202</v>
      </c>
      <c r="L34" s="0" t="n">
        <f aca="false">SUMIF(Games!$A$2:$A$186,$A34,Games!$G$2:$G$186)+SUMIF(Games!$B$2:$B$186,$A34,Games!$H$2:$H$186)</f>
        <v>327</v>
      </c>
      <c r="M34" s="0" t="n">
        <f aca="false">IFERROR(L34/(B34+C34),0)</f>
        <v>163.5</v>
      </c>
      <c r="N34" s="0" t="n">
        <f aca="false">SUMIF(Games!$A$2:$A$186,$A34,Games!$H$2:$H$186)+SUMIF(Games!$B$2:$B$186,$A34,Games!$G$2:$G$186)</f>
        <v>702</v>
      </c>
      <c r="O34" s="0" t="n">
        <f aca="false">SUMIF(Games!$A$2:$A$186,$A34,Games!$I$2:$I$186)+SUMIF(Games!$B$2:$B$186,$A34,Games!$J$2:$J$186)</f>
        <v>2</v>
      </c>
      <c r="P34" s="0" t="n">
        <f aca="false">SUMIF(Games!$A$2:$A$186,$A34,Games!$J$2:$J$186)+SUMIF(Games!$B$2:$B$186,$A34,Games!$I$2:$I$186)</f>
        <v>5</v>
      </c>
      <c r="R34" s="0" t="n">
        <f aca="false">IFERROR((K34+N34)/(B34+C34),0)</f>
        <v>452</v>
      </c>
      <c r="S34" s="0" t="n">
        <f aca="false">P34-O34</f>
        <v>3</v>
      </c>
      <c r="T34" s="0" t="n">
        <f aca="false">IFERROR((D34/(D34+E34))*(F34/(F34+G34)),0)</f>
        <v>0.0440677966101695</v>
      </c>
      <c r="U34" s="0" t="n">
        <f aca="false">RANK(T34,T$2:T$139)</f>
        <v>84</v>
      </c>
      <c r="V34" s="0" t="n">
        <f aca="false">IFERROR((B34/(B34+C34))*25,0)+IFERROR((D34/(D34+E34))*25,0)+IFERROR((F34/(F34+G34))*10,0)+H34+((J34-RMEAN)/RDEV)*5+((M34-PMEAN)/PDEV)*5+((DMEAN-R34)/DDEV)*7+((S34-TOMEAN)/TODEV)*3</f>
        <v>18.9551375524943</v>
      </c>
    </row>
    <row r="35" customFormat="false" ht="15" hidden="false" customHeight="false" outlineLevel="0" collapsed="false">
      <c r="A35" s="0" t="s">
        <v>39</v>
      </c>
      <c r="B35" s="0" t="n">
        <f aca="false">SUMIF(Games!$A$2:$A$186,$A35,Games!$K$2:$K$186)+SUMIF(Games!$B$2:$B$186,$A35,Games!$L$2:$L$186)</f>
        <v>1</v>
      </c>
      <c r="C35" s="0" t="n">
        <f aca="false">SUMIF(Games!$A$2:$A$186,$A35,Games!$L$2:$L$186)+SUMIF(Games!$B$2:$B$186,$A35,Games!$K$2:$K$186)</f>
        <v>1</v>
      </c>
      <c r="D35" s="0" t="n">
        <f aca="false">SUMIF(Games!$A$2:$A$186,$A35,Games!$O$2:$O$186)+SUMIF(Games!$B$2:$B$186,$A35,Games!$M$2:$M$186)</f>
        <v>4</v>
      </c>
      <c r="E35" s="0" t="n">
        <f aca="false">SUMIF(Games!$A$2:$A$186,$A35,Games!$P$2:$P$186)+SUMIF(Games!$B$2:$B$186,$A35,Games!$N$2:$N$186)</f>
        <v>2</v>
      </c>
      <c r="F35" s="0" t="n">
        <f aca="false">SUMIF(Games!$A$2:$A$186,$A35,Games!$S$2:$S$186)+SUMIF(Games!$B$2:$B$186,$A35,Games!$Q$2:$Q$186)</f>
        <v>11</v>
      </c>
      <c r="G35" s="0" t="n">
        <f aca="false">SUMIF(Games!$A$2:$A$186,$A35,Games!$T$2:$T$186)+SUMIF(Games!$B$2:$B$186,$A35,Games!$R$2:$R$186)</f>
        <v>86</v>
      </c>
      <c r="H35" s="0" t="n">
        <f aca="false">SUMIF(Games!$A$2:$A$186,$A35,Games!$U$2:$U$186)+SUMIF(Games!$B$2:$B$186,$A35,Games!$V$2:$V$186)</f>
        <v>-0.592592592592593</v>
      </c>
      <c r="I35" s="0" t="n">
        <f aca="false">SUMIF(Games!$A$2:$A$186,$A35,Games!$E$2:$E$186)+SUMIF(Games!$B$2:$B$186,$A35,Games!$F$2:$F$186)</f>
        <v>232</v>
      </c>
      <c r="J35" s="0" t="n">
        <f aca="false">IFERROR(I35/(B35+C35),0)</f>
        <v>116</v>
      </c>
      <c r="K35" s="0" t="n">
        <f aca="false">SUMIF(Games!$A$2:$A$186,$A35,Games!$F$2:$F$186)+SUMIF(Games!$B$2:$B$186,$A35,Games!$E$2:$E$186)</f>
        <v>252</v>
      </c>
      <c r="L35" s="0" t="n">
        <f aca="false">SUMIF(Games!$A$2:$A$186,$A35,Games!$G$2:$G$186)+SUMIF(Games!$B$2:$B$186,$A35,Games!$H$2:$H$186)</f>
        <v>426</v>
      </c>
      <c r="M35" s="0" t="n">
        <f aca="false">IFERROR(L35/(B35+C35),0)</f>
        <v>213</v>
      </c>
      <c r="N35" s="0" t="n">
        <f aca="false">SUMIF(Games!$A$2:$A$186,$A35,Games!$H$2:$H$186)+SUMIF(Games!$B$2:$B$186,$A35,Games!$G$2:$G$186)</f>
        <v>562</v>
      </c>
      <c r="O35" s="0" t="n">
        <f aca="false">SUMIF(Games!$A$2:$A$186,$A35,Games!$I$2:$I$186)+SUMIF(Games!$B$2:$B$186,$A35,Games!$J$2:$J$186)</f>
        <v>2</v>
      </c>
      <c r="P35" s="0" t="n">
        <f aca="false">SUMIF(Games!$A$2:$A$186,$A35,Games!$J$2:$J$186)+SUMIF(Games!$B$2:$B$186,$A35,Games!$I$2:$I$186)</f>
        <v>3</v>
      </c>
      <c r="R35" s="0" t="n">
        <f aca="false">IFERROR((K35+N35)/(B35+C35),0)</f>
        <v>407</v>
      </c>
      <c r="S35" s="0" t="n">
        <f aca="false">P35-O35</f>
        <v>1</v>
      </c>
      <c r="T35" s="0" t="n">
        <f aca="false">IFERROR((D35/(D35+E35))*(F35/(F35+G35)),0)</f>
        <v>0.0756013745704467</v>
      </c>
      <c r="U35" s="0" t="n">
        <f aca="false">RANK(T35,T$2:T$139)</f>
        <v>11</v>
      </c>
      <c r="V35" s="0" t="n">
        <f aca="false">IFERROR((B35/(B35+C35))*25,0)+IFERROR((D35/(D35+E35))*25,0)+IFERROR((F35/(F35+G35))*10,0)+H35+((J35-RMEAN)/RDEV)*5+((M35-PMEAN)/PDEV)*5+((DMEAN-R35)/DDEV)*7+((S35-TOMEAN)/TODEV)*3</f>
        <v>17.9184687749824</v>
      </c>
    </row>
    <row r="36" customFormat="false" ht="15" hidden="false" customHeight="false" outlineLevel="0" collapsed="false">
      <c r="A36" s="0" t="s">
        <v>40</v>
      </c>
      <c r="B36" s="0" t="n">
        <f aca="false">SUMIF(Games!$A$2:$A$186,$A36,Games!$K$2:$K$186)+SUMIF(Games!$B$2:$B$186,$A36,Games!$L$2:$L$186)</f>
        <v>2</v>
      </c>
      <c r="C36" s="0" t="n">
        <f aca="false">SUMIF(Games!$A$2:$A$186,$A36,Games!$L$2:$L$186)+SUMIF(Games!$B$2:$B$186,$A36,Games!$K$2:$K$186)</f>
        <v>0</v>
      </c>
      <c r="D36" s="0" t="n">
        <f aca="false">SUMIF(Games!$A$2:$A$186,$A36,Games!$O$2:$O$186)+SUMIF(Games!$B$2:$B$186,$A36,Games!$M$2:$M$186)</f>
        <v>5</v>
      </c>
      <c r="E36" s="0" t="n">
        <f aca="false">SUMIF(Games!$A$2:$A$186,$A36,Games!$P$2:$P$186)+SUMIF(Games!$B$2:$B$186,$A36,Games!$N$2:$N$186)</f>
        <v>82</v>
      </c>
      <c r="F36" s="0" t="n">
        <f aca="false">SUMIF(Games!$A$2:$A$186,$A36,Games!$S$2:$S$186)+SUMIF(Games!$B$2:$B$186,$A36,Games!$Q$2:$Q$186)</f>
        <v>116</v>
      </c>
      <c r="G36" s="0" t="n">
        <f aca="false">SUMIF(Games!$A$2:$A$186,$A36,Games!$T$2:$T$186)+SUMIF(Games!$B$2:$B$186,$A36,Games!$R$2:$R$186)</f>
        <v>62</v>
      </c>
      <c r="H36" s="0" t="n">
        <f aca="false">SUMIF(Games!$A$2:$A$186,$A36,Games!$U$2:$U$186)+SUMIF(Games!$B$2:$B$186,$A36,Games!$V$2:$V$186)</f>
        <v>1.33705206220419</v>
      </c>
      <c r="I36" s="0" t="n">
        <f aca="false">SUMIF(Games!$A$2:$A$186,$A36,Games!$E$2:$E$186)+SUMIF(Games!$B$2:$B$186,$A36,Games!$F$2:$F$186)</f>
        <v>506</v>
      </c>
      <c r="J36" s="0" t="n">
        <f aca="false">IFERROR(I36/(B36+C36),0)</f>
        <v>253</v>
      </c>
      <c r="K36" s="0" t="n">
        <f aca="false">SUMIF(Games!$A$2:$A$186,$A36,Games!$F$2:$F$186)+SUMIF(Games!$B$2:$B$186,$A36,Games!$E$2:$E$186)</f>
        <v>120</v>
      </c>
      <c r="L36" s="0" t="n">
        <f aca="false">SUMIF(Games!$A$2:$A$186,$A36,Games!$G$2:$G$186)+SUMIF(Games!$B$2:$B$186,$A36,Games!$H$2:$H$186)</f>
        <v>647</v>
      </c>
      <c r="M36" s="0" t="n">
        <f aca="false">IFERROR(L36/(B36+C36),0)</f>
        <v>323.5</v>
      </c>
      <c r="N36" s="0" t="n">
        <f aca="false">SUMIF(Games!$A$2:$A$186,$A36,Games!$H$2:$H$186)+SUMIF(Games!$B$2:$B$186,$A36,Games!$G$2:$G$186)</f>
        <v>214</v>
      </c>
      <c r="O36" s="0" t="n">
        <f aca="false">SUMIF(Games!$A$2:$A$186,$A36,Games!$I$2:$I$186)+SUMIF(Games!$B$2:$B$186,$A36,Games!$J$2:$J$186)</f>
        <v>2</v>
      </c>
      <c r="P36" s="0" t="n">
        <f aca="false">SUMIF(Games!$A$2:$A$186,$A36,Games!$J$2:$J$186)+SUMIF(Games!$B$2:$B$186,$A36,Games!$I$2:$I$186)</f>
        <v>4</v>
      </c>
      <c r="R36" s="0" t="n">
        <f aca="false">IFERROR((K36+N36)/(B36+C36),0)</f>
        <v>167</v>
      </c>
      <c r="S36" s="0" t="n">
        <f aca="false">P36-O36</f>
        <v>2</v>
      </c>
      <c r="T36" s="0" t="n">
        <f aca="false">IFERROR((D36/(D36+E36))*(F36/(F36+G36)),0)</f>
        <v>0.0374531835205993</v>
      </c>
      <c r="U36" s="0" t="n">
        <f aca="false">RANK(T36,T$2:T$139)</f>
        <v>101</v>
      </c>
      <c r="V36" s="0" t="n">
        <f aca="false">IFERROR((B36/(B36+C36))*25,0)+IFERROR((D36/(D36+E36))*25,0)+IFERROR((F36/(F36+G36))*10,0)+H36+((J36-RMEAN)/RDEV)*5+((M36-PMEAN)/PDEV)*5+((DMEAN-R36)/DDEV)*7+((S36-TOMEAN)/TODEV)*3</f>
        <v>60.7828245661362</v>
      </c>
    </row>
    <row r="37" customFormat="false" ht="15" hidden="false" customHeight="false" outlineLevel="0" collapsed="false">
      <c r="A37" s="0" t="s">
        <v>41</v>
      </c>
      <c r="B37" s="0" t="n">
        <f aca="false">SUMIF(Games!$A$2:$A$186,$A37,Games!$K$2:$K$186)+SUMIF(Games!$B$2:$B$186,$A37,Games!$L$2:$L$186)</f>
        <v>1</v>
      </c>
      <c r="C37" s="0" t="n">
        <f aca="false">SUMIF(Games!$A$2:$A$186,$A37,Games!$L$2:$L$186)+SUMIF(Games!$B$2:$B$186,$A37,Games!$K$2:$K$186)</f>
        <v>1</v>
      </c>
      <c r="D37" s="0" t="n">
        <f aca="false">SUMIF(Games!$A$2:$A$186,$A37,Games!$O$2:$O$186)+SUMIF(Games!$B$2:$B$186,$A37,Games!$M$2:$M$186)</f>
        <v>6</v>
      </c>
      <c r="E37" s="0" t="n">
        <f aca="false">SUMIF(Games!$A$2:$A$186,$A37,Games!$P$2:$P$186)+SUMIF(Games!$B$2:$B$186,$A37,Games!$N$2:$N$186)</f>
        <v>81</v>
      </c>
      <c r="F37" s="0" t="n">
        <f aca="false">SUMIF(Games!$A$2:$A$186,$A37,Games!$S$2:$S$186)+SUMIF(Games!$B$2:$B$186,$A37,Games!$Q$2:$Q$186)</f>
        <v>116</v>
      </c>
      <c r="G37" s="0" t="n">
        <f aca="false">SUMIF(Games!$A$2:$A$186,$A37,Games!$T$2:$T$186)+SUMIF(Games!$B$2:$B$186,$A37,Games!$R$2:$R$186)</f>
        <v>62</v>
      </c>
      <c r="H37" s="0" t="n">
        <f aca="false">SUMIF(Games!$A$2:$A$186,$A37,Games!$U$2:$U$186)+SUMIF(Games!$B$2:$B$186,$A37,Games!$V$2:$V$186)</f>
        <v>-0.690753887762001</v>
      </c>
      <c r="I37" s="0" t="n">
        <f aca="false">SUMIF(Games!$A$2:$A$186,$A37,Games!$E$2:$E$186)+SUMIF(Games!$B$2:$B$186,$A37,Games!$F$2:$F$186)</f>
        <v>184</v>
      </c>
      <c r="J37" s="0" t="n">
        <f aca="false">IFERROR(I37/(B37+C37),0)</f>
        <v>92</v>
      </c>
      <c r="K37" s="0" t="n">
        <f aca="false">SUMIF(Games!$A$2:$A$186,$A37,Games!$F$2:$F$186)+SUMIF(Games!$B$2:$B$186,$A37,Games!$E$2:$E$186)</f>
        <v>158</v>
      </c>
      <c r="L37" s="0" t="n">
        <f aca="false">SUMIF(Games!$A$2:$A$186,$A37,Games!$G$2:$G$186)+SUMIF(Games!$B$2:$B$186,$A37,Games!$H$2:$H$186)</f>
        <v>595</v>
      </c>
      <c r="M37" s="0" t="n">
        <f aca="false">IFERROR(L37/(B37+C37),0)</f>
        <v>297.5</v>
      </c>
      <c r="N37" s="0" t="n">
        <f aca="false">SUMIF(Games!$A$2:$A$186,$A37,Games!$H$2:$H$186)+SUMIF(Games!$B$2:$B$186,$A37,Games!$G$2:$G$186)</f>
        <v>306</v>
      </c>
      <c r="O37" s="0" t="n">
        <f aca="false">SUMIF(Games!$A$2:$A$186,$A37,Games!$I$2:$I$186)+SUMIF(Games!$B$2:$B$186,$A37,Games!$J$2:$J$186)</f>
        <v>2</v>
      </c>
      <c r="P37" s="0" t="n">
        <f aca="false">SUMIF(Games!$A$2:$A$186,$A37,Games!$J$2:$J$186)+SUMIF(Games!$B$2:$B$186,$A37,Games!$I$2:$I$186)</f>
        <v>4</v>
      </c>
      <c r="R37" s="0" t="n">
        <f aca="false">IFERROR((K37+N37)/(B37+C37),0)</f>
        <v>232</v>
      </c>
      <c r="S37" s="0" t="n">
        <f aca="false">P37-O37</f>
        <v>2</v>
      </c>
      <c r="T37" s="0" t="n">
        <f aca="false">IFERROR((D37/(D37+E37))*(F37/(F37+G37)),0)</f>
        <v>0.0449438202247191</v>
      </c>
      <c r="U37" s="0" t="n">
        <f aca="false">RANK(T37,T$2:T$139)</f>
        <v>71</v>
      </c>
      <c r="V37" s="0" t="n">
        <f aca="false">IFERROR((B37/(B37+C37))*25,0)+IFERROR((D37/(D37+E37))*25,0)+IFERROR((F37/(F37+G37))*10,0)+H37+((J37-RMEAN)/RDEV)*5+((M37-PMEAN)/PDEV)*5+((DMEAN-R37)/DDEV)*7+((S37-TOMEAN)/TODEV)*3</f>
        <v>27.4155001079078</v>
      </c>
    </row>
    <row r="38" customFormat="false" ht="15" hidden="false" customHeight="false" outlineLevel="0" collapsed="false">
      <c r="A38" s="0" t="s">
        <v>42</v>
      </c>
      <c r="B38" s="0" t="n">
        <f aca="false">SUMIF(Games!$A$2:$A$186,$A38,Games!$K$2:$K$186)+SUMIF(Games!$B$2:$B$186,$A38,Games!$L$2:$L$186)</f>
        <v>2</v>
      </c>
      <c r="C38" s="0" t="n">
        <f aca="false">SUMIF(Games!$A$2:$A$186,$A38,Games!$L$2:$L$186)+SUMIF(Games!$B$2:$B$186,$A38,Games!$K$2:$K$186)</f>
        <v>0</v>
      </c>
      <c r="D38" s="0" t="n">
        <f aca="false">SUMIF(Games!$A$2:$A$186,$A38,Games!$O$2:$O$186)+SUMIF(Games!$B$2:$B$186,$A38,Games!$M$2:$M$186)</f>
        <v>6</v>
      </c>
      <c r="E38" s="0" t="n">
        <f aca="false">SUMIF(Games!$A$2:$A$186,$A38,Games!$P$2:$P$186)+SUMIF(Games!$B$2:$B$186,$A38,Games!$N$2:$N$186)</f>
        <v>81</v>
      </c>
      <c r="F38" s="0" t="n">
        <f aca="false">SUMIF(Games!$A$2:$A$186,$A38,Games!$S$2:$S$186)+SUMIF(Games!$B$2:$B$186,$A38,Games!$Q$2:$Q$186)</f>
        <v>120</v>
      </c>
      <c r="G38" s="0" t="n">
        <f aca="false">SUMIF(Games!$A$2:$A$186,$A38,Games!$T$2:$T$186)+SUMIF(Games!$B$2:$B$186,$A38,Games!$R$2:$R$186)</f>
        <v>141</v>
      </c>
      <c r="H38" s="0" t="n">
        <f aca="false">SUMIF(Games!$A$2:$A$186,$A38,Games!$U$2:$U$186)+SUMIF(Games!$B$2:$B$186,$A38,Games!$V$2:$V$186)</f>
        <v>1.90027045300879</v>
      </c>
      <c r="I38" s="0" t="n">
        <f aca="false">SUMIF(Games!$A$2:$A$186,$A38,Games!$E$2:$E$186)+SUMIF(Games!$B$2:$B$186,$A38,Games!$F$2:$F$186)</f>
        <v>514</v>
      </c>
      <c r="J38" s="0" t="n">
        <f aca="false">IFERROR(I38/(B38+C38),0)</f>
        <v>257</v>
      </c>
      <c r="K38" s="0" t="n">
        <f aca="false">SUMIF(Games!$A$2:$A$186,$A38,Games!$F$2:$F$186)+SUMIF(Games!$B$2:$B$186,$A38,Games!$E$2:$E$186)</f>
        <v>156</v>
      </c>
      <c r="L38" s="0" t="n">
        <f aca="false">SUMIF(Games!$A$2:$A$186,$A38,Games!$G$2:$G$186)+SUMIF(Games!$B$2:$B$186,$A38,Games!$H$2:$H$186)</f>
        <v>532</v>
      </c>
      <c r="M38" s="0" t="n">
        <f aca="false">IFERROR(L38/(B38+C38),0)</f>
        <v>266</v>
      </c>
      <c r="N38" s="0" t="n">
        <f aca="false">SUMIF(Games!$A$2:$A$186,$A38,Games!$H$2:$H$186)+SUMIF(Games!$B$2:$B$186,$A38,Games!$G$2:$G$186)</f>
        <v>385</v>
      </c>
      <c r="O38" s="0" t="n">
        <f aca="false">SUMIF(Games!$A$2:$A$186,$A38,Games!$I$2:$I$186)+SUMIF(Games!$B$2:$B$186,$A38,Games!$J$2:$J$186)</f>
        <v>2</v>
      </c>
      <c r="P38" s="0" t="n">
        <f aca="false">SUMIF(Games!$A$2:$A$186,$A38,Games!$J$2:$J$186)+SUMIF(Games!$B$2:$B$186,$A38,Games!$I$2:$I$186)</f>
        <v>1</v>
      </c>
      <c r="R38" s="0" t="n">
        <f aca="false">IFERROR((K38+N38)/(B38+C38),0)</f>
        <v>270.5</v>
      </c>
      <c r="S38" s="0" t="n">
        <f aca="false">P38-O38</f>
        <v>-1</v>
      </c>
      <c r="T38" s="0" t="n">
        <f aca="false">IFERROR((D38/(D38+E38))*(F38/(F38+G38)),0)</f>
        <v>0.0317082837891399</v>
      </c>
      <c r="U38" s="0" t="n">
        <f aca="false">RANK(T38,T$2:T$139)</f>
        <v>118</v>
      </c>
      <c r="V38" s="0" t="n">
        <f aca="false">IFERROR((B38/(B38+C38))*25,0)+IFERROR((D38/(D38+E38))*25,0)+IFERROR((F38/(F38+G38))*10,0)+H38+((J38-RMEAN)/RDEV)*5+((M38-PMEAN)/PDEV)*5+((DMEAN-R38)/DDEV)*7+((S38-TOMEAN)/TODEV)*3</f>
        <v>44.2094799185414</v>
      </c>
    </row>
    <row r="39" customFormat="false" ht="15" hidden="false" customHeight="false" outlineLevel="0" collapsed="false">
      <c r="A39" s="0" t="s">
        <v>43</v>
      </c>
      <c r="B39" s="0" t="n">
        <f aca="false">SUMIF(Games!$A$2:$A$186,$A39,Games!$K$2:$K$186)+SUMIF(Games!$B$2:$B$186,$A39,Games!$L$2:$L$186)</f>
        <v>0</v>
      </c>
      <c r="C39" s="0" t="n">
        <f aca="false">SUMIF(Games!$A$2:$A$186,$A39,Games!$L$2:$L$186)+SUMIF(Games!$B$2:$B$186,$A39,Games!$K$2:$K$186)</f>
        <v>2</v>
      </c>
      <c r="D39" s="0" t="n">
        <f aca="false">SUMIF(Games!$A$2:$A$186,$A39,Games!$O$2:$O$186)+SUMIF(Games!$B$2:$B$186,$A39,Games!$M$2:$M$186)</f>
        <v>4</v>
      </c>
      <c r="E39" s="0" t="n">
        <f aca="false">SUMIF(Games!$A$2:$A$186,$A39,Games!$P$2:$P$186)+SUMIF(Games!$B$2:$B$186,$A39,Games!$N$2:$N$186)</f>
        <v>0</v>
      </c>
      <c r="F39" s="0" t="n">
        <f aca="false">SUMIF(Games!$A$2:$A$186,$A39,Games!$S$2:$S$186)+SUMIF(Games!$B$2:$B$186,$A39,Games!$Q$2:$Q$186)</f>
        <v>10</v>
      </c>
      <c r="G39" s="0" t="n">
        <f aca="false">SUMIF(Games!$A$2:$A$186,$A39,Games!$T$2:$T$186)+SUMIF(Games!$B$2:$B$186,$A39,Games!$R$2:$R$186)</f>
        <v>164</v>
      </c>
      <c r="H39" s="0" t="n">
        <f aca="false">SUMIF(Games!$A$2:$A$186,$A39,Games!$U$2:$U$186)+SUMIF(Games!$B$2:$B$186,$A39,Games!$V$2:$V$186)</f>
        <v>-2.0735632183908</v>
      </c>
      <c r="I39" s="0" t="n">
        <f aca="false">SUMIF(Games!$A$2:$A$186,$A39,Games!$E$2:$E$186)+SUMIF(Games!$B$2:$B$186,$A39,Games!$F$2:$F$186)</f>
        <v>186</v>
      </c>
      <c r="J39" s="0" t="n">
        <f aca="false">IFERROR(I39/(B39+C39),0)</f>
        <v>93</v>
      </c>
      <c r="K39" s="0" t="n">
        <f aca="false">SUMIF(Games!$A$2:$A$186,$A39,Games!$F$2:$F$186)+SUMIF(Games!$B$2:$B$186,$A39,Games!$E$2:$E$186)</f>
        <v>482</v>
      </c>
      <c r="L39" s="0" t="n">
        <f aca="false">SUMIF(Games!$A$2:$A$186,$A39,Games!$G$2:$G$186)+SUMIF(Games!$B$2:$B$186,$A39,Games!$H$2:$H$186)</f>
        <v>458</v>
      </c>
      <c r="M39" s="0" t="n">
        <f aca="false">IFERROR(L39/(B39+C39),0)</f>
        <v>229</v>
      </c>
      <c r="N39" s="0" t="n">
        <f aca="false">SUMIF(Games!$A$2:$A$186,$A39,Games!$H$2:$H$186)+SUMIF(Games!$B$2:$B$186,$A39,Games!$G$2:$G$186)</f>
        <v>272</v>
      </c>
      <c r="O39" s="0" t="n">
        <f aca="false">SUMIF(Games!$A$2:$A$186,$A39,Games!$I$2:$I$186)+SUMIF(Games!$B$2:$B$186,$A39,Games!$J$2:$J$186)</f>
        <v>3</v>
      </c>
      <c r="P39" s="0" t="n">
        <f aca="false">SUMIF(Games!$A$2:$A$186,$A39,Games!$J$2:$J$186)+SUMIF(Games!$B$2:$B$186,$A39,Games!$I$2:$I$186)</f>
        <v>0</v>
      </c>
      <c r="R39" s="0" t="n">
        <f aca="false">IFERROR((K39+N39)/(B39+C39),0)</f>
        <v>377</v>
      </c>
      <c r="S39" s="0" t="n">
        <f aca="false">P39-O39</f>
        <v>-3</v>
      </c>
      <c r="T39" s="0" t="n">
        <f aca="false">IFERROR((D39/(D39+E39))*(F39/(F39+G39)),0)</f>
        <v>0.0574712643678161</v>
      </c>
      <c r="U39" s="0" t="n">
        <f aca="false">RANK(T39,T$2:T$139)</f>
        <v>30</v>
      </c>
      <c r="V39" s="0" t="n">
        <f aca="false">IFERROR((B39/(B39+C39))*25,0)+IFERROR((D39/(D39+E39))*25,0)+IFERROR((F39/(F39+G39))*10,0)+H39+((J39-RMEAN)/RDEV)*5+((M39-PMEAN)/PDEV)*5+((DMEAN-R39)/DDEV)*7+((S39-TOMEAN)/TODEV)*3</f>
        <v>8.67143455047602</v>
      </c>
    </row>
    <row r="40" customFormat="false" ht="15" hidden="false" customHeight="false" outlineLevel="0" collapsed="false">
      <c r="A40" s="0" t="s">
        <v>44</v>
      </c>
      <c r="B40" s="0" t="n">
        <f aca="false">SUMIF(Games!$A$2:$A$186,$A40,Games!$K$2:$K$186)+SUMIF(Games!$B$2:$B$186,$A40,Games!$L$2:$L$186)</f>
        <v>1</v>
      </c>
      <c r="C40" s="0" t="n">
        <f aca="false">SUMIF(Games!$A$2:$A$186,$A40,Games!$L$2:$L$186)+SUMIF(Games!$B$2:$B$186,$A40,Games!$K$2:$K$186)</f>
        <v>2</v>
      </c>
      <c r="D40" s="0" t="n">
        <f aca="false">SUMIF(Games!$A$2:$A$186,$A40,Games!$O$2:$O$186)+SUMIF(Games!$B$2:$B$186,$A40,Games!$M$2:$M$186)</f>
        <v>3</v>
      </c>
      <c r="E40" s="0" t="n">
        <f aca="false">SUMIF(Games!$A$2:$A$186,$A40,Games!$P$2:$P$186)+SUMIF(Games!$B$2:$B$186,$A40,Games!$N$2:$N$186)</f>
        <v>5</v>
      </c>
      <c r="F40" s="0" t="n">
        <f aca="false">SUMIF(Games!$A$2:$A$186,$A40,Games!$S$2:$S$186)+SUMIF(Games!$B$2:$B$186,$A40,Games!$Q$2:$Q$186)</f>
        <v>14</v>
      </c>
      <c r="G40" s="0" t="n">
        <f aca="false">SUMIF(Games!$A$2:$A$186,$A40,Games!$T$2:$T$186)+SUMIF(Games!$B$2:$B$186,$A40,Games!$R$2:$R$186)</f>
        <v>89</v>
      </c>
      <c r="H40" s="0" t="n">
        <f aca="false">SUMIF(Games!$A$2:$A$186,$A40,Games!$U$2:$U$186)+SUMIF(Games!$B$2:$B$186,$A40,Games!$V$2:$V$186)</f>
        <v>-6.74074074074074</v>
      </c>
      <c r="I40" s="0" t="n">
        <f aca="false">SUMIF(Games!$A$2:$A$186,$A40,Games!$E$2:$E$186)+SUMIF(Games!$B$2:$B$186,$A40,Games!$F$2:$F$186)</f>
        <v>231</v>
      </c>
      <c r="J40" s="0" t="n">
        <f aca="false">IFERROR(I40/(B40+C40),0)</f>
        <v>77</v>
      </c>
      <c r="K40" s="0" t="n">
        <f aca="false">SUMIF(Games!$A$2:$A$186,$A40,Games!$F$2:$F$186)+SUMIF(Games!$B$2:$B$186,$A40,Games!$E$2:$E$186)</f>
        <v>545</v>
      </c>
      <c r="L40" s="0" t="n">
        <f aca="false">SUMIF(Games!$A$2:$A$186,$A40,Games!$G$2:$G$186)+SUMIF(Games!$B$2:$B$186,$A40,Games!$H$2:$H$186)</f>
        <v>805</v>
      </c>
      <c r="M40" s="0" t="n">
        <f aca="false">IFERROR(L40/(B40+C40),0)</f>
        <v>268.333333333333</v>
      </c>
      <c r="N40" s="0" t="n">
        <f aca="false">SUMIF(Games!$A$2:$A$186,$A40,Games!$H$2:$H$186)+SUMIF(Games!$B$2:$B$186,$A40,Games!$G$2:$G$186)</f>
        <v>682</v>
      </c>
      <c r="O40" s="0" t="n">
        <f aca="false">SUMIF(Games!$A$2:$A$186,$A40,Games!$I$2:$I$186)+SUMIF(Games!$B$2:$B$186,$A40,Games!$J$2:$J$186)</f>
        <v>3</v>
      </c>
      <c r="P40" s="0" t="n">
        <f aca="false">SUMIF(Games!$A$2:$A$186,$A40,Games!$J$2:$J$186)+SUMIF(Games!$B$2:$B$186,$A40,Games!$I$2:$I$186)</f>
        <v>3</v>
      </c>
      <c r="R40" s="0" t="n">
        <f aca="false">IFERROR((K40+N40)/(B40+C40),0)</f>
        <v>409</v>
      </c>
      <c r="S40" s="0" t="n">
        <f aca="false">P40-O40</f>
        <v>0</v>
      </c>
      <c r="T40" s="0" t="n">
        <f aca="false">IFERROR((D40/(D40+E40))*(F40/(F40+G40)),0)</f>
        <v>0.0509708737864078</v>
      </c>
      <c r="U40" s="0" t="n">
        <f aca="false">RANK(T40,T$2:T$139)</f>
        <v>65</v>
      </c>
      <c r="V40" s="0" t="n">
        <f aca="false">IFERROR((B40/(B40+C40))*25,0)+IFERROR((D40/(D40+E40))*25,0)+IFERROR((F40/(F40+G40))*10,0)+H40+((J40-RMEAN)/RDEV)*5+((M40-PMEAN)/PDEV)*5+((DMEAN-R40)/DDEV)*7+((S40-TOMEAN)/TODEV)*3</f>
        <v>0.044244868729037</v>
      </c>
    </row>
    <row r="41" customFormat="false" ht="15" hidden="false" customHeight="false" outlineLevel="0" collapsed="false">
      <c r="A41" s="0" t="s">
        <v>45</v>
      </c>
      <c r="B41" s="0" t="n">
        <f aca="false">SUMIF(Games!$A$2:$A$186,$A41,Games!$K$2:$K$186)+SUMIF(Games!$B$2:$B$186,$A41,Games!$L$2:$L$186)</f>
        <v>2</v>
      </c>
      <c r="C41" s="0" t="n">
        <f aca="false">SUMIF(Games!$A$2:$A$186,$A41,Games!$L$2:$L$186)+SUMIF(Games!$B$2:$B$186,$A41,Games!$K$2:$K$186)</f>
        <v>0</v>
      </c>
      <c r="D41" s="0" t="n">
        <f aca="false">SUMIF(Games!$A$2:$A$186,$A41,Games!$O$2:$O$186)+SUMIF(Games!$B$2:$B$186,$A41,Games!$M$2:$M$186)</f>
        <v>5</v>
      </c>
      <c r="E41" s="0" t="n">
        <f aca="false">SUMIF(Games!$A$2:$A$186,$A41,Games!$P$2:$P$186)+SUMIF(Games!$B$2:$B$186,$A41,Games!$N$2:$N$186)</f>
        <v>82</v>
      </c>
      <c r="F41" s="0" t="n">
        <f aca="false">SUMIF(Games!$A$2:$A$186,$A41,Games!$S$2:$S$186)+SUMIF(Games!$B$2:$B$186,$A41,Games!$Q$2:$Q$186)</f>
        <v>117</v>
      </c>
      <c r="G41" s="0" t="n">
        <f aca="false">SUMIF(Games!$A$2:$A$186,$A41,Games!$T$2:$T$186)+SUMIF(Games!$B$2:$B$186,$A41,Games!$R$2:$R$186)</f>
        <v>61</v>
      </c>
      <c r="H41" s="0" t="n">
        <f aca="false">SUMIF(Games!$A$2:$A$186,$A41,Games!$U$2:$U$186)+SUMIF(Games!$B$2:$B$186,$A41,Games!$V$2:$V$186)</f>
        <v>1.33705206220419</v>
      </c>
      <c r="I41" s="0" t="n">
        <f aca="false">SUMIF(Games!$A$2:$A$186,$A41,Games!$E$2:$E$186)+SUMIF(Games!$B$2:$B$186,$A41,Games!$F$2:$F$186)</f>
        <v>616</v>
      </c>
      <c r="J41" s="0" t="n">
        <f aca="false">IFERROR(I41/(B41+C41),0)</f>
        <v>308</v>
      </c>
      <c r="K41" s="0" t="n">
        <f aca="false">SUMIF(Games!$A$2:$A$186,$A41,Games!$F$2:$F$186)+SUMIF(Games!$B$2:$B$186,$A41,Games!$E$2:$E$186)</f>
        <v>20</v>
      </c>
      <c r="L41" s="0" t="n">
        <f aca="false">SUMIF(Games!$A$2:$A$186,$A41,Games!$G$2:$G$186)+SUMIF(Games!$B$2:$B$186,$A41,Games!$H$2:$H$186)</f>
        <v>508</v>
      </c>
      <c r="M41" s="0" t="n">
        <f aca="false">IFERROR(L41/(B41+C41),0)</f>
        <v>254</v>
      </c>
      <c r="N41" s="0" t="n">
        <f aca="false">SUMIF(Games!$A$2:$A$186,$A41,Games!$H$2:$H$186)+SUMIF(Games!$B$2:$B$186,$A41,Games!$G$2:$G$186)</f>
        <v>503</v>
      </c>
      <c r="O41" s="0" t="n">
        <f aca="false">SUMIF(Games!$A$2:$A$186,$A41,Games!$I$2:$I$186)+SUMIF(Games!$B$2:$B$186,$A41,Games!$J$2:$J$186)</f>
        <v>2</v>
      </c>
      <c r="P41" s="0" t="n">
        <f aca="false">SUMIF(Games!$A$2:$A$186,$A41,Games!$J$2:$J$186)+SUMIF(Games!$B$2:$B$186,$A41,Games!$I$2:$I$186)</f>
        <v>3</v>
      </c>
      <c r="R41" s="0" t="n">
        <f aca="false">IFERROR((K41+N41)/(B41+C41),0)</f>
        <v>261.5</v>
      </c>
      <c r="S41" s="0" t="n">
        <f aca="false">P41-O41</f>
        <v>1</v>
      </c>
      <c r="T41" s="0" t="n">
        <f aca="false">IFERROR((D41/(D41+E41))*(F41/(F41+G41)),0)</f>
        <v>0.0377760557923286</v>
      </c>
      <c r="U41" s="0" t="n">
        <f aca="false">RANK(T41,T$2:T$139)</f>
        <v>93</v>
      </c>
      <c r="V41" s="0" t="n">
        <f aca="false">IFERROR((B41/(B41+C41))*25,0)+IFERROR((D41/(D41+E41))*25,0)+IFERROR((F41/(F41+G41))*10,0)+H41+((J41-RMEAN)/RDEV)*5+((M41-PMEAN)/PDEV)*5+((DMEAN-R41)/DDEV)*7+((S41-TOMEAN)/TODEV)*3</f>
        <v>51.4741262976608</v>
      </c>
    </row>
    <row r="42" customFormat="false" ht="15" hidden="false" customHeight="false" outlineLevel="0" collapsed="false">
      <c r="A42" s="0" t="s">
        <v>46</v>
      </c>
      <c r="B42" s="0" t="n">
        <f aca="false">SUMIF(Games!$A$2:$A$186,$A42,Games!$K$2:$K$186)+SUMIF(Games!$B$2:$B$186,$A42,Games!$L$2:$L$186)</f>
        <v>1</v>
      </c>
      <c r="C42" s="0" t="n">
        <f aca="false">SUMIF(Games!$A$2:$A$186,$A42,Games!$L$2:$L$186)+SUMIF(Games!$B$2:$B$186,$A42,Games!$K$2:$K$186)</f>
        <v>1</v>
      </c>
      <c r="D42" s="0" t="n">
        <f aca="false">SUMIF(Games!$A$2:$A$186,$A42,Games!$O$2:$O$186)+SUMIF(Games!$B$2:$B$186,$A42,Games!$M$2:$M$186)</f>
        <v>3</v>
      </c>
      <c r="E42" s="0" t="n">
        <f aca="false">SUMIF(Games!$A$2:$A$186,$A42,Games!$P$2:$P$186)+SUMIF(Games!$B$2:$B$186,$A42,Games!$N$2:$N$186)</f>
        <v>1</v>
      </c>
      <c r="F42" s="0" t="n">
        <f aca="false">SUMIF(Games!$A$2:$A$186,$A42,Games!$S$2:$S$186)+SUMIF(Games!$B$2:$B$186,$A42,Games!$Q$2:$Q$186)</f>
        <v>3</v>
      </c>
      <c r="G42" s="0" t="n">
        <f aca="false">SUMIF(Games!$A$2:$A$186,$A42,Games!$T$2:$T$186)+SUMIF(Games!$B$2:$B$186,$A42,Games!$R$2:$R$186)</f>
        <v>5</v>
      </c>
      <c r="H42" s="0" t="n">
        <f aca="false">SUMIF(Games!$A$2:$A$186,$A42,Games!$U$2:$U$186)+SUMIF(Games!$B$2:$B$186,$A42,Games!$V$2:$V$186)</f>
        <v>2.175</v>
      </c>
      <c r="I42" s="0" t="n">
        <f aca="false">SUMIF(Games!$A$2:$A$186,$A42,Games!$E$2:$E$186)+SUMIF(Games!$B$2:$B$186,$A42,Games!$F$2:$F$186)</f>
        <v>261</v>
      </c>
      <c r="J42" s="0" t="n">
        <f aca="false">IFERROR(I42/(B42+C42),0)</f>
        <v>130.5</v>
      </c>
      <c r="K42" s="0" t="n">
        <f aca="false">SUMIF(Games!$A$2:$A$186,$A42,Games!$F$2:$F$186)+SUMIF(Games!$B$2:$B$186,$A42,Games!$E$2:$E$186)</f>
        <v>364</v>
      </c>
      <c r="L42" s="0" t="n">
        <f aca="false">SUMIF(Games!$A$2:$A$186,$A42,Games!$G$2:$G$186)+SUMIF(Games!$B$2:$B$186,$A42,Games!$H$2:$H$186)</f>
        <v>453</v>
      </c>
      <c r="M42" s="0" t="n">
        <f aca="false">IFERROR(L42/(B42+C42),0)</f>
        <v>226.5</v>
      </c>
      <c r="N42" s="0" t="n">
        <f aca="false">SUMIF(Games!$A$2:$A$186,$A42,Games!$H$2:$H$186)+SUMIF(Games!$B$2:$B$186,$A42,Games!$G$2:$G$186)</f>
        <v>425</v>
      </c>
      <c r="O42" s="0" t="n">
        <f aca="false">SUMIF(Games!$A$2:$A$186,$A42,Games!$I$2:$I$186)+SUMIF(Games!$B$2:$B$186,$A42,Games!$J$2:$J$186)</f>
        <v>1</v>
      </c>
      <c r="P42" s="0" t="n">
        <f aca="false">SUMIF(Games!$A$2:$A$186,$A42,Games!$J$2:$J$186)+SUMIF(Games!$B$2:$B$186,$A42,Games!$I$2:$I$186)</f>
        <v>1</v>
      </c>
      <c r="R42" s="0" t="n">
        <f aca="false">IFERROR((K42+N42)/(B42+C42),0)</f>
        <v>394.5</v>
      </c>
      <c r="S42" s="0" t="n">
        <f aca="false">P42-O42</f>
        <v>0</v>
      </c>
      <c r="T42" s="0" t="n">
        <f aca="false">IFERROR((D42/(D42+E42))*(F42/(F42+G42)),0)</f>
        <v>0.28125</v>
      </c>
      <c r="U42" s="0" t="n">
        <f aca="false">RANK(T42,T$2:T$139)</f>
        <v>3</v>
      </c>
      <c r="V42" s="0" t="n">
        <f aca="false">IFERROR((B42/(B42+C42))*25,0)+IFERROR((D42/(D42+E42))*25,0)+IFERROR((F42/(F42+G42))*10,0)+H42+((J42-RMEAN)/RDEV)*5+((M42-PMEAN)/PDEV)*5+((DMEAN-R42)/DDEV)*7+((S42-TOMEAN)/TODEV)*3</f>
        <v>27.2069136633446</v>
      </c>
    </row>
    <row r="43" customFormat="false" ht="15" hidden="false" customHeight="false" outlineLevel="0" collapsed="false">
      <c r="A43" s="0" t="s">
        <v>47</v>
      </c>
      <c r="B43" s="0" t="n">
        <f aca="false">SUMIF(Games!$A$2:$A$186,$A43,Games!$K$2:$K$186)+SUMIF(Games!$B$2:$B$186,$A43,Games!$L$2:$L$186)</f>
        <v>2</v>
      </c>
      <c r="C43" s="0" t="n">
        <f aca="false">SUMIF(Games!$A$2:$A$186,$A43,Games!$L$2:$L$186)+SUMIF(Games!$B$2:$B$186,$A43,Games!$K$2:$K$186)</f>
        <v>0</v>
      </c>
      <c r="D43" s="0" t="n">
        <f aca="false">SUMIF(Games!$A$2:$A$186,$A43,Games!$O$2:$O$186)+SUMIF(Games!$B$2:$B$186,$A43,Games!$M$2:$M$186)</f>
        <v>6</v>
      </c>
      <c r="E43" s="0" t="n">
        <f aca="false">SUMIF(Games!$A$2:$A$186,$A43,Games!$P$2:$P$186)+SUMIF(Games!$B$2:$B$186,$A43,Games!$N$2:$N$186)</f>
        <v>81</v>
      </c>
      <c r="F43" s="0" t="n">
        <f aca="false">SUMIF(Games!$A$2:$A$186,$A43,Games!$S$2:$S$186)+SUMIF(Games!$B$2:$B$186,$A43,Games!$Q$2:$Q$186)</f>
        <v>116</v>
      </c>
      <c r="G43" s="0" t="n">
        <f aca="false">SUMIF(Games!$A$2:$A$186,$A43,Games!$T$2:$T$186)+SUMIF(Games!$B$2:$B$186,$A43,Games!$R$2:$R$186)</f>
        <v>63</v>
      </c>
      <c r="H43" s="0" t="n">
        <f aca="false">SUMIF(Games!$A$2:$A$186,$A43,Games!$U$2:$U$186)+SUMIF(Games!$B$2:$B$186,$A43,Games!$V$2:$V$186)</f>
        <v>11.8370520622042</v>
      </c>
      <c r="I43" s="0" t="n">
        <f aca="false">SUMIF(Games!$A$2:$A$186,$A43,Games!$E$2:$E$186)+SUMIF(Games!$B$2:$B$186,$A43,Games!$F$2:$F$186)</f>
        <v>430</v>
      </c>
      <c r="J43" s="0" t="n">
        <f aca="false">IFERROR(I43/(B43+C43),0)</f>
        <v>215</v>
      </c>
      <c r="K43" s="0" t="n">
        <f aca="false">SUMIF(Games!$A$2:$A$186,$A43,Games!$F$2:$F$186)+SUMIF(Games!$B$2:$B$186,$A43,Games!$E$2:$E$186)</f>
        <v>165</v>
      </c>
      <c r="L43" s="0" t="n">
        <f aca="false">SUMIF(Games!$A$2:$A$186,$A43,Games!$G$2:$G$186)+SUMIF(Games!$B$2:$B$186,$A43,Games!$H$2:$H$186)</f>
        <v>440</v>
      </c>
      <c r="M43" s="0" t="n">
        <f aca="false">IFERROR(L43/(B43+C43),0)</f>
        <v>220</v>
      </c>
      <c r="N43" s="0" t="n">
        <f aca="false">SUMIF(Games!$A$2:$A$186,$A43,Games!$H$2:$H$186)+SUMIF(Games!$B$2:$B$186,$A43,Games!$G$2:$G$186)</f>
        <v>259</v>
      </c>
      <c r="O43" s="0" t="n">
        <f aca="false">SUMIF(Games!$A$2:$A$186,$A43,Games!$I$2:$I$186)+SUMIF(Games!$B$2:$B$186,$A43,Games!$J$2:$J$186)</f>
        <v>1</v>
      </c>
      <c r="P43" s="0" t="n">
        <f aca="false">SUMIF(Games!$A$2:$A$186,$A43,Games!$J$2:$J$186)+SUMIF(Games!$B$2:$B$186,$A43,Games!$I$2:$I$186)</f>
        <v>2</v>
      </c>
      <c r="R43" s="0" t="n">
        <f aca="false">IFERROR((K43+N43)/(B43+C43),0)</f>
        <v>212</v>
      </c>
      <c r="S43" s="0" t="n">
        <f aca="false">P43-O43</f>
        <v>1</v>
      </c>
      <c r="T43" s="0" t="n">
        <f aca="false">IFERROR((D43/(D43+E43))*(F43/(F43+G43)),0)</f>
        <v>0.0446927374301676</v>
      </c>
      <c r="U43" s="0" t="n">
        <f aca="false">RANK(T43,T$2:T$139)</f>
        <v>80</v>
      </c>
      <c r="V43" s="0" t="n">
        <f aca="false">IFERROR((B43/(B43+C43))*25,0)+IFERROR((D43/(D43+E43))*25,0)+IFERROR((F43/(F43+G43))*10,0)+H43+((J43-RMEAN)/RDEV)*5+((M43-PMEAN)/PDEV)*5+((DMEAN-R43)/DDEV)*7+((S43-TOMEAN)/TODEV)*3</f>
        <v>56.7519356084495</v>
      </c>
    </row>
    <row r="44" customFormat="false" ht="15" hidden="false" customHeight="false" outlineLevel="0" collapsed="false">
      <c r="A44" s="0" t="s">
        <v>48</v>
      </c>
      <c r="B44" s="0" t="n">
        <f aca="false">SUMIF(Games!$A$2:$A$186,$A44,Games!$K$2:$K$186)+SUMIF(Games!$B$2:$B$186,$A44,Games!$L$2:$L$186)</f>
        <v>2</v>
      </c>
      <c r="C44" s="0" t="n">
        <f aca="false">SUMIF(Games!$A$2:$A$186,$A44,Games!$L$2:$L$186)+SUMIF(Games!$B$2:$B$186,$A44,Games!$K$2:$K$186)</f>
        <v>0</v>
      </c>
      <c r="D44" s="0" t="n">
        <f aca="false">SUMIF(Games!$A$2:$A$186,$A44,Games!$O$2:$O$186)+SUMIF(Games!$B$2:$B$186,$A44,Games!$M$2:$M$186)</f>
        <v>1</v>
      </c>
      <c r="E44" s="0" t="n">
        <f aca="false">SUMIF(Games!$A$2:$A$186,$A44,Games!$P$2:$P$186)+SUMIF(Games!$B$2:$B$186,$A44,Games!$N$2:$N$186)</f>
        <v>3</v>
      </c>
      <c r="F44" s="0" t="n">
        <f aca="false">SUMIF(Games!$A$2:$A$186,$A44,Games!$S$2:$S$186)+SUMIF(Games!$B$2:$B$186,$A44,Games!$Q$2:$Q$186)</f>
        <v>14</v>
      </c>
      <c r="G44" s="0" t="n">
        <f aca="false">SUMIF(Games!$A$2:$A$186,$A44,Games!$T$2:$T$186)+SUMIF(Games!$B$2:$B$186,$A44,Games!$R$2:$R$186)</f>
        <v>160</v>
      </c>
      <c r="H44" s="0" t="n">
        <f aca="false">SUMIF(Games!$A$2:$A$186,$A44,Games!$U$2:$U$186)+SUMIF(Games!$B$2:$B$186,$A44,Games!$V$2:$V$186)</f>
        <v>0.120689655172414</v>
      </c>
      <c r="I44" s="0" t="n">
        <f aca="false">SUMIF(Games!$A$2:$A$186,$A44,Games!$E$2:$E$186)+SUMIF(Games!$B$2:$B$186,$A44,Games!$F$2:$F$186)</f>
        <v>382</v>
      </c>
      <c r="J44" s="0" t="n">
        <f aca="false">IFERROR(I44/(B44+C44),0)</f>
        <v>191</v>
      </c>
      <c r="K44" s="0" t="n">
        <f aca="false">SUMIF(Games!$A$2:$A$186,$A44,Games!$F$2:$F$186)+SUMIF(Games!$B$2:$B$186,$A44,Games!$E$2:$E$186)</f>
        <v>145</v>
      </c>
      <c r="L44" s="0" t="n">
        <f aca="false">SUMIF(Games!$A$2:$A$186,$A44,Games!$G$2:$G$186)+SUMIF(Games!$B$2:$B$186,$A44,Games!$H$2:$H$186)</f>
        <v>409</v>
      </c>
      <c r="M44" s="0" t="n">
        <f aca="false">IFERROR(L44/(B44+C44),0)</f>
        <v>204.5</v>
      </c>
      <c r="N44" s="0" t="n">
        <f aca="false">SUMIF(Games!$A$2:$A$186,$A44,Games!$H$2:$H$186)+SUMIF(Games!$B$2:$B$186,$A44,Games!$G$2:$G$186)</f>
        <v>230</v>
      </c>
      <c r="O44" s="0" t="n">
        <f aca="false">SUMIF(Games!$A$2:$A$186,$A44,Games!$I$2:$I$186)+SUMIF(Games!$B$2:$B$186,$A44,Games!$J$2:$J$186)</f>
        <v>1</v>
      </c>
      <c r="P44" s="0" t="n">
        <f aca="false">SUMIF(Games!$A$2:$A$186,$A44,Games!$J$2:$J$186)+SUMIF(Games!$B$2:$B$186,$A44,Games!$I$2:$I$186)</f>
        <v>2</v>
      </c>
      <c r="R44" s="0" t="n">
        <f aca="false">IFERROR((K44+N44)/(B44+C44),0)</f>
        <v>187.5</v>
      </c>
      <c r="S44" s="0" t="n">
        <f aca="false">P44-O44</f>
        <v>1</v>
      </c>
      <c r="T44" s="0" t="n">
        <f aca="false">IFERROR((D44/(D44+E44))*(F44/(F44+G44)),0)</f>
        <v>0.0201149425287356</v>
      </c>
      <c r="U44" s="0" t="n">
        <f aca="false">RANK(T44,T$2:T$139)</f>
        <v>136</v>
      </c>
      <c r="V44" s="0" t="n">
        <f aca="false">IFERROR((B44/(B44+C44))*25,0)+IFERROR((D44/(D44+E44))*25,0)+IFERROR((F44/(F44+G44))*10,0)+H44+((J44-RMEAN)/RDEV)*5+((M44-PMEAN)/PDEV)*5+((DMEAN-R44)/DDEV)*7+((S44-TOMEAN)/TODEV)*3</f>
        <v>42.959204083163</v>
      </c>
    </row>
    <row r="45" customFormat="false" ht="15" hidden="false" customHeight="false" outlineLevel="0" collapsed="false">
      <c r="A45" s="0" t="s">
        <v>49</v>
      </c>
      <c r="B45" s="0" t="n">
        <f aca="false">SUMIF(Games!$A$2:$A$186,$A45,Games!$K$2:$K$186)+SUMIF(Games!$B$2:$B$186,$A45,Games!$L$2:$L$186)</f>
        <v>1</v>
      </c>
      <c r="C45" s="0" t="n">
        <f aca="false">SUMIF(Games!$A$2:$A$186,$A45,Games!$L$2:$L$186)+SUMIF(Games!$B$2:$B$186,$A45,Games!$K$2:$K$186)</f>
        <v>1</v>
      </c>
      <c r="D45" s="0" t="n">
        <f aca="false">SUMIF(Games!$A$2:$A$186,$A45,Games!$O$2:$O$186)+SUMIF(Games!$B$2:$B$186,$A45,Games!$M$2:$M$186)</f>
        <v>7</v>
      </c>
      <c r="E45" s="0" t="n">
        <f aca="false">SUMIF(Games!$A$2:$A$186,$A45,Games!$P$2:$P$186)+SUMIF(Games!$B$2:$B$186,$A45,Games!$N$2:$N$186)</f>
        <v>80</v>
      </c>
      <c r="F45" s="0" t="n">
        <f aca="false">SUMIF(Games!$A$2:$A$186,$A45,Games!$S$2:$S$186)+SUMIF(Games!$B$2:$B$186,$A45,Games!$Q$2:$Q$186)</f>
        <v>114</v>
      </c>
      <c r="G45" s="0" t="n">
        <f aca="false">SUMIF(Games!$A$2:$A$186,$A45,Games!$T$2:$T$186)+SUMIF(Games!$B$2:$B$186,$A45,Games!$R$2:$R$186)</f>
        <v>64</v>
      </c>
      <c r="H45" s="0" t="n">
        <f aca="false">SUMIF(Games!$A$2:$A$186,$A45,Games!$U$2:$U$186)+SUMIF(Games!$B$2:$B$186,$A45,Games!$V$2:$V$186)</f>
        <v>0.844641649763354</v>
      </c>
      <c r="I45" s="0" t="n">
        <f aca="false">SUMIF(Games!$A$2:$A$186,$A45,Games!$E$2:$E$186)+SUMIF(Games!$B$2:$B$186,$A45,Games!$F$2:$F$186)</f>
        <v>246</v>
      </c>
      <c r="J45" s="0" t="n">
        <f aca="false">IFERROR(I45/(B45+C45),0)</f>
        <v>123</v>
      </c>
      <c r="K45" s="0" t="n">
        <f aca="false">SUMIF(Games!$A$2:$A$186,$A45,Games!$F$2:$F$186)+SUMIF(Games!$B$2:$B$186,$A45,Games!$E$2:$E$186)</f>
        <v>160</v>
      </c>
      <c r="L45" s="0" t="n">
        <f aca="false">SUMIF(Games!$A$2:$A$186,$A45,Games!$G$2:$G$186)+SUMIF(Games!$B$2:$B$186,$A45,Games!$H$2:$H$186)</f>
        <v>312</v>
      </c>
      <c r="M45" s="0" t="n">
        <f aca="false">IFERROR(L45/(B45+C45),0)</f>
        <v>156</v>
      </c>
      <c r="N45" s="0" t="n">
        <f aca="false">SUMIF(Games!$A$2:$A$186,$A45,Games!$H$2:$H$186)+SUMIF(Games!$B$2:$B$186,$A45,Games!$G$2:$G$186)</f>
        <v>333</v>
      </c>
      <c r="O45" s="0" t="n">
        <f aca="false">SUMIF(Games!$A$2:$A$186,$A45,Games!$I$2:$I$186)+SUMIF(Games!$B$2:$B$186,$A45,Games!$J$2:$J$186)</f>
        <v>1</v>
      </c>
      <c r="P45" s="0" t="n">
        <f aca="false">SUMIF(Games!$A$2:$A$186,$A45,Games!$J$2:$J$186)+SUMIF(Games!$B$2:$B$186,$A45,Games!$I$2:$I$186)</f>
        <v>3</v>
      </c>
      <c r="R45" s="0" t="n">
        <f aca="false">IFERROR((K45+N45)/(B45+C45),0)</f>
        <v>246.5</v>
      </c>
      <c r="S45" s="0" t="n">
        <f aca="false">P45-O45</f>
        <v>2</v>
      </c>
      <c r="T45" s="0" t="n">
        <f aca="false">IFERROR((D45/(D45+E45))*(F45/(F45+G45)),0)</f>
        <v>0.0515304145679969</v>
      </c>
      <c r="U45" s="0" t="n">
        <f aca="false">RANK(T45,T$2:T$139)</f>
        <v>56</v>
      </c>
      <c r="V45" s="0" t="n">
        <f aca="false">IFERROR((B45/(B45+C45))*25,0)+IFERROR((D45/(D45+E45))*25,0)+IFERROR((F45/(F45+G45))*10,0)+H45+((J45-RMEAN)/RDEV)*5+((M45-PMEAN)/PDEV)*5+((DMEAN-R45)/DDEV)*7+((S45-TOMEAN)/TODEV)*3</f>
        <v>20.5672521387654</v>
      </c>
    </row>
    <row r="46" customFormat="false" ht="15" hidden="false" customHeight="false" outlineLevel="0" collapsed="false">
      <c r="A46" s="0" t="s">
        <v>50</v>
      </c>
      <c r="B46" s="0" t="n">
        <f aca="false">SUMIF(Games!$A$2:$A$186,$A46,Games!$K$2:$K$186)+SUMIF(Games!$B$2:$B$186,$A46,Games!$L$2:$L$186)</f>
        <v>1</v>
      </c>
      <c r="C46" s="0" t="n">
        <f aca="false">SUMIF(Games!$A$2:$A$186,$A46,Games!$L$2:$L$186)+SUMIF(Games!$B$2:$B$186,$A46,Games!$K$2:$K$186)</f>
        <v>2</v>
      </c>
      <c r="D46" s="0" t="n">
        <f aca="false">SUMIF(Games!$A$2:$A$186,$A46,Games!$O$2:$O$186)+SUMIF(Games!$B$2:$B$186,$A46,Games!$M$2:$M$186)</f>
        <v>9</v>
      </c>
      <c r="E46" s="0" t="n">
        <f aca="false">SUMIF(Games!$A$2:$A$186,$A46,Games!$P$2:$P$186)+SUMIF(Games!$B$2:$B$186,$A46,Games!$N$2:$N$186)</f>
        <v>81</v>
      </c>
      <c r="F46" s="0" t="n">
        <f aca="false">SUMIF(Games!$A$2:$A$186,$A46,Games!$S$2:$S$186)+SUMIF(Games!$B$2:$B$186,$A46,Games!$Q$2:$Q$186)</f>
        <v>123</v>
      </c>
      <c r="G46" s="0" t="n">
        <f aca="false">SUMIF(Games!$A$2:$A$186,$A46,Games!$T$2:$T$186)+SUMIF(Games!$B$2:$B$186,$A46,Games!$R$2:$R$186)</f>
        <v>146</v>
      </c>
      <c r="H46" s="0" t="n">
        <f aca="false">SUMIF(Games!$A$2:$A$186,$A46,Games!$U$2:$U$186)+SUMIF(Games!$B$2:$B$186,$A46,Games!$V$2:$V$186)</f>
        <v>-1.46072571557359</v>
      </c>
      <c r="I46" s="0" t="n">
        <f aca="false">SUMIF(Games!$A$2:$A$186,$A46,Games!$E$2:$E$186)+SUMIF(Games!$B$2:$B$186,$A46,Games!$F$2:$F$186)</f>
        <v>420</v>
      </c>
      <c r="J46" s="0" t="n">
        <f aca="false">IFERROR(I46/(B46+C46),0)</f>
        <v>140</v>
      </c>
      <c r="K46" s="0" t="n">
        <f aca="false">SUMIF(Games!$A$2:$A$186,$A46,Games!$F$2:$F$186)+SUMIF(Games!$B$2:$B$186,$A46,Games!$E$2:$E$186)</f>
        <v>569</v>
      </c>
      <c r="L46" s="0" t="n">
        <f aca="false">SUMIF(Games!$A$2:$A$186,$A46,Games!$G$2:$G$186)+SUMIF(Games!$B$2:$B$186,$A46,Games!$H$2:$H$186)</f>
        <v>723</v>
      </c>
      <c r="M46" s="0" t="n">
        <f aca="false">IFERROR(L46/(B46+C46),0)</f>
        <v>241</v>
      </c>
      <c r="N46" s="0" t="n">
        <f aca="false">SUMIF(Games!$A$2:$A$186,$A46,Games!$H$2:$H$186)+SUMIF(Games!$B$2:$B$186,$A46,Games!$G$2:$G$186)</f>
        <v>351</v>
      </c>
      <c r="O46" s="0" t="n">
        <f aca="false">SUMIF(Games!$A$2:$A$186,$A46,Games!$I$2:$I$186)+SUMIF(Games!$B$2:$B$186,$A46,Games!$J$2:$J$186)</f>
        <v>4</v>
      </c>
      <c r="P46" s="0" t="n">
        <f aca="false">SUMIF(Games!$A$2:$A$186,$A46,Games!$J$2:$J$186)+SUMIF(Games!$B$2:$B$186,$A46,Games!$I$2:$I$186)</f>
        <v>3</v>
      </c>
      <c r="R46" s="0" t="n">
        <f aca="false">IFERROR((K46+N46)/(B46+C46),0)</f>
        <v>306.666666666667</v>
      </c>
      <c r="S46" s="0" t="n">
        <f aca="false">P46-O46</f>
        <v>-1</v>
      </c>
      <c r="T46" s="0" t="n">
        <f aca="false">IFERROR((D46/(D46+E46))*(F46/(F46+G46)),0)</f>
        <v>0.045724907063197</v>
      </c>
      <c r="U46" s="0" t="n">
        <f aca="false">RANK(T46,T$2:T$139)</f>
        <v>70</v>
      </c>
      <c r="V46" s="0" t="n">
        <f aca="false">IFERROR((B46/(B46+C46))*25,0)+IFERROR((D46/(D46+E46))*25,0)+IFERROR((F46/(F46+G46))*10,0)+H46+((J46-RMEAN)/RDEV)*5+((M46-PMEAN)/PDEV)*5+((DMEAN-R46)/DDEV)*7+((S46-TOMEAN)/TODEV)*3</f>
        <v>11.4947385547989</v>
      </c>
    </row>
    <row r="47" customFormat="false" ht="15" hidden="false" customHeight="false" outlineLevel="0" collapsed="false">
      <c r="A47" s="0" t="s">
        <v>51</v>
      </c>
      <c r="B47" s="0" t="n">
        <f aca="false">SUMIF(Games!$A$2:$A$186,$A47,Games!$K$2:$K$186)+SUMIF(Games!$B$2:$B$186,$A47,Games!$L$2:$L$186)</f>
        <v>2</v>
      </c>
      <c r="C47" s="0" t="n">
        <f aca="false">SUMIF(Games!$A$2:$A$186,$A47,Games!$L$2:$L$186)+SUMIF(Games!$B$2:$B$186,$A47,Games!$K$2:$K$186)</f>
        <v>0</v>
      </c>
      <c r="D47" s="0" t="n">
        <f aca="false">SUMIF(Games!$A$2:$A$186,$A47,Games!$O$2:$O$186)+SUMIF(Games!$B$2:$B$186,$A47,Games!$M$2:$M$186)</f>
        <v>6</v>
      </c>
      <c r="E47" s="0" t="n">
        <f aca="false">SUMIF(Games!$A$2:$A$186,$A47,Games!$P$2:$P$186)+SUMIF(Games!$B$2:$B$186,$A47,Games!$N$2:$N$186)</f>
        <v>81</v>
      </c>
      <c r="F47" s="0" t="n">
        <f aca="false">SUMIF(Games!$A$2:$A$186,$A47,Games!$S$2:$S$186)+SUMIF(Games!$B$2:$B$186,$A47,Games!$Q$2:$Q$186)</f>
        <v>120</v>
      </c>
      <c r="G47" s="0" t="n">
        <f aca="false">SUMIF(Games!$A$2:$A$186,$A47,Games!$T$2:$T$186)+SUMIF(Games!$B$2:$B$186,$A47,Games!$R$2:$R$186)</f>
        <v>141</v>
      </c>
      <c r="H47" s="0" t="n">
        <f aca="false">SUMIF(Games!$A$2:$A$186,$A47,Games!$U$2:$U$186)+SUMIF(Games!$B$2:$B$186,$A47,Games!$V$2:$V$186)</f>
        <v>1.61866125760649</v>
      </c>
      <c r="I47" s="0" t="n">
        <f aca="false">SUMIF(Games!$A$2:$A$186,$A47,Games!$E$2:$E$186)+SUMIF(Games!$B$2:$B$186,$A47,Games!$F$2:$F$186)</f>
        <v>463</v>
      </c>
      <c r="J47" s="0" t="n">
        <f aca="false">IFERROR(I47/(B47+C47),0)</f>
        <v>231.5</v>
      </c>
      <c r="K47" s="0" t="n">
        <f aca="false">SUMIF(Games!$A$2:$A$186,$A47,Games!$F$2:$F$186)+SUMIF(Games!$B$2:$B$186,$A47,Games!$E$2:$E$186)</f>
        <v>177</v>
      </c>
      <c r="L47" s="0" t="n">
        <f aca="false">SUMIF(Games!$A$2:$A$186,$A47,Games!$G$2:$G$186)+SUMIF(Games!$B$2:$B$186,$A47,Games!$H$2:$H$186)</f>
        <v>416</v>
      </c>
      <c r="M47" s="0" t="n">
        <f aca="false">IFERROR(L47/(B47+C47),0)</f>
        <v>208</v>
      </c>
      <c r="N47" s="0" t="n">
        <f aca="false">SUMIF(Games!$A$2:$A$186,$A47,Games!$H$2:$H$186)+SUMIF(Games!$B$2:$B$186,$A47,Games!$G$2:$G$186)</f>
        <v>348</v>
      </c>
      <c r="O47" s="0" t="n">
        <f aca="false">SUMIF(Games!$A$2:$A$186,$A47,Games!$I$2:$I$186)+SUMIF(Games!$B$2:$B$186,$A47,Games!$J$2:$J$186)</f>
        <v>1</v>
      </c>
      <c r="P47" s="0" t="n">
        <f aca="false">SUMIF(Games!$A$2:$A$186,$A47,Games!$J$2:$J$186)+SUMIF(Games!$B$2:$B$186,$A47,Games!$I$2:$I$186)</f>
        <v>2</v>
      </c>
      <c r="R47" s="0" t="n">
        <f aca="false">IFERROR((K47+N47)/(B47+C47),0)</f>
        <v>262.5</v>
      </c>
      <c r="S47" s="0" t="n">
        <f aca="false">P47-O47</f>
        <v>1</v>
      </c>
      <c r="T47" s="0" t="n">
        <f aca="false">IFERROR((D47/(D47+E47))*(F47/(F47+G47)),0)</f>
        <v>0.0317082837891399</v>
      </c>
      <c r="U47" s="0" t="n">
        <f aca="false">RANK(T47,T$2:T$139)</f>
        <v>118</v>
      </c>
      <c r="V47" s="0" t="n">
        <f aca="false">IFERROR((B47/(B47+C47))*25,0)+IFERROR((D47/(D47+E47))*25,0)+IFERROR((F47/(F47+G47))*10,0)+H47+((J47-RMEAN)/RDEV)*5+((M47-PMEAN)/PDEV)*5+((DMEAN-R47)/DDEV)*7+((S47-TOMEAN)/TODEV)*3</f>
        <v>41.0448920775278</v>
      </c>
    </row>
    <row r="48" customFormat="false" ht="15" hidden="false" customHeight="false" outlineLevel="0" collapsed="false">
      <c r="A48" s="0" t="s">
        <v>52</v>
      </c>
      <c r="B48" s="0" t="n">
        <f aca="false">SUMIF(Games!$A$2:$A$186,$A48,Games!$K$2:$K$186)+SUMIF(Games!$B$2:$B$186,$A48,Games!$L$2:$L$186)</f>
        <v>1</v>
      </c>
      <c r="C48" s="0" t="n">
        <f aca="false">SUMIF(Games!$A$2:$A$186,$A48,Games!$L$2:$L$186)+SUMIF(Games!$B$2:$B$186,$A48,Games!$K$2:$K$186)</f>
        <v>1</v>
      </c>
      <c r="D48" s="0" t="n">
        <f aca="false">SUMIF(Games!$A$2:$A$186,$A48,Games!$O$2:$O$186)+SUMIF(Games!$B$2:$B$186,$A48,Games!$M$2:$M$186)</f>
        <v>7</v>
      </c>
      <c r="E48" s="0" t="n">
        <f aca="false">SUMIF(Games!$A$2:$A$186,$A48,Games!$P$2:$P$186)+SUMIF(Games!$B$2:$B$186,$A48,Games!$N$2:$N$186)</f>
        <v>80</v>
      </c>
      <c r="F48" s="0" t="n">
        <f aca="false">SUMIF(Games!$A$2:$A$186,$A48,Games!$S$2:$S$186)+SUMIF(Games!$B$2:$B$186,$A48,Games!$Q$2:$Q$186)</f>
        <v>119</v>
      </c>
      <c r="G48" s="0" t="n">
        <f aca="false">SUMIF(Games!$A$2:$A$186,$A48,Games!$T$2:$T$186)+SUMIF(Games!$B$2:$B$186,$A48,Games!$R$2:$R$186)</f>
        <v>142</v>
      </c>
      <c r="H48" s="0" t="n">
        <f aca="false">SUMIF(Games!$A$2:$A$186,$A48,Games!$U$2:$U$186)+SUMIF(Games!$B$2:$B$186,$A48,Games!$V$2:$V$186)</f>
        <v>-0.245706558485463</v>
      </c>
      <c r="I48" s="0" t="n">
        <f aca="false">SUMIF(Games!$A$2:$A$186,$A48,Games!$E$2:$E$186)+SUMIF(Games!$B$2:$B$186,$A48,Games!$F$2:$F$186)</f>
        <v>358</v>
      </c>
      <c r="J48" s="0" t="n">
        <f aca="false">IFERROR(I48/(B48+C48),0)</f>
        <v>179</v>
      </c>
      <c r="K48" s="0" t="n">
        <f aca="false">SUMIF(Games!$A$2:$A$186,$A48,Games!$F$2:$F$186)+SUMIF(Games!$B$2:$B$186,$A48,Games!$E$2:$E$186)</f>
        <v>212</v>
      </c>
      <c r="L48" s="0" t="n">
        <f aca="false">SUMIF(Games!$A$2:$A$186,$A48,Games!$G$2:$G$186)+SUMIF(Games!$B$2:$B$186,$A48,Games!$H$2:$H$186)</f>
        <v>510</v>
      </c>
      <c r="M48" s="0" t="n">
        <f aca="false">IFERROR(L48/(B48+C48),0)</f>
        <v>255</v>
      </c>
      <c r="N48" s="0" t="n">
        <f aca="false">SUMIF(Games!$A$2:$A$186,$A48,Games!$H$2:$H$186)+SUMIF(Games!$B$2:$B$186,$A48,Games!$G$2:$G$186)</f>
        <v>403</v>
      </c>
      <c r="O48" s="0" t="n">
        <f aca="false">SUMIF(Games!$A$2:$A$186,$A48,Games!$I$2:$I$186)+SUMIF(Games!$B$2:$B$186,$A48,Games!$J$2:$J$186)</f>
        <v>4</v>
      </c>
      <c r="P48" s="0" t="n">
        <f aca="false">SUMIF(Games!$A$2:$A$186,$A48,Games!$J$2:$J$186)+SUMIF(Games!$B$2:$B$186,$A48,Games!$I$2:$I$186)</f>
        <v>2</v>
      </c>
      <c r="R48" s="0" t="n">
        <f aca="false">IFERROR((K48+N48)/(B48+C48),0)</f>
        <v>307.5</v>
      </c>
      <c r="S48" s="0" t="n">
        <f aca="false">P48-O48</f>
        <v>-2</v>
      </c>
      <c r="T48" s="0" t="n">
        <f aca="false">IFERROR((D48/(D48+E48))*(F48/(F48+G48)),0)</f>
        <v>0.0366847227727133</v>
      </c>
      <c r="U48" s="0" t="n">
        <f aca="false">RANK(T48,T$2:T$139)</f>
        <v>104</v>
      </c>
      <c r="V48" s="0" t="n">
        <f aca="false">IFERROR((B48/(B48+C48))*25,0)+IFERROR((D48/(D48+E48))*25,0)+IFERROR((F48/(F48+G48))*10,0)+H48+((J48-RMEAN)/RDEV)*5+((M48-PMEAN)/PDEV)*5+((DMEAN-R48)/DDEV)*7+((S48-TOMEAN)/TODEV)*3</f>
        <v>19.017720497821</v>
      </c>
    </row>
    <row r="49" customFormat="false" ht="15" hidden="false" customHeight="false" outlineLevel="0" collapsed="false">
      <c r="A49" s="0" t="s">
        <v>53</v>
      </c>
      <c r="B49" s="0" t="n">
        <f aca="false">SUMIF(Games!$A$2:$A$186,$A49,Games!$K$2:$K$186)+SUMIF(Games!$B$2:$B$186,$A49,Games!$L$2:$L$186)</f>
        <v>2</v>
      </c>
      <c r="C49" s="0" t="n">
        <f aca="false">SUMIF(Games!$A$2:$A$186,$A49,Games!$L$2:$L$186)+SUMIF(Games!$B$2:$B$186,$A49,Games!$K$2:$K$186)</f>
        <v>0</v>
      </c>
      <c r="D49" s="0" t="n">
        <f aca="false">SUMIF(Games!$A$2:$A$186,$A49,Games!$O$2:$O$186)+SUMIF(Games!$B$2:$B$186,$A49,Games!$M$2:$M$186)</f>
        <v>5</v>
      </c>
      <c r="E49" s="0" t="n">
        <f aca="false">SUMIF(Games!$A$2:$A$186,$A49,Games!$P$2:$P$186)+SUMIF(Games!$B$2:$B$186,$A49,Games!$N$2:$N$186)</f>
        <v>82</v>
      </c>
      <c r="F49" s="0" t="n">
        <f aca="false">SUMIF(Games!$A$2:$A$186,$A49,Games!$S$2:$S$186)+SUMIF(Games!$B$2:$B$186,$A49,Games!$Q$2:$Q$186)</f>
        <v>117</v>
      </c>
      <c r="G49" s="0" t="n">
        <f aca="false">SUMIF(Games!$A$2:$A$186,$A49,Games!$T$2:$T$186)+SUMIF(Games!$B$2:$B$186,$A49,Games!$R$2:$R$186)</f>
        <v>61</v>
      </c>
      <c r="H49" s="0" t="n">
        <f aca="false">SUMIF(Games!$A$2:$A$186,$A49,Games!$U$2:$U$186)+SUMIF(Games!$B$2:$B$186,$A49,Games!$V$2:$V$186)</f>
        <v>1.33705206220419</v>
      </c>
      <c r="I49" s="0" t="n">
        <f aca="false">SUMIF(Games!$A$2:$A$186,$A49,Games!$E$2:$E$186)+SUMIF(Games!$B$2:$B$186,$A49,Games!$F$2:$F$186)</f>
        <v>607</v>
      </c>
      <c r="J49" s="0" t="n">
        <f aca="false">IFERROR(I49/(B49+C49),0)</f>
        <v>303.5</v>
      </c>
      <c r="K49" s="0" t="n">
        <f aca="false">SUMIF(Games!$A$2:$A$186,$A49,Games!$F$2:$F$186)+SUMIF(Games!$B$2:$B$186,$A49,Games!$E$2:$E$186)</f>
        <v>193</v>
      </c>
      <c r="L49" s="0" t="n">
        <f aca="false">SUMIF(Games!$A$2:$A$186,$A49,Games!$G$2:$G$186)+SUMIF(Games!$B$2:$B$186,$A49,Games!$H$2:$H$186)</f>
        <v>439</v>
      </c>
      <c r="M49" s="0" t="n">
        <f aca="false">IFERROR(L49/(B49+C49),0)</f>
        <v>219.5</v>
      </c>
      <c r="N49" s="0" t="n">
        <f aca="false">SUMIF(Games!$A$2:$A$186,$A49,Games!$H$2:$H$186)+SUMIF(Games!$B$2:$B$186,$A49,Games!$G$2:$G$186)</f>
        <v>95</v>
      </c>
      <c r="O49" s="0" t="n">
        <f aca="false">SUMIF(Games!$A$2:$A$186,$A49,Games!$I$2:$I$186)+SUMIF(Games!$B$2:$B$186,$A49,Games!$J$2:$J$186)</f>
        <v>3</v>
      </c>
      <c r="P49" s="0" t="n">
        <f aca="false">SUMIF(Games!$A$2:$A$186,$A49,Games!$J$2:$J$186)+SUMIF(Games!$B$2:$B$186,$A49,Games!$I$2:$I$186)</f>
        <v>2</v>
      </c>
      <c r="R49" s="0" t="n">
        <f aca="false">IFERROR((K49+N49)/(B49+C49),0)</f>
        <v>144</v>
      </c>
      <c r="S49" s="0" t="n">
        <f aca="false">P49-O49</f>
        <v>-1</v>
      </c>
      <c r="T49" s="0" t="n">
        <f aca="false">IFERROR((D49/(D49+E49))*(F49/(F49+G49)),0)</f>
        <v>0.0377760557923286</v>
      </c>
      <c r="U49" s="0" t="n">
        <f aca="false">RANK(T49,T$2:T$139)</f>
        <v>93</v>
      </c>
      <c r="V49" s="0" t="n">
        <f aca="false">IFERROR((B49/(B49+C49))*25,0)+IFERROR((D49/(D49+E49))*25,0)+IFERROR((F49/(F49+G49))*10,0)+H49+((J49-RMEAN)/RDEV)*5+((M49-PMEAN)/PDEV)*5+((DMEAN-R49)/DDEV)*7+((S49-TOMEAN)/TODEV)*3</f>
        <v>55.7264216505735</v>
      </c>
    </row>
    <row r="50" customFormat="false" ht="15" hidden="false" customHeight="false" outlineLevel="0" collapsed="false">
      <c r="A50" s="0" t="s">
        <v>54</v>
      </c>
      <c r="B50" s="0" t="n">
        <f aca="false">SUMIF(Games!$A$2:$A$186,$A50,Games!$K$2:$K$186)+SUMIF(Games!$B$2:$B$186,$A50,Games!$L$2:$L$186)</f>
        <v>1</v>
      </c>
      <c r="C50" s="0" t="n">
        <f aca="false">SUMIF(Games!$A$2:$A$186,$A50,Games!$L$2:$L$186)+SUMIF(Games!$B$2:$B$186,$A50,Games!$K$2:$K$186)</f>
        <v>1</v>
      </c>
      <c r="D50" s="0" t="n">
        <f aca="false">SUMIF(Games!$A$2:$A$186,$A50,Games!$O$2:$O$186)+SUMIF(Games!$B$2:$B$186,$A50,Games!$M$2:$M$186)</f>
        <v>7</v>
      </c>
      <c r="E50" s="0" t="n">
        <f aca="false">SUMIF(Games!$A$2:$A$186,$A50,Games!$P$2:$P$186)+SUMIF(Games!$B$2:$B$186,$A50,Games!$N$2:$N$186)</f>
        <v>80</v>
      </c>
      <c r="F50" s="0" t="n">
        <f aca="false">SUMIF(Games!$A$2:$A$186,$A50,Games!$S$2:$S$186)+SUMIF(Games!$B$2:$B$186,$A50,Games!$Q$2:$Q$186)</f>
        <v>119</v>
      </c>
      <c r="G50" s="0" t="n">
        <f aca="false">SUMIF(Games!$A$2:$A$186,$A50,Games!$T$2:$T$186)+SUMIF(Games!$B$2:$B$186,$A50,Games!$R$2:$R$186)</f>
        <v>142</v>
      </c>
      <c r="H50" s="0" t="n">
        <f aca="false">SUMIF(Games!$A$2:$A$186,$A50,Games!$U$2:$U$186)+SUMIF(Games!$B$2:$B$186,$A50,Games!$V$2:$V$186)</f>
        <v>0.0336037863421228</v>
      </c>
      <c r="I50" s="0" t="n">
        <f aca="false">SUMIF(Games!$A$2:$A$186,$A50,Games!$E$2:$E$186)+SUMIF(Games!$B$2:$B$186,$A50,Games!$F$2:$F$186)</f>
        <v>369</v>
      </c>
      <c r="J50" s="0" t="n">
        <f aca="false">IFERROR(I50/(B50+C50),0)</f>
        <v>184.5</v>
      </c>
      <c r="K50" s="0" t="n">
        <f aca="false">SUMIF(Games!$A$2:$A$186,$A50,Games!$F$2:$F$186)+SUMIF(Games!$B$2:$B$186,$A50,Games!$E$2:$E$186)</f>
        <v>279</v>
      </c>
      <c r="L50" s="0" t="n">
        <f aca="false">SUMIF(Games!$A$2:$A$186,$A50,Games!$G$2:$G$186)+SUMIF(Games!$B$2:$B$186,$A50,Games!$H$2:$H$186)</f>
        <v>471</v>
      </c>
      <c r="M50" s="0" t="n">
        <f aca="false">IFERROR(L50/(B50+C50),0)</f>
        <v>235.5</v>
      </c>
      <c r="N50" s="0" t="n">
        <f aca="false">SUMIF(Games!$A$2:$A$186,$A50,Games!$H$2:$H$186)+SUMIF(Games!$B$2:$B$186,$A50,Games!$G$2:$G$186)</f>
        <v>364</v>
      </c>
      <c r="O50" s="0" t="n">
        <f aca="false">SUMIF(Games!$A$2:$A$186,$A50,Games!$I$2:$I$186)+SUMIF(Games!$B$2:$B$186,$A50,Games!$J$2:$J$186)</f>
        <v>3</v>
      </c>
      <c r="P50" s="0" t="n">
        <f aca="false">SUMIF(Games!$A$2:$A$186,$A50,Games!$J$2:$J$186)+SUMIF(Games!$B$2:$B$186,$A50,Games!$I$2:$I$186)</f>
        <v>4</v>
      </c>
      <c r="R50" s="0" t="n">
        <f aca="false">IFERROR((K50+N50)/(B50+C50),0)</f>
        <v>321.5</v>
      </c>
      <c r="S50" s="0" t="n">
        <f aca="false">P50-O50</f>
        <v>1</v>
      </c>
      <c r="T50" s="0" t="n">
        <f aca="false">IFERROR((D50/(D50+E50))*(F50/(F50+G50)),0)</f>
        <v>0.0366847227727133</v>
      </c>
      <c r="U50" s="0" t="n">
        <f aca="false">RANK(T50,T$2:T$139)</f>
        <v>104</v>
      </c>
      <c r="V50" s="0" t="n">
        <f aca="false">IFERROR((B50/(B50+C50))*25,0)+IFERROR((D50/(D50+E50))*25,0)+IFERROR((F50/(F50+G50))*10,0)+H50+((J50-RMEAN)/RDEV)*5+((M50-PMEAN)/PDEV)*5+((DMEAN-R50)/DDEV)*7+((S50-TOMEAN)/TODEV)*3</f>
        <v>20.8510829678292</v>
      </c>
    </row>
    <row r="51" customFormat="false" ht="15" hidden="false" customHeight="false" outlineLevel="0" collapsed="false">
      <c r="A51" s="0" t="s">
        <v>55</v>
      </c>
      <c r="B51" s="0" t="n">
        <f aca="false">SUMIF(Games!$A$2:$A$186,$A51,Games!$K$2:$K$186)+SUMIF(Games!$B$2:$B$186,$A51,Games!$L$2:$L$186)</f>
        <v>1</v>
      </c>
      <c r="C51" s="0" t="n">
        <f aca="false">SUMIF(Games!$A$2:$A$186,$A51,Games!$L$2:$L$186)+SUMIF(Games!$B$2:$B$186,$A51,Games!$K$2:$K$186)</f>
        <v>1</v>
      </c>
      <c r="D51" s="0" t="n">
        <f aca="false">SUMIF(Games!$A$2:$A$186,$A51,Games!$O$2:$O$186)+SUMIF(Games!$B$2:$B$186,$A51,Games!$M$2:$M$186)</f>
        <v>7</v>
      </c>
      <c r="E51" s="0" t="n">
        <f aca="false">SUMIF(Games!$A$2:$A$186,$A51,Games!$P$2:$P$186)+SUMIF(Games!$B$2:$B$186,$A51,Games!$N$2:$N$186)</f>
        <v>80</v>
      </c>
      <c r="F51" s="0" t="n">
        <f aca="false">SUMIF(Games!$A$2:$A$186,$A51,Games!$S$2:$S$186)+SUMIF(Games!$B$2:$B$186,$A51,Games!$Q$2:$Q$186)</f>
        <v>119</v>
      </c>
      <c r="G51" s="0" t="n">
        <f aca="false">SUMIF(Games!$A$2:$A$186,$A51,Games!$T$2:$T$186)+SUMIF(Games!$B$2:$B$186,$A51,Games!$R$2:$R$186)</f>
        <v>142</v>
      </c>
      <c r="H51" s="0" t="n">
        <f aca="false">SUMIF(Games!$A$2:$A$186,$A51,Games!$U$2:$U$186)+SUMIF(Games!$B$2:$B$186,$A51,Games!$V$2:$V$186)</f>
        <v>-2.45638945233266</v>
      </c>
      <c r="I51" s="0" t="n">
        <f aca="false">SUMIF(Games!$A$2:$A$186,$A51,Games!$E$2:$E$186)+SUMIF(Games!$B$2:$B$186,$A51,Games!$F$2:$F$186)</f>
        <v>295</v>
      </c>
      <c r="J51" s="0" t="n">
        <f aca="false">IFERROR(I51/(B51+C51),0)</f>
        <v>147.5</v>
      </c>
      <c r="K51" s="0" t="n">
        <f aca="false">SUMIF(Games!$A$2:$A$186,$A51,Games!$F$2:$F$186)+SUMIF(Games!$B$2:$B$186,$A51,Games!$E$2:$E$186)</f>
        <v>336</v>
      </c>
      <c r="L51" s="0" t="n">
        <f aca="false">SUMIF(Games!$A$2:$A$186,$A51,Games!$G$2:$G$186)+SUMIF(Games!$B$2:$B$186,$A51,Games!$H$2:$H$186)</f>
        <v>332</v>
      </c>
      <c r="M51" s="0" t="n">
        <f aca="false">IFERROR(L51/(B51+C51),0)</f>
        <v>166</v>
      </c>
      <c r="N51" s="0" t="n">
        <f aca="false">SUMIF(Games!$A$2:$A$186,$A51,Games!$H$2:$H$186)+SUMIF(Games!$B$2:$B$186,$A51,Games!$G$2:$G$186)</f>
        <v>482</v>
      </c>
      <c r="O51" s="0" t="n">
        <f aca="false">SUMIF(Games!$A$2:$A$186,$A51,Games!$I$2:$I$186)+SUMIF(Games!$B$2:$B$186,$A51,Games!$J$2:$J$186)</f>
        <v>4</v>
      </c>
      <c r="P51" s="0" t="n">
        <f aca="false">SUMIF(Games!$A$2:$A$186,$A51,Games!$J$2:$J$186)+SUMIF(Games!$B$2:$B$186,$A51,Games!$I$2:$I$186)</f>
        <v>2</v>
      </c>
      <c r="R51" s="0" t="n">
        <f aca="false">IFERROR((K51+N51)/(B51+C51),0)</f>
        <v>409</v>
      </c>
      <c r="S51" s="0" t="n">
        <f aca="false">P51-O51</f>
        <v>-2</v>
      </c>
      <c r="T51" s="0" t="n">
        <f aca="false">IFERROR((D51/(D51+E51))*(F51/(F51+G51)),0)</f>
        <v>0.0366847227727133</v>
      </c>
      <c r="U51" s="0" t="n">
        <f aca="false">RANK(T51,T$2:T$139)</f>
        <v>104</v>
      </c>
      <c r="V51" s="0" t="n">
        <f aca="false">IFERROR((B51/(B51+C51))*25,0)+IFERROR((D51/(D51+E51))*25,0)+IFERROR((F51/(F51+G51))*10,0)+H51+((J51-RMEAN)/RDEV)*5+((M51-PMEAN)/PDEV)*5+((DMEAN-R51)/DDEV)*7+((S51-TOMEAN)/TODEV)*3</f>
        <v>0.209914392676922</v>
      </c>
    </row>
    <row r="52" customFormat="false" ht="15" hidden="false" customHeight="false" outlineLevel="0" collapsed="false">
      <c r="A52" s="0" t="s">
        <v>56</v>
      </c>
      <c r="B52" s="0" t="n">
        <f aca="false">SUMIF(Games!$A$2:$A$186,$A52,Games!$K$2:$K$186)+SUMIF(Games!$B$2:$B$186,$A52,Games!$L$2:$L$186)</f>
        <v>1</v>
      </c>
      <c r="C52" s="0" t="n">
        <f aca="false">SUMIF(Games!$A$2:$A$186,$A52,Games!$L$2:$L$186)+SUMIF(Games!$B$2:$B$186,$A52,Games!$K$2:$K$186)</f>
        <v>1</v>
      </c>
      <c r="D52" s="0" t="n">
        <f aca="false">SUMIF(Games!$A$2:$A$186,$A52,Games!$O$2:$O$186)+SUMIF(Games!$B$2:$B$186,$A52,Games!$M$2:$M$186)</f>
        <v>7</v>
      </c>
      <c r="E52" s="0" t="n">
        <f aca="false">SUMIF(Games!$A$2:$A$186,$A52,Games!$P$2:$P$186)+SUMIF(Games!$B$2:$B$186,$A52,Games!$N$2:$N$186)</f>
        <v>80</v>
      </c>
      <c r="F52" s="0" t="n">
        <f aca="false">SUMIF(Games!$A$2:$A$186,$A52,Games!$S$2:$S$186)+SUMIF(Games!$B$2:$B$186,$A52,Games!$Q$2:$Q$186)</f>
        <v>114</v>
      </c>
      <c r="G52" s="0" t="n">
        <f aca="false">SUMIF(Games!$A$2:$A$186,$A52,Games!$T$2:$T$186)+SUMIF(Games!$B$2:$B$186,$A52,Games!$R$2:$R$186)</f>
        <v>64</v>
      </c>
      <c r="H52" s="0" t="n">
        <f aca="false">SUMIF(Games!$A$2:$A$186,$A52,Games!$U$2:$U$186)+SUMIF(Games!$B$2:$B$186,$A52,Games!$V$2:$V$186)</f>
        <v>-0.877552400270453</v>
      </c>
      <c r="I52" s="0" t="n">
        <f aca="false">SUMIF(Games!$A$2:$A$186,$A52,Games!$E$2:$E$186)+SUMIF(Games!$B$2:$B$186,$A52,Games!$F$2:$F$186)</f>
        <v>268</v>
      </c>
      <c r="J52" s="0" t="n">
        <f aca="false">IFERROR(I52/(B52+C52),0)</f>
        <v>134</v>
      </c>
      <c r="K52" s="0" t="n">
        <f aca="false">SUMIF(Games!$A$2:$A$186,$A52,Games!$F$2:$F$186)+SUMIF(Games!$B$2:$B$186,$A52,Games!$E$2:$E$186)</f>
        <v>214</v>
      </c>
      <c r="L52" s="0" t="n">
        <f aca="false">SUMIF(Games!$A$2:$A$186,$A52,Games!$G$2:$G$186)+SUMIF(Games!$B$2:$B$186,$A52,Games!$H$2:$H$186)</f>
        <v>447</v>
      </c>
      <c r="M52" s="0" t="n">
        <f aca="false">IFERROR(L52/(B52+C52),0)</f>
        <v>223.5</v>
      </c>
      <c r="N52" s="0" t="n">
        <f aca="false">SUMIF(Games!$A$2:$A$186,$A52,Games!$H$2:$H$186)+SUMIF(Games!$B$2:$B$186,$A52,Games!$G$2:$G$186)</f>
        <v>434</v>
      </c>
      <c r="O52" s="0" t="n">
        <f aca="false">SUMIF(Games!$A$2:$A$186,$A52,Games!$I$2:$I$186)+SUMIF(Games!$B$2:$B$186,$A52,Games!$J$2:$J$186)</f>
        <v>3</v>
      </c>
      <c r="P52" s="0" t="n">
        <f aca="false">SUMIF(Games!$A$2:$A$186,$A52,Games!$J$2:$J$186)+SUMIF(Games!$B$2:$B$186,$A52,Games!$I$2:$I$186)</f>
        <v>4</v>
      </c>
      <c r="R52" s="0" t="n">
        <f aca="false">IFERROR((K52+N52)/(B52+C52),0)</f>
        <v>324</v>
      </c>
      <c r="S52" s="0" t="n">
        <f aca="false">P52-O52</f>
        <v>1</v>
      </c>
      <c r="T52" s="0" t="n">
        <f aca="false">IFERROR((D52/(D52+E52))*(F52/(F52+G52)),0)</f>
        <v>0.0515304145679969</v>
      </c>
      <c r="U52" s="0" t="n">
        <f aca="false">RANK(T52,T$2:T$139)</f>
        <v>56</v>
      </c>
      <c r="V52" s="0" t="n">
        <f aca="false">IFERROR((B52/(B52+C52))*25,0)+IFERROR((D52/(D52+E52))*25,0)+IFERROR((F52/(F52+G52))*10,0)+H52+((J52-RMEAN)/RDEV)*5+((M52-PMEAN)/PDEV)*5+((DMEAN-R52)/DDEV)*7+((S52-TOMEAN)/TODEV)*3</f>
        <v>16.94674309529</v>
      </c>
    </row>
    <row r="53" customFormat="false" ht="15" hidden="false" customHeight="false" outlineLevel="0" collapsed="false">
      <c r="A53" s="0" t="s">
        <v>57</v>
      </c>
      <c r="B53" s="0" t="n">
        <f aca="false">SUMIF(Games!$A$2:$A$186,$A53,Games!$K$2:$K$186)+SUMIF(Games!$B$2:$B$186,$A53,Games!$L$2:$L$186)</f>
        <v>2</v>
      </c>
      <c r="C53" s="0" t="n">
        <f aca="false">SUMIF(Games!$A$2:$A$186,$A53,Games!$L$2:$L$186)+SUMIF(Games!$B$2:$B$186,$A53,Games!$K$2:$K$186)</f>
        <v>0</v>
      </c>
      <c r="D53" s="0" t="n">
        <f aca="false">SUMIF(Games!$A$2:$A$186,$A53,Games!$O$2:$O$186)+SUMIF(Games!$B$2:$B$186,$A53,Games!$M$2:$M$186)</f>
        <v>2</v>
      </c>
      <c r="E53" s="0" t="n">
        <f aca="false">SUMIF(Games!$A$2:$A$186,$A53,Games!$P$2:$P$186)+SUMIF(Games!$B$2:$B$186,$A53,Games!$N$2:$N$186)</f>
        <v>2</v>
      </c>
      <c r="F53" s="0" t="n">
        <f aca="false">SUMIF(Games!$A$2:$A$186,$A53,Games!$S$2:$S$186)+SUMIF(Games!$B$2:$B$186,$A53,Games!$Q$2:$Q$186)</f>
        <v>10</v>
      </c>
      <c r="G53" s="0" t="n">
        <f aca="false">SUMIF(Games!$A$2:$A$186,$A53,Games!$T$2:$T$186)+SUMIF(Games!$B$2:$B$186,$A53,Games!$R$2:$R$186)</f>
        <v>81</v>
      </c>
      <c r="H53" s="0" t="n">
        <f aca="false">SUMIF(Games!$A$2:$A$186,$A53,Games!$U$2:$U$186)+SUMIF(Games!$B$2:$B$186,$A53,Games!$V$2:$V$186)</f>
        <v>14.3721264367816</v>
      </c>
      <c r="I53" s="0" t="n">
        <f aca="false">SUMIF(Games!$A$2:$A$186,$A53,Games!$E$2:$E$186)+SUMIF(Games!$B$2:$B$186,$A53,Games!$F$2:$F$186)</f>
        <v>456</v>
      </c>
      <c r="J53" s="0" t="n">
        <f aca="false">IFERROR(I53/(B53+C53),0)</f>
        <v>228</v>
      </c>
      <c r="K53" s="0" t="n">
        <f aca="false">SUMIF(Games!$A$2:$A$186,$A53,Games!$F$2:$F$186)+SUMIF(Games!$B$2:$B$186,$A53,Games!$E$2:$E$186)</f>
        <v>37</v>
      </c>
      <c r="L53" s="0" t="n">
        <f aca="false">SUMIF(Games!$A$2:$A$186,$A53,Games!$G$2:$G$186)+SUMIF(Games!$B$2:$B$186,$A53,Games!$H$2:$H$186)</f>
        <v>716</v>
      </c>
      <c r="M53" s="0" t="n">
        <f aca="false">IFERROR(L53/(B53+C53),0)</f>
        <v>358</v>
      </c>
      <c r="N53" s="0" t="n">
        <f aca="false">SUMIF(Games!$A$2:$A$186,$A53,Games!$H$2:$H$186)+SUMIF(Games!$B$2:$B$186,$A53,Games!$G$2:$G$186)</f>
        <v>248</v>
      </c>
      <c r="O53" s="0" t="n">
        <f aca="false">SUMIF(Games!$A$2:$A$186,$A53,Games!$I$2:$I$186)+SUMIF(Games!$B$2:$B$186,$A53,Games!$J$2:$J$186)</f>
        <v>5</v>
      </c>
      <c r="P53" s="0" t="n">
        <f aca="false">SUMIF(Games!$A$2:$A$186,$A53,Games!$J$2:$J$186)+SUMIF(Games!$B$2:$B$186,$A53,Games!$I$2:$I$186)</f>
        <v>4</v>
      </c>
      <c r="R53" s="0" t="n">
        <f aca="false">IFERROR((K53+N53)/(B53+C53),0)</f>
        <v>142.5</v>
      </c>
      <c r="S53" s="0" t="n">
        <f aca="false">P53-O53</f>
        <v>-1</v>
      </c>
      <c r="T53" s="0" t="n">
        <f aca="false">IFERROR((D53/(D53+E53))*(F53/(F53+G53)),0)</f>
        <v>0.0549450549450549</v>
      </c>
      <c r="U53" s="0" t="n">
        <f aca="false">RANK(T53,T$2:T$139)</f>
        <v>33</v>
      </c>
      <c r="V53" s="0" t="n">
        <f aca="false">IFERROR((B53/(B53+C53))*25,0)+IFERROR((D53/(D53+E53))*25,0)+IFERROR((F53/(F53+G53))*10,0)+H53+((J53-RMEAN)/RDEV)*5+((M53-PMEAN)/PDEV)*5+((DMEAN-R53)/DDEV)*7+((S53-TOMEAN)/TODEV)*3</f>
        <v>78.3066892525309</v>
      </c>
    </row>
    <row r="54" customFormat="false" ht="15" hidden="false" customHeight="false" outlineLevel="0" collapsed="false">
      <c r="A54" s="0" t="s">
        <v>58</v>
      </c>
      <c r="B54" s="0" t="n">
        <f aca="false">SUMIF(Games!$A$2:$A$186,$A54,Games!$K$2:$K$186)+SUMIF(Games!$B$2:$B$186,$A54,Games!$L$2:$L$186)</f>
        <v>1</v>
      </c>
      <c r="C54" s="0" t="n">
        <f aca="false">SUMIF(Games!$A$2:$A$186,$A54,Games!$L$2:$L$186)+SUMIF(Games!$B$2:$B$186,$A54,Games!$K$2:$K$186)</f>
        <v>1</v>
      </c>
      <c r="D54" s="0" t="n">
        <f aca="false">SUMIF(Games!$A$2:$A$186,$A54,Games!$O$2:$O$186)+SUMIF(Games!$B$2:$B$186,$A54,Games!$M$2:$M$186)</f>
        <v>7</v>
      </c>
      <c r="E54" s="0" t="n">
        <f aca="false">SUMIF(Games!$A$2:$A$186,$A54,Games!$P$2:$P$186)+SUMIF(Games!$B$2:$B$186,$A54,Games!$N$2:$N$186)</f>
        <v>80</v>
      </c>
      <c r="F54" s="0" t="n">
        <f aca="false">SUMIF(Games!$A$2:$A$186,$A54,Games!$S$2:$S$186)+SUMIF(Games!$B$2:$B$186,$A54,Games!$Q$2:$Q$186)</f>
        <v>119</v>
      </c>
      <c r="G54" s="0" t="n">
        <f aca="false">SUMIF(Games!$A$2:$A$186,$A54,Games!$T$2:$T$186)+SUMIF(Games!$B$2:$B$186,$A54,Games!$R$2:$R$186)</f>
        <v>142</v>
      </c>
      <c r="H54" s="0" t="n">
        <f aca="false">SUMIF(Games!$A$2:$A$186,$A54,Games!$U$2:$U$186)+SUMIF(Games!$B$2:$B$186,$A54,Games!$V$2:$V$186)</f>
        <v>-0.613522650439486</v>
      </c>
      <c r="I54" s="0" t="n">
        <f aca="false">SUMIF(Games!$A$2:$A$186,$A54,Games!$E$2:$E$186)+SUMIF(Games!$B$2:$B$186,$A54,Games!$F$2:$F$186)</f>
        <v>284</v>
      </c>
      <c r="J54" s="0" t="n">
        <f aca="false">IFERROR(I54/(B54+C54),0)</f>
        <v>142</v>
      </c>
      <c r="K54" s="0" t="n">
        <f aca="false">SUMIF(Games!$A$2:$A$186,$A54,Games!$F$2:$F$186)+SUMIF(Games!$B$2:$B$186,$A54,Games!$E$2:$E$186)</f>
        <v>291</v>
      </c>
      <c r="L54" s="0" t="n">
        <f aca="false">SUMIF(Games!$A$2:$A$186,$A54,Games!$G$2:$G$186)+SUMIF(Games!$B$2:$B$186,$A54,Games!$H$2:$H$186)</f>
        <v>416</v>
      </c>
      <c r="M54" s="0" t="n">
        <f aca="false">IFERROR(L54/(B54+C54),0)</f>
        <v>208</v>
      </c>
      <c r="N54" s="0" t="n">
        <f aca="false">SUMIF(Games!$A$2:$A$186,$A54,Games!$H$2:$H$186)+SUMIF(Games!$B$2:$B$186,$A54,Games!$G$2:$G$186)</f>
        <v>304</v>
      </c>
      <c r="O54" s="0" t="n">
        <f aca="false">SUMIF(Games!$A$2:$A$186,$A54,Games!$I$2:$I$186)+SUMIF(Games!$B$2:$B$186,$A54,Games!$J$2:$J$186)</f>
        <v>2</v>
      </c>
      <c r="P54" s="0" t="n">
        <f aca="false">SUMIF(Games!$A$2:$A$186,$A54,Games!$J$2:$J$186)+SUMIF(Games!$B$2:$B$186,$A54,Games!$I$2:$I$186)</f>
        <v>3</v>
      </c>
      <c r="R54" s="0" t="n">
        <f aca="false">IFERROR((K54+N54)/(B54+C54),0)</f>
        <v>297.5</v>
      </c>
      <c r="S54" s="0" t="n">
        <f aca="false">P54-O54</f>
        <v>1</v>
      </c>
      <c r="T54" s="0" t="n">
        <f aca="false">IFERROR((D54/(D54+E54))*(F54/(F54+G54)),0)</f>
        <v>0.0366847227727133</v>
      </c>
      <c r="U54" s="0" t="n">
        <f aca="false">RANK(T54,T$2:T$139)</f>
        <v>104</v>
      </c>
      <c r="V54" s="0" t="n">
        <f aca="false">IFERROR((B54/(B54+C54))*25,0)+IFERROR((D54/(D54+E54))*25,0)+IFERROR((F54/(F54+G54))*10,0)+H54+((J54-RMEAN)/RDEV)*5+((M54-PMEAN)/PDEV)*5+((DMEAN-R54)/DDEV)*7+((S54-TOMEAN)/TODEV)*3</f>
        <v>17.0146887338815</v>
      </c>
    </row>
    <row r="55" customFormat="false" ht="15" hidden="false" customHeight="false" outlineLevel="0" collapsed="false">
      <c r="A55" s="0" t="s">
        <v>59</v>
      </c>
      <c r="B55" s="0" t="n">
        <f aca="false">SUMIF(Games!$A$2:$A$186,$A55,Games!$K$2:$K$186)+SUMIF(Games!$B$2:$B$186,$A55,Games!$L$2:$L$186)</f>
        <v>1</v>
      </c>
      <c r="C55" s="0" t="n">
        <f aca="false">SUMIF(Games!$A$2:$A$186,$A55,Games!$L$2:$L$186)+SUMIF(Games!$B$2:$B$186,$A55,Games!$K$2:$K$186)</f>
        <v>1</v>
      </c>
      <c r="D55" s="0" t="n">
        <f aca="false">SUMIF(Games!$A$2:$A$186,$A55,Games!$O$2:$O$186)+SUMIF(Games!$B$2:$B$186,$A55,Games!$M$2:$M$186)</f>
        <v>8</v>
      </c>
      <c r="E55" s="0" t="n">
        <f aca="false">SUMIF(Games!$A$2:$A$186,$A55,Games!$P$2:$P$186)+SUMIF(Games!$B$2:$B$186,$A55,Games!$N$2:$N$186)</f>
        <v>80</v>
      </c>
      <c r="F55" s="0" t="n">
        <f aca="false">SUMIF(Games!$A$2:$A$186,$A55,Games!$S$2:$S$186)+SUMIF(Games!$B$2:$B$186,$A55,Games!$Q$2:$Q$186)</f>
        <v>117</v>
      </c>
      <c r="G55" s="0" t="n">
        <f aca="false">SUMIF(Games!$A$2:$A$186,$A55,Games!$T$2:$T$186)+SUMIF(Games!$B$2:$B$186,$A55,Games!$R$2:$R$186)</f>
        <v>64</v>
      </c>
      <c r="H55" s="0" t="n">
        <f aca="false">SUMIF(Games!$A$2:$A$186,$A55,Games!$U$2:$U$186)+SUMIF(Games!$B$2:$B$186,$A55,Games!$V$2:$V$186)</f>
        <v>0.369960397952285</v>
      </c>
      <c r="I55" s="0" t="n">
        <f aca="false">SUMIF(Games!$A$2:$A$186,$A55,Games!$E$2:$E$186)+SUMIF(Games!$B$2:$B$186,$A55,Games!$F$2:$F$186)</f>
        <v>389</v>
      </c>
      <c r="J55" s="0" t="n">
        <f aca="false">IFERROR(I55/(B55+C55),0)</f>
        <v>194.5</v>
      </c>
      <c r="K55" s="0" t="n">
        <f aca="false">SUMIF(Games!$A$2:$A$186,$A55,Games!$F$2:$F$186)+SUMIF(Games!$B$2:$B$186,$A55,Games!$E$2:$E$186)</f>
        <v>270</v>
      </c>
      <c r="L55" s="0" t="n">
        <f aca="false">SUMIF(Games!$A$2:$A$186,$A55,Games!$G$2:$G$186)+SUMIF(Games!$B$2:$B$186,$A55,Games!$H$2:$H$186)</f>
        <v>443</v>
      </c>
      <c r="M55" s="0" t="n">
        <f aca="false">IFERROR(L55/(B55+C55),0)</f>
        <v>221.5</v>
      </c>
      <c r="N55" s="0" t="n">
        <f aca="false">SUMIF(Games!$A$2:$A$186,$A55,Games!$H$2:$H$186)+SUMIF(Games!$B$2:$B$186,$A55,Games!$G$2:$G$186)</f>
        <v>418</v>
      </c>
      <c r="O55" s="0" t="n">
        <f aca="false">SUMIF(Games!$A$2:$A$186,$A55,Games!$I$2:$I$186)+SUMIF(Games!$B$2:$B$186,$A55,Games!$J$2:$J$186)</f>
        <v>3</v>
      </c>
      <c r="P55" s="0" t="n">
        <f aca="false">SUMIF(Games!$A$2:$A$186,$A55,Games!$J$2:$J$186)+SUMIF(Games!$B$2:$B$186,$A55,Games!$I$2:$I$186)</f>
        <v>5</v>
      </c>
      <c r="R55" s="0" t="n">
        <f aca="false">IFERROR((K55+N55)/(B55+C55),0)</f>
        <v>344</v>
      </c>
      <c r="S55" s="0" t="n">
        <f aca="false">P55-O55</f>
        <v>2</v>
      </c>
      <c r="T55" s="0" t="n">
        <f aca="false">IFERROR((D55/(D55+E55))*(F55/(F55+G55)),0)</f>
        <v>0.0587644399799096</v>
      </c>
      <c r="U55" s="0" t="n">
        <f aca="false">RANK(T55,T$2:T$139)</f>
        <v>27</v>
      </c>
      <c r="V55" s="0" t="n">
        <f aca="false">IFERROR((B55/(B55+C55))*25,0)+IFERROR((D55/(D55+E55))*25,0)+IFERROR((F55/(F55+G55))*10,0)+H55+((J55-RMEAN)/RDEV)*5+((M55-PMEAN)/PDEV)*5+((DMEAN-R55)/DDEV)*7+((S55-TOMEAN)/TODEV)*3</f>
        <v>22.550043328323</v>
      </c>
    </row>
    <row r="56" customFormat="false" ht="15" hidden="false" customHeight="false" outlineLevel="0" collapsed="false">
      <c r="A56" s="0" t="s">
        <v>60</v>
      </c>
      <c r="B56" s="0" t="n">
        <f aca="false">SUMIF(Games!$A$2:$A$186,$A56,Games!$K$2:$K$186)+SUMIF(Games!$B$2:$B$186,$A56,Games!$L$2:$L$186)</f>
        <v>1</v>
      </c>
      <c r="C56" s="0" t="n">
        <f aca="false">SUMIF(Games!$A$2:$A$186,$A56,Games!$L$2:$L$186)+SUMIF(Games!$B$2:$B$186,$A56,Games!$K$2:$K$186)</f>
        <v>1</v>
      </c>
      <c r="D56" s="0" t="n">
        <f aca="false">SUMIF(Games!$A$2:$A$186,$A56,Games!$O$2:$O$186)+SUMIF(Games!$B$2:$B$186,$A56,Games!$M$2:$M$186)</f>
        <v>7</v>
      </c>
      <c r="E56" s="0" t="n">
        <f aca="false">SUMIF(Games!$A$2:$A$186,$A56,Games!$P$2:$P$186)+SUMIF(Games!$B$2:$B$186,$A56,Games!$N$2:$N$186)</f>
        <v>80</v>
      </c>
      <c r="F56" s="0" t="n">
        <f aca="false">SUMIF(Games!$A$2:$A$186,$A56,Games!$S$2:$S$186)+SUMIF(Games!$B$2:$B$186,$A56,Games!$Q$2:$Q$186)</f>
        <v>115</v>
      </c>
      <c r="G56" s="0" t="n">
        <f aca="false">SUMIF(Games!$A$2:$A$186,$A56,Games!$T$2:$T$186)+SUMIF(Games!$B$2:$B$186,$A56,Games!$R$2:$R$186)</f>
        <v>63</v>
      </c>
      <c r="H56" s="0" t="n">
        <f aca="false">SUMIF(Games!$A$2:$A$186,$A56,Games!$U$2:$U$186)+SUMIF(Games!$B$2:$B$186,$A56,Games!$V$2:$V$186)</f>
        <v>-0.212947937795808</v>
      </c>
      <c r="I56" s="0" t="n">
        <f aca="false">SUMIF(Games!$A$2:$A$186,$A56,Games!$E$2:$E$186)+SUMIF(Games!$B$2:$B$186,$A56,Games!$F$2:$F$186)</f>
        <v>229</v>
      </c>
      <c r="J56" s="0" t="n">
        <f aca="false">IFERROR(I56/(B56+C56),0)</f>
        <v>114.5</v>
      </c>
      <c r="K56" s="0" t="n">
        <f aca="false">SUMIF(Games!$A$2:$A$186,$A56,Games!$F$2:$F$186)+SUMIF(Games!$B$2:$B$186,$A56,Games!$E$2:$E$186)</f>
        <v>233</v>
      </c>
      <c r="L56" s="0" t="n">
        <f aca="false">SUMIF(Games!$A$2:$A$186,$A56,Games!$G$2:$G$186)+SUMIF(Games!$B$2:$B$186,$A56,Games!$H$2:$H$186)</f>
        <v>439</v>
      </c>
      <c r="M56" s="0" t="n">
        <f aca="false">IFERROR(L56/(B56+C56),0)</f>
        <v>219.5</v>
      </c>
      <c r="N56" s="0" t="n">
        <f aca="false">SUMIF(Games!$A$2:$A$186,$A56,Games!$H$2:$H$186)+SUMIF(Games!$B$2:$B$186,$A56,Games!$G$2:$G$186)</f>
        <v>424</v>
      </c>
      <c r="O56" s="0" t="n">
        <f aca="false">SUMIF(Games!$A$2:$A$186,$A56,Games!$I$2:$I$186)+SUMIF(Games!$B$2:$B$186,$A56,Games!$J$2:$J$186)</f>
        <v>3</v>
      </c>
      <c r="P56" s="0" t="n">
        <f aca="false">SUMIF(Games!$A$2:$A$186,$A56,Games!$J$2:$J$186)+SUMIF(Games!$B$2:$B$186,$A56,Games!$I$2:$I$186)</f>
        <v>5</v>
      </c>
      <c r="R56" s="0" t="n">
        <f aca="false">IFERROR((K56+N56)/(B56+C56),0)</f>
        <v>328.5</v>
      </c>
      <c r="S56" s="0" t="n">
        <f aca="false">P56-O56</f>
        <v>2</v>
      </c>
      <c r="T56" s="0" t="n">
        <f aca="false">IFERROR((D56/(D56+E56))*(F56/(F56+G56)),0)</f>
        <v>0.0519824357484179</v>
      </c>
      <c r="U56" s="0" t="n">
        <f aca="false">RANK(T56,T$2:T$139)</f>
        <v>39</v>
      </c>
      <c r="V56" s="0" t="n">
        <f aca="false">IFERROR((B56/(B56+C56))*25,0)+IFERROR((D56/(D56+E56))*25,0)+IFERROR((F56/(F56+G56))*10,0)+H56+((J56-RMEAN)/RDEV)*5+((M56-PMEAN)/PDEV)*5+((DMEAN-R56)/DDEV)*7+((S56-TOMEAN)/TODEV)*3</f>
        <v>16.7603166418635</v>
      </c>
    </row>
    <row r="57" customFormat="false" ht="15" hidden="false" customHeight="false" outlineLevel="0" collapsed="false">
      <c r="A57" s="0" t="s">
        <v>61</v>
      </c>
      <c r="B57" s="0" t="n">
        <f aca="false">SUMIF(Games!$A$2:$A$186,$A57,Games!$K$2:$K$186)+SUMIF(Games!$B$2:$B$186,$A57,Games!$L$2:$L$186)</f>
        <v>0</v>
      </c>
      <c r="C57" s="0" t="n">
        <f aca="false">SUMIF(Games!$A$2:$A$186,$A57,Games!$L$2:$L$186)+SUMIF(Games!$B$2:$B$186,$A57,Games!$K$2:$K$186)</f>
        <v>2</v>
      </c>
      <c r="D57" s="0" t="n">
        <f aca="false">SUMIF(Games!$A$2:$A$186,$A57,Games!$O$2:$O$186)+SUMIF(Games!$B$2:$B$186,$A57,Games!$M$2:$M$186)</f>
        <v>3</v>
      </c>
      <c r="E57" s="0" t="n">
        <f aca="false">SUMIF(Games!$A$2:$A$186,$A57,Games!$P$2:$P$186)+SUMIF(Games!$B$2:$B$186,$A57,Games!$N$2:$N$186)</f>
        <v>1</v>
      </c>
      <c r="F57" s="0" t="n">
        <f aca="false">SUMIF(Games!$A$2:$A$186,$A57,Games!$S$2:$S$186)+SUMIF(Games!$B$2:$B$186,$A57,Games!$Q$2:$Q$186)</f>
        <v>2</v>
      </c>
      <c r="G57" s="0" t="n">
        <f aca="false">SUMIF(Games!$A$2:$A$186,$A57,Games!$T$2:$T$186)+SUMIF(Games!$B$2:$B$186,$A57,Games!$R$2:$R$186)</f>
        <v>6</v>
      </c>
      <c r="H57" s="0" t="n">
        <f aca="false">SUMIF(Games!$A$2:$A$186,$A57,Games!$U$2:$U$186)+SUMIF(Games!$B$2:$B$186,$A57,Games!$V$2:$V$186)</f>
        <v>-4.875</v>
      </c>
      <c r="I57" s="0" t="n">
        <f aca="false">SUMIF(Games!$A$2:$A$186,$A57,Games!$E$2:$E$186)+SUMIF(Games!$B$2:$B$186,$A57,Games!$F$2:$F$186)</f>
        <v>339</v>
      </c>
      <c r="J57" s="0" t="n">
        <f aca="false">IFERROR(I57/(B57+C57),0)</f>
        <v>169.5</v>
      </c>
      <c r="K57" s="0" t="n">
        <f aca="false">SUMIF(Games!$A$2:$A$186,$A57,Games!$F$2:$F$186)+SUMIF(Games!$B$2:$B$186,$A57,Games!$E$2:$E$186)</f>
        <v>611</v>
      </c>
      <c r="L57" s="0" t="n">
        <f aca="false">SUMIF(Games!$A$2:$A$186,$A57,Games!$G$2:$G$186)+SUMIF(Games!$B$2:$B$186,$A57,Games!$H$2:$H$186)</f>
        <v>196</v>
      </c>
      <c r="M57" s="0" t="n">
        <f aca="false">IFERROR(L57/(B57+C57),0)</f>
        <v>98</v>
      </c>
      <c r="N57" s="0" t="n">
        <f aca="false">SUMIF(Games!$A$2:$A$186,$A57,Games!$H$2:$H$186)+SUMIF(Games!$B$2:$B$186,$A57,Games!$G$2:$G$186)</f>
        <v>532</v>
      </c>
      <c r="O57" s="0" t="n">
        <f aca="false">SUMIF(Games!$A$2:$A$186,$A57,Games!$I$2:$I$186)+SUMIF(Games!$B$2:$B$186,$A57,Games!$J$2:$J$186)</f>
        <v>1</v>
      </c>
      <c r="P57" s="0" t="n">
        <f aca="false">SUMIF(Games!$A$2:$A$186,$A57,Games!$J$2:$J$186)+SUMIF(Games!$B$2:$B$186,$A57,Games!$I$2:$I$186)</f>
        <v>2</v>
      </c>
      <c r="R57" s="0" t="n">
        <f aca="false">IFERROR((K57+N57)/(B57+C57),0)</f>
        <v>571.5</v>
      </c>
      <c r="S57" s="0" t="n">
        <f aca="false">P57-O57</f>
        <v>1</v>
      </c>
      <c r="T57" s="0" t="n">
        <f aca="false">IFERROR((D57/(D57+E57))*(F57/(F57+G57)),0)</f>
        <v>0.1875</v>
      </c>
      <c r="U57" s="0" t="n">
        <f aca="false">RANK(T57,T$2:T$139)</f>
        <v>9</v>
      </c>
      <c r="V57" s="0" t="n">
        <f aca="false">IFERROR((B57/(B57+C57))*25,0)+IFERROR((D57/(D57+E57))*25,0)+IFERROR((F57/(F57+G57))*10,0)+H57+((J57-RMEAN)/RDEV)*5+((M57-PMEAN)/PDEV)*5+((DMEAN-R57)/DDEV)*7+((S57-TOMEAN)/TODEV)*3</f>
        <v>-12.406318562138</v>
      </c>
    </row>
    <row r="58" customFormat="false" ht="15" hidden="false" customHeight="false" outlineLevel="0" collapsed="false">
      <c r="A58" s="0" t="s">
        <v>62</v>
      </c>
      <c r="B58" s="0" t="n">
        <f aca="false">SUMIF(Games!$A$2:$A$186,$A58,Games!$K$2:$K$186)+SUMIF(Games!$B$2:$B$186,$A58,Games!$L$2:$L$186)</f>
        <v>1</v>
      </c>
      <c r="C58" s="0" t="n">
        <f aca="false">SUMIF(Games!$A$2:$A$186,$A58,Games!$L$2:$L$186)+SUMIF(Games!$B$2:$B$186,$A58,Games!$K$2:$K$186)</f>
        <v>1</v>
      </c>
      <c r="D58" s="0" t="n">
        <f aca="false">SUMIF(Games!$A$2:$A$186,$A58,Games!$O$2:$O$186)+SUMIF(Games!$B$2:$B$186,$A58,Games!$M$2:$M$186)</f>
        <v>7</v>
      </c>
      <c r="E58" s="0" t="n">
        <f aca="false">SUMIF(Games!$A$2:$A$186,$A58,Games!$P$2:$P$186)+SUMIF(Games!$B$2:$B$186,$A58,Games!$N$2:$N$186)</f>
        <v>80</v>
      </c>
      <c r="F58" s="0" t="n">
        <f aca="false">SUMIF(Games!$A$2:$A$186,$A58,Games!$S$2:$S$186)+SUMIF(Games!$B$2:$B$186,$A58,Games!$Q$2:$Q$186)</f>
        <v>114</v>
      </c>
      <c r="G58" s="0" t="n">
        <f aca="false">SUMIF(Games!$A$2:$A$186,$A58,Games!$T$2:$T$186)+SUMIF(Games!$B$2:$B$186,$A58,Games!$R$2:$R$186)</f>
        <v>64</v>
      </c>
      <c r="H58" s="0" t="n">
        <f aca="false">SUMIF(Games!$A$2:$A$186,$A58,Games!$U$2:$U$186)+SUMIF(Games!$B$2:$B$186,$A58,Games!$V$2:$V$186)</f>
        <v>1.11205206220419</v>
      </c>
      <c r="I58" s="0" t="n">
        <f aca="false">SUMIF(Games!$A$2:$A$186,$A58,Games!$E$2:$E$186)+SUMIF(Games!$B$2:$B$186,$A58,Games!$F$2:$F$186)</f>
        <v>422</v>
      </c>
      <c r="J58" s="0" t="n">
        <f aca="false">IFERROR(I58/(B58+C58),0)</f>
        <v>211</v>
      </c>
      <c r="K58" s="0" t="n">
        <f aca="false">SUMIF(Games!$A$2:$A$186,$A58,Games!$F$2:$F$186)+SUMIF(Games!$B$2:$B$186,$A58,Games!$E$2:$E$186)</f>
        <v>227</v>
      </c>
      <c r="L58" s="0" t="n">
        <f aca="false">SUMIF(Games!$A$2:$A$186,$A58,Games!$G$2:$G$186)+SUMIF(Games!$B$2:$B$186,$A58,Games!$H$2:$H$186)</f>
        <v>682</v>
      </c>
      <c r="M58" s="0" t="n">
        <f aca="false">IFERROR(L58/(B58+C58),0)</f>
        <v>341</v>
      </c>
      <c r="N58" s="0" t="n">
        <f aca="false">SUMIF(Games!$A$2:$A$186,$A58,Games!$H$2:$H$186)+SUMIF(Games!$B$2:$B$186,$A58,Games!$G$2:$G$186)</f>
        <v>514</v>
      </c>
      <c r="O58" s="0" t="n">
        <f aca="false">SUMIF(Games!$A$2:$A$186,$A58,Games!$I$2:$I$186)+SUMIF(Games!$B$2:$B$186,$A58,Games!$J$2:$J$186)</f>
        <v>0</v>
      </c>
      <c r="P58" s="0" t="n">
        <f aca="false">SUMIF(Games!$A$2:$A$186,$A58,Games!$J$2:$J$186)+SUMIF(Games!$B$2:$B$186,$A58,Games!$I$2:$I$186)</f>
        <v>3</v>
      </c>
      <c r="R58" s="0" t="n">
        <f aca="false">IFERROR((K58+N58)/(B58+C58),0)</f>
        <v>370.5</v>
      </c>
      <c r="S58" s="0" t="n">
        <f aca="false">P58-O58</f>
        <v>3</v>
      </c>
      <c r="T58" s="0" t="n">
        <f aca="false">IFERROR((D58/(D58+E58))*(F58/(F58+G58)),0)</f>
        <v>0.0515304145679969</v>
      </c>
      <c r="U58" s="0" t="n">
        <f aca="false">RANK(T58,T$2:T$139)</f>
        <v>56</v>
      </c>
      <c r="V58" s="0" t="n">
        <f aca="false">IFERROR((B58/(B58+C58))*25,0)+IFERROR((D58/(D58+E58))*25,0)+IFERROR((F58/(F58+G58))*10,0)+H58+((J58-RMEAN)/RDEV)*5+((M58-PMEAN)/PDEV)*5+((DMEAN-R58)/DDEV)*7+((S58-TOMEAN)/TODEV)*3</f>
        <v>31.5323536575228</v>
      </c>
    </row>
    <row r="59" customFormat="false" ht="15" hidden="false" customHeight="false" outlineLevel="0" collapsed="false">
      <c r="A59" s="0" t="s">
        <v>63</v>
      </c>
      <c r="B59" s="0" t="n">
        <f aca="false">SUMIF(Games!$A$2:$A$186,$A59,Games!$K$2:$K$186)+SUMIF(Games!$B$2:$B$186,$A59,Games!$L$2:$L$186)</f>
        <v>1</v>
      </c>
      <c r="C59" s="0" t="n">
        <f aca="false">SUMIF(Games!$A$2:$A$186,$A59,Games!$L$2:$L$186)+SUMIF(Games!$B$2:$B$186,$A59,Games!$K$2:$K$186)</f>
        <v>1</v>
      </c>
      <c r="D59" s="0" t="n">
        <f aca="false">SUMIF(Games!$A$2:$A$186,$A59,Games!$O$2:$O$186)+SUMIF(Games!$B$2:$B$186,$A59,Games!$M$2:$M$186)</f>
        <v>3</v>
      </c>
      <c r="E59" s="0" t="n">
        <f aca="false">SUMIF(Games!$A$2:$A$186,$A59,Games!$P$2:$P$186)+SUMIF(Games!$B$2:$B$186,$A59,Games!$N$2:$N$186)</f>
        <v>1</v>
      </c>
      <c r="F59" s="0" t="n">
        <f aca="false">SUMIF(Games!$A$2:$A$186,$A59,Games!$S$2:$S$186)+SUMIF(Games!$B$2:$B$186,$A59,Games!$Q$2:$Q$186)</f>
        <v>8</v>
      </c>
      <c r="G59" s="0" t="n">
        <f aca="false">SUMIF(Games!$A$2:$A$186,$A59,Games!$T$2:$T$186)+SUMIF(Games!$B$2:$B$186,$A59,Games!$R$2:$R$186)</f>
        <v>83</v>
      </c>
      <c r="H59" s="0" t="n">
        <f aca="false">SUMIF(Games!$A$2:$A$186,$A59,Games!$U$2:$U$186)+SUMIF(Games!$B$2:$B$186,$A59,Games!$V$2:$V$186)</f>
        <v>-1.68103448275862</v>
      </c>
      <c r="I59" s="0" t="n">
        <f aca="false">SUMIF(Games!$A$2:$A$186,$A59,Games!$E$2:$E$186)+SUMIF(Games!$B$2:$B$186,$A59,Games!$F$2:$F$186)</f>
        <v>173</v>
      </c>
      <c r="J59" s="0" t="n">
        <f aca="false">IFERROR(I59/(B59+C59),0)</f>
        <v>86.5</v>
      </c>
      <c r="K59" s="0" t="n">
        <f aca="false">SUMIF(Games!$A$2:$A$186,$A59,Games!$F$2:$F$186)+SUMIF(Games!$B$2:$B$186,$A59,Games!$E$2:$E$186)</f>
        <v>272</v>
      </c>
      <c r="L59" s="0" t="n">
        <f aca="false">SUMIF(Games!$A$2:$A$186,$A59,Games!$G$2:$G$186)+SUMIF(Games!$B$2:$B$186,$A59,Games!$H$2:$H$186)</f>
        <v>284</v>
      </c>
      <c r="M59" s="0" t="n">
        <f aca="false">IFERROR(L59/(B59+C59),0)</f>
        <v>142</v>
      </c>
      <c r="N59" s="0" t="n">
        <f aca="false">SUMIF(Games!$A$2:$A$186,$A59,Games!$H$2:$H$186)+SUMIF(Games!$B$2:$B$186,$A59,Games!$G$2:$G$186)</f>
        <v>567</v>
      </c>
      <c r="O59" s="0" t="n">
        <f aca="false">SUMIF(Games!$A$2:$A$186,$A59,Games!$I$2:$I$186)+SUMIF(Games!$B$2:$B$186,$A59,Games!$J$2:$J$186)</f>
        <v>3</v>
      </c>
      <c r="P59" s="0" t="n">
        <f aca="false">SUMIF(Games!$A$2:$A$186,$A59,Games!$J$2:$J$186)+SUMIF(Games!$B$2:$B$186,$A59,Games!$I$2:$I$186)</f>
        <v>1</v>
      </c>
      <c r="R59" s="0" t="n">
        <f aca="false">IFERROR((K59+N59)/(B59+C59),0)</f>
        <v>419.5</v>
      </c>
      <c r="S59" s="0" t="n">
        <f aca="false">P59-O59</f>
        <v>-2</v>
      </c>
      <c r="T59" s="0" t="n">
        <f aca="false">IFERROR((D59/(D59+E59))*(F59/(F59+G59)),0)</f>
        <v>0.0659340659340659</v>
      </c>
      <c r="U59" s="0" t="n">
        <f aca="false">RANK(T59,T$2:T$139)</f>
        <v>12</v>
      </c>
      <c r="V59" s="0" t="n">
        <f aca="false">IFERROR((B59/(B59+C59))*25,0)+IFERROR((D59/(D59+E59))*25,0)+IFERROR((F59/(F59+G59))*10,0)+H59+((J59-RMEAN)/RDEV)*5+((M59-PMEAN)/PDEV)*5+((DMEAN-R59)/DDEV)*7+((S59-TOMEAN)/TODEV)*3</f>
        <v>6.94850263427849</v>
      </c>
    </row>
    <row r="60" customFormat="false" ht="15" hidden="false" customHeight="false" outlineLevel="0" collapsed="false">
      <c r="A60" s="0" t="s">
        <v>64</v>
      </c>
      <c r="B60" s="0" t="n">
        <f aca="false">SUMIF(Games!$A$2:$A$186,$A60,Games!$K$2:$K$186)+SUMIF(Games!$B$2:$B$186,$A60,Games!$L$2:$L$186)</f>
        <v>2</v>
      </c>
      <c r="C60" s="0" t="n">
        <f aca="false">SUMIF(Games!$A$2:$A$186,$A60,Games!$L$2:$L$186)+SUMIF(Games!$B$2:$B$186,$A60,Games!$K$2:$K$186)</f>
        <v>0</v>
      </c>
      <c r="D60" s="0" t="n">
        <f aca="false">SUMIF(Games!$A$2:$A$186,$A60,Games!$O$2:$O$186)+SUMIF(Games!$B$2:$B$186,$A60,Games!$M$2:$M$186)</f>
        <v>6</v>
      </c>
      <c r="E60" s="0" t="n">
        <f aca="false">SUMIF(Games!$A$2:$A$186,$A60,Games!$P$2:$P$186)+SUMIF(Games!$B$2:$B$186,$A60,Games!$N$2:$N$186)</f>
        <v>81</v>
      </c>
      <c r="F60" s="0" t="n">
        <f aca="false">SUMIF(Games!$A$2:$A$186,$A60,Games!$S$2:$S$186)+SUMIF(Games!$B$2:$B$186,$A60,Games!$Q$2:$Q$186)</f>
        <v>120</v>
      </c>
      <c r="G60" s="0" t="n">
        <f aca="false">SUMIF(Games!$A$2:$A$186,$A60,Games!$T$2:$T$186)+SUMIF(Games!$B$2:$B$186,$A60,Games!$R$2:$R$186)</f>
        <v>141</v>
      </c>
      <c r="H60" s="0" t="n">
        <f aca="false">SUMIF(Games!$A$2:$A$186,$A60,Games!$U$2:$U$186)+SUMIF(Games!$B$2:$B$186,$A60,Games!$V$2:$V$186)</f>
        <v>2.3025693035835</v>
      </c>
      <c r="I60" s="0" t="n">
        <f aca="false">SUMIF(Games!$A$2:$A$186,$A60,Games!$E$2:$E$186)+SUMIF(Games!$B$2:$B$186,$A60,Games!$F$2:$F$186)</f>
        <v>490</v>
      </c>
      <c r="J60" s="0" t="n">
        <f aca="false">IFERROR(I60/(B60+C60),0)</f>
        <v>245</v>
      </c>
      <c r="K60" s="0" t="n">
        <f aca="false">SUMIF(Games!$A$2:$A$186,$A60,Games!$F$2:$F$186)+SUMIF(Games!$B$2:$B$186,$A60,Games!$E$2:$E$186)</f>
        <v>77</v>
      </c>
      <c r="L60" s="0" t="n">
        <f aca="false">SUMIF(Games!$A$2:$A$186,$A60,Games!$G$2:$G$186)+SUMIF(Games!$B$2:$B$186,$A60,Games!$H$2:$H$186)</f>
        <v>631</v>
      </c>
      <c r="M60" s="0" t="n">
        <f aca="false">IFERROR(L60/(B60+C60),0)</f>
        <v>315.5</v>
      </c>
      <c r="N60" s="0" t="n">
        <f aca="false">SUMIF(Games!$A$2:$A$186,$A60,Games!$H$2:$H$186)+SUMIF(Games!$B$2:$B$186,$A60,Games!$G$2:$G$186)</f>
        <v>231</v>
      </c>
      <c r="O60" s="0" t="n">
        <f aca="false">SUMIF(Games!$A$2:$A$186,$A60,Games!$I$2:$I$186)+SUMIF(Games!$B$2:$B$186,$A60,Games!$J$2:$J$186)</f>
        <v>0</v>
      </c>
      <c r="P60" s="0" t="n">
        <f aca="false">SUMIF(Games!$A$2:$A$186,$A60,Games!$J$2:$J$186)+SUMIF(Games!$B$2:$B$186,$A60,Games!$I$2:$I$186)</f>
        <v>4</v>
      </c>
      <c r="R60" s="0" t="n">
        <f aca="false">IFERROR((K60+N60)/(B60+C60),0)</f>
        <v>154</v>
      </c>
      <c r="S60" s="0" t="n">
        <f aca="false">P60-O60</f>
        <v>4</v>
      </c>
      <c r="T60" s="0" t="n">
        <f aca="false">IFERROR((D60/(D60+E60))*(F60/(F60+G60)),0)</f>
        <v>0.0317082837891399</v>
      </c>
      <c r="U60" s="0" t="n">
        <f aca="false">RANK(T60,T$2:T$139)</f>
        <v>118</v>
      </c>
      <c r="V60" s="0" t="n">
        <f aca="false">IFERROR((B60/(B60+C60))*25,0)+IFERROR((D60/(D60+E60))*25,0)+IFERROR((F60/(F60+G60))*10,0)+H60+((J60-RMEAN)/RDEV)*5+((M60-PMEAN)/PDEV)*5+((DMEAN-R60)/DDEV)*7+((S60-TOMEAN)/TODEV)*3</f>
        <v>62.3962316009471</v>
      </c>
    </row>
    <row r="61" customFormat="false" ht="15" hidden="false" customHeight="false" outlineLevel="0" collapsed="false">
      <c r="A61" s="0" t="s">
        <v>65</v>
      </c>
      <c r="B61" s="0" t="n">
        <f aca="false">SUMIF(Games!$A$2:$A$186,$A61,Games!$K$2:$K$186)+SUMIF(Games!$B$2:$B$186,$A61,Games!$L$2:$L$186)</f>
        <v>2</v>
      </c>
      <c r="C61" s="0" t="n">
        <f aca="false">SUMIF(Games!$A$2:$A$186,$A61,Games!$L$2:$L$186)+SUMIF(Games!$B$2:$B$186,$A61,Games!$K$2:$K$186)</f>
        <v>1</v>
      </c>
      <c r="D61" s="0" t="n">
        <f aca="false">SUMIF(Games!$A$2:$A$186,$A61,Games!$O$2:$O$186)+SUMIF(Games!$B$2:$B$186,$A61,Games!$M$2:$M$186)</f>
        <v>3</v>
      </c>
      <c r="E61" s="0" t="n">
        <f aca="false">SUMIF(Games!$A$2:$A$186,$A61,Games!$P$2:$P$186)+SUMIF(Games!$B$2:$B$186,$A61,Games!$N$2:$N$186)</f>
        <v>4</v>
      </c>
      <c r="F61" s="0" t="n">
        <f aca="false">SUMIF(Games!$A$2:$A$186,$A61,Games!$S$2:$S$186)+SUMIF(Games!$B$2:$B$186,$A61,Games!$Q$2:$Q$186)</f>
        <v>14</v>
      </c>
      <c r="G61" s="0" t="n">
        <f aca="false">SUMIF(Games!$A$2:$A$186,$A61,Games!$T$2:$T$186)+SUMIF(Games!$B$2:$B$186,$A61,Games!$R$2:$R$186)</f>
        <v>87</v>
      </c>
      <c r="H61" s="0" t="n">
        <f aca="false">SUMIF(Games!$A$2:$A$186,$A61,Games!$U$2:$U$186)+SUMIF(Games!$B$2:$B$186,$A61,Games!$V$2:$V$186)</f>
        <v>-1.88409090909091</v>
      </c>
      <c r="I61" s="0" t="n">
        <f aca="false">SUMIF(Games!$A$2:$A$186,$A61,Games!$E$2:$E$186)+SUMIF(Games!$B$2:$B$186,$A61,Games!$F$2:$F$186)</f>
        <v>665</v>
      </c>
      <c r="J61" s="0" t="n">
        <f aca="false">IFERROR(I61/(B61+C61),0)</f>
        <v>221.666666666667</v>
      </c>
      <c r="K61" s="0" t="n">
        <f aca="false">SUMIF(Games!$A$2:$A$186,$A61,Games!$F$2:$F$186)+SUMIF(Games!$B$2:$B$186,$A61,Games!$E$2:$E$186)</f>
        <v>635</v>
      </c>
      <c r="L61" s="0" t="n">
        <f aca="false">SUMIF(Games!$A$2:$A$186,$A61,Games!$G$2:$G$186)+SUMIF(Games!$B$2:$B$186,$A61,Games!$H$2:$H$186)</f>
        <v>795</v>
      </c>
      <c r="M61" s="0" t="n">
        <f aca="false">IFERROR(L61/(B61+C61),0)</f>
        <v>265</v>
      </c>
      <c r="N61" s="0" t="n">
        <f aca="false">SUMIF(Games!$A$2:$A$186,$A61,Games!$H$2:$H$186)+SUMIF(Games!$B$2:$B$186,$A61,Games!$G$2:$G$186)</f>
        <v>837</v>
      </c>
      <c r="O61" s="0" t="n">
        <f aca="false">SUMIF(Games!$A$2:$A$186,$A61,Games!$I$2:$I$186)+SUMIF(Games!$B$2:$B$186,$A61,Games!$J$2:$J$186)</f>
        <v>4</v>
      </c>
      <c r="P61" s="0" t="n">
        <f aca="false">SUMIF(Games!$A$2:$A$186,$A61,Games!$J$2:$J$186)+SUMIF(Games!$B$2:$B$186,$A61,Games!$I$2:$I$186)</f>
        <v>4</v>
      </c>
      <c r="R61" s="0" t="n">
        <f aca="false">IFERROR((K61+N61)/(B61+C61),0)</f>
        <v>490.666666666667</v>
      </c>
      <c r="S61" s="0" t="n">
        <f aca="false">P61-O61</f>
        <v>0</v>
      </c>
      <c r="T61" s="0" t="n">
        <f aca="false">IFERROR((D61/(D61+E61))*(F61/(F61+G61)),0)</f>
        <v>0.0594059405940594</v>
      </c>
      <c r="U61" s="0" t="n">
        <f aca="false">RANK(T61,T$2:T$139)</f>
        <v>26</v>
      </c>
      <c r="V61" s="0" t="n">
        <f aca="false">IFERROR((B61/(B61+C61))*25,0)+IFERROR((D61/(D61+E61))*25,0)+IFERROR((F61/(F61+G61))*10,0)+H61+((J61-RMEAN)/RDEV)*5+((M61-PMEAN)/PDEV)*5+((DMEAN-R61)/DDEV)*7+((S61-TOMEAN)/TODEV)*3</f>
        <v>18.783512240413</v>
      </c>
    </row>
    <row r="62" customFormat="false" ht="15" hidden="false" customHeight="false" outlineLevel="0" collapsed="false">
      <c r="A62" s="0" t="s">
        <v>66</v>
      </c>
      <c r="B62" s="0" t="n">
        <f aca="false">SUMIF(Games!$A$2:$A$186,$A62,Games!$K$2:$K$186)+SUMIF(Games!$B$2:$B$186,$A62,Games!$L$2:$L$186)</f>
        <v>2</v>
      </c>
      <c r="C62" s="0" t="n">
        <f aca="false">SUMIF(Games!$A$2:$A$186,$A62,Games!$L$2:$L$186)+SUMIF(Games!$B$2:$B$186,$A62,Games!$K$2:$K$186)</f>
        <v>0</v>
      </c>
      <c r="D62" s="0" t="n">
        <f aca="false">SUMIF(Games!$A$2:$A$186,$A62,Games!$O$2:$O$186)+SUMIF(Games!$B$2:$B$186,$A62,Games!$M$2:$M$186)</f>
        <v>6</v>
      </c>
      <c r="E62" s="0" t="n">
        <f aca="false">SUMIF(Games!$A$2:$A$186,$A62,Games!$P$2:$P$186)+SUMIF(Games!$B$2:$B$186,$A62,Games!$N$2:$N$186)</f>
        <v>81</v>
      </c>
      <c r="F62" s="0" t="n">
        <f aca="false">SUMIF(Games!$A$2:$A$186,$A62,Games!$S$2:$S$186)+SUMIF(Games!$B$2:$B$186,$A62,Games!$Q$2:$Q$186)</f>
        <v>116</v>
      </c>
      <c r="G62" s="0" t="n">
        <f aca="false">SUMIF(Games!$A$2:$A$186,$A62,Games!$T$2:$T$186)+SUMIF(Games!$B$2:$B$186,$A62,Games!$R$2:$R$186)</f>
        <v>63</v>
      </c>
      <c r="H62" s="0" t="n">
        <f aca="false">SUMIF(Games!$A$2:$A$186,$A62,Games!$U$2:$U$186)+SUMIF(Games!$B$2:$B$186,$A62,Games!$V$2:$V$186)</f>
        <v>11.8370520622042</v>
      </c>
      <c r="I62" s="0" t="n">
        <f aca="false">SUMIF(Games!$A$2:$A$186,$A62,Games!$E$2:$E$186)+SUMIF(Games!$B$2:$B$186,$A62,Games!$F$2:$F$186)</f>
        <v>551</v>
      </c>
      <c r="J62" s="0" t="n">
        <f aca="false">IFERROR(I62/(B62+C62),0)</f>
        <v>275.5</v>
      </c>
      <c r="K62" s="0" t="n">
        <f aca="false">SUMIF(Games!$A$2:$A$186,$A62,Games!$F$2:$F$186)+SUMIF(Games!$B$2:$B$186,$A62,Games!$E$2:$E$186)</f>
        <v>115</v>
      </c>
      <c r="L62" s="0" t="n">
        <f aca="false">SUMIF(Games!$A$2:$A$186,$A62,Games!$G$2:$G$186)+SUMIF(Games!$B$2:$B$186,$A62,Games!$H$2:$H$186)</f>
        <v>854</v>
      </c>
      <c r="M62" s="0" t="n">
        <f aca="false">IFERROR(L62/(B62+C62),0)</f>
        <v>427</v>
      </c>
      <c r="N62" s="0" t="n">
        <f aca="false">SUMIF(Games!$A$2:$A$186,$A62,Games!$H$2:$H$186)+SUMIF(Games!$B$2:$B$186,$A62,Games!$G$2:$G$186)</f>
        <v>291</v>
      </c>
      <c r="O62" s="0" t="n">
        <f aca="false">SUMIF(Games!$A$2:$A$186,$A62,Games!$I$2:$I$186)+SUMIF(Games!$B$2:$B$186,$A62,Games!$J$2:$J$186)</f>
        <v>3</v>
      </c>
      <c r="P62" s="0" t="n">
        <f aca="false">SUMIF(Games!$A$2:$A$186,$A62,Games!$J$2:$J$186)+SUMIF(Games!$B$2:$B$186,$A62,Games!$I$2:$I$186)</f>
        <v>0</v>
      </c>
      <c r="R62" s="0" t="n">
        <f aca="false">IFERROR((K62+N62)/(B62+C62),0)</f>
        <v>203</v>
      </c>
      <c r="S62" s="0" t="n">
        <f aca="false">P62-O62</f>
        <v>-3</v>
      </c>
      <c r="T62" s="0" t="n">
        <f aca="false">IFERROR((D62/(D62+E62))*(F62/(F62+G62)),0)</f>
        <v>0.0446927374301676</v>
      </c>
      <c r="U62" s="0" t="n">
        <f aca="false">RANK(T62,T$2:T$139)</f>
        <v>80</v>
      </c>
      <c r="V62" s="0" t="n">
        <f aca="false">IFERROR((B62/(B62+C62))*25,0)+IFERROR((D62/(D62+E62))*25,0)+IFERROR((F62/(F62+G62))*10,0)+H62+((J62-RMEAN)/RDEV)*5+((M62-PMEAN)/PDEV)*5+((DMEAN-R62)/DDEV)*7+((S62-TOMEAN)/TODEV)*3</f>
        <v>71.4939189677522</v>
      </c>
    </row>
    <row r="63" customFormat="false" ht="15" hidden="false" customHeight="false" outlineLevel="0" collapsed="false">
      <c r="A63" s="0" t="s">
        <v>67</v>
      </c>
      <c r="B63" s="0" t="n">
        <f aca="false">SUMIF(Games!$A$2:$A$186,$A63,Games!$K$2:$K$186)+SUMIF(Games!$B$2:$B$186,$A63,Games!$L$2:$L$186)</f>
        <v>1</v>
      </c>
      <c r="C63" s="0" t="n">
        <f aca="false">SUMIF(Games!$A$2:$A$186,$A63,Games!$L$2:$L$186)+SUMIF(Games!$B$2:$B$186,$A63,Games!$K$2:$K$186)</f>
        <v>1</v>
      </c>
      <c r="D63" s="0" t="n">
        <f aca="false">SUMIF(Games!$A$2:$A$186,$A63,Games!$O$2:$O$186)+SUMIF(Games!$B$2:$B$186,$A63,Games!$M$2:$M$186)</f>
        <v>7</v>
      </c>
      <c r="E63" s="0" t="n">
        <f aca="false">SUMIF(Games!$A$2:$A$186,$A63,Games!$P$2:$P$186)+SUMIF(Games!$B$2:$B$186,$A63,Games!$N$2:$N$186)</f>
        <v>80</v>
      </c>
      <c r="F63" s="0" t="n">
        <f aca="false">SUMIF(Games!$A$2:$A$186,$A63,Games!$S$2:$S$186)+SUMIF(Games!$B$2:$B$186,$A63,Games!$Q$2:$Q$186)</f>
        <v>115</v>
      </c>
      <c r="G63" s="0" t="n">
        <f aca="false">SUMIF(Games!$A$2:$A$186,$A63,Games!$T$2:$T$186)+SUMIF(Games!$B$2:$B$186,$A63,Games!$R$2:$R$186)</f>
        <v>63</v>
      </c>
      <c r="H63" s="0" t="n">
        <f aca="false">SUMIF(Games!$A$2:$A$186,$A63,Games!$U$2:$U$186)+SUMIF(Games!$B$2:$B$186,$A63,Games!$V$2:$V$186)</f>
        <v>-0.412947937795808</v>
      </c>
      <c r="I63" s="0" t="n">
        <f aca="false">SUMIF(Games!$A$2:$A$186,$A63,Games!$E$2:$E$186)+SUMIF(Games!$B$2:$B$186,$A63,Games!$F$2:$F$186)</f>
        <v>229</v>
      </c>
      <c r="J63" s="0" t="n">
        <f aca="false">IFERROR(I63/(B63+C63),0)</f>
        <v>114.5</v>
      </c>
      <c r="K63" s="0" t="n">
        <f aca="false">SUMIF(Games!$A$2:$A$186,$A63,Games!$F$2:$F$186)+SUMIF(Games!$B$2:$B$186,$A63,Games!$E$2:$E$186)</f>
        <v>206</v>
      </c>
      <c r="L63" s="0" t="n">
        <f aca="false">SUMIF(Games!$A$2:$A$186,$A63,Games!$G$2:$G$186)+SUMIF(Games!$B$2:$B$186,$A63,Games!$H$2:$H$186)</f>
        <v>497</v>
      </c>
      <c r="M63" s="0" t="n">
        <f aca="false">IFERROR(L63/(B63+C63),0)</f>
        <v>248.5</v>
      </c>
      <c r="N63" s="0" t="n">
        <f aca="false">SUMIF(Games!$A$2:$A$186,$A63,Games!$H$2:$H$186)+SUMIF(Games!$B$2:$B$186,$A63,Games!$G$2:$G$186)</f>
        <v>621</v>
      </c>
      <c r="O63" s="0" t="n">
        <f aca="false">SUMIF(Games!$A$2:$A$186,$A63,Games!$I$2:$I$186)+SUMIF(Games!$B$2:$B$186,$A63,Games!$J$2:$J$186)</f>
        <v>1</v>
      </c>
      <c r="P63" s="0" t="n">
        <f aca="false">SUMIF(Games!$A$2:$A$186,$A63,Games!$J$2:$J$186)+SUMIF(Games!$B$2:$B$186,$A63,Games!$I$2:$I$186)</f>
        <v>0</v>
      </c>
      <c r="R63" s="0" t="n">
        <f aca="false">IFERROR((K63+N63)/(B63+C63),0)</f>
        <v>413.5</v>
      </c>
      <c r="S63" s="0" t="n">
        <f aca="false">P63-O63</f>
        <v>-1</v>
      </c>
      <c r="T63" s="0" t="n">
        <f aca="false">IFERROR((D63/(D63+E63))*(F63/(F63+G63)),0)</f>
        <v>0.0519824357484179</v>
      </c>
      <c r="U63" s="0" t="n">
        <f aca="false">RANK(T63,T$2:T$139)</f>
        <v>39</v>
      </c>
      <c r="V63" s="0" t="n">
        <f aca="false">IFERROR((B63/(B63+C63))*25,0)+IFERROR((D63/(D63+E63))*25,0)+IFERROR((F63/(F63+G63))*10,0)+H63+((J63-RMEAN)/RDEV)*5+((M63-PMEAN)/PDEV)*5+((DMEAN-R63)/DDEV)*7+((S63-TOMEAN)/TODEV)*3</f>
        <v>8.18435827821239</v>
      </c>
    </row>
    <row r="64" customFormat="false" ht="15" hidden="false" customHeight="false" outlineLevel="0" collapsed="false">
      <c r="A64" s="0" t="s">
        <v>68</v>
      </c>
      <c r="B64" s="0" t="n">
        <f aca="false">SUMIF(Games!$A$2:$A$186,$A64,Games!$K$2:$K$186)+SUMIF(Games!$B$2:$B$186,$A64,Games!$L$2:$L$186)</f>
        <v>2</v>
      </c>
      <c r="C64" s="0" t="n">
        <f aca="false">SUMIF(Games!$A$2:$A$186,$A64,Games!$L$2:$L$186)+SUMIF(Games!$B$2:$B$186,$A64,Games!$K$2:$K$186)</f>
        <v>0</v>
      </c>
      <c r="D64" s="0" t="n">
        <f aca="false">SUMIF(Games!$A$2:$A$186,$A64,Games!$O$2:$O$186)+SUMIF(Games!$B$2:$B$186,$A64,Games!$M$2:$M$186)</f>
        <v>2</v>
      </c>
      <c r="E64" s="0" t="n">
        <f aca="false">SUMIF(Games!$A$2:$A$186,$A64,Games!$P$2:$P$186)+SUMIF(Games!$B$2:$B$186,$A64,Games!$N$2:$N$186)</f>
        <v>2</v>
      </c>
      <c r="F64" s="0" t="n">
        <f aca="false">SUMIF(Games!$A$2:$A$186,$A64,Games!$S$2:$S$186)+SUMIF(Games!$B$2:$B$186,$A64,Games!$Q$2:$Q$186)</f>
        <v>10</v>
      </c>
      <c r="G64" s="0" t="n">
        <f aca="false">SUMIF(Games!$A$2:$A$186,$A64,Games!$T$2:$T$186)+SUMIF(Games!$B$2:$B$186,$A64,Games!$R$2:$R$186)</f>
        <v>81</v>
      </c>
      <c r="H64" s="0" t="n">
        <f aca="false">SUMIF(Games!$A$2:$A$186,$A64,Games!$U$2:$U$186)+SUMIF(Games!$B$2:$B$186,$A64,Games!$V$2:$V$186)</f>
        <v>2.66522988505747</v>
      </c>
      <c r="I64" s="0" t="n">
        <f aca="false">SUMIF(Games!$A$2:$A$186,$A64,Games!$E$2:$E$186)+SUMIF(Games!$B$2:$B$186,$A64,Games!$F$2:$F$186)</f>
        <v>258</v>
      </c>
      <c r="J64" s="0" t="n">
        <f aca="false">IFERROR(I64/(B64+C64),0)</f>
        <v>129</v>
      </c>
      <c r="K64" s="0" t="n">
        <f aca="false">SUMIF(Games!$A$2:$A$186,$A64,Games!$F$2:$F$186)+SUMIF(Games!$B$2:$B$186,$A64,Games!$E$2:$E$186)</f>
        <v>232</v>
      </c>
      <c r="L64" s="0" t="n">
        <f aca="false">SUMIF(Games!$A$2:$A$186,$A64,Games!$G$2:$G$186)+SUMIF(Games!$B$2:$B$186,$A64,Games!$H$2:$H$186)</f>
        <v>281</v>
      </c>
      <c r="M64" s="0" t="n">
        <f aca="false">IFERROR(L64/(B64+C64),0)</f>
        <v>140.5</v>
      </c>
      <c r="N64" s="0" t="n">
        <f aca="false">SUMIF(Games!$A$2:$A$186,$A64,Games!$H$2:$H$186)+SUMIF(Games!$B$2:$B$186,$A64,Games!$G$2:$G$186)</f>
        <v>278</v>
      </c>
      <c r="O64" s="0" t="n">
        <f aca="false">SUMIF(Games!$A$2:$A$186,$A64,Games!$I$2:$I$186)+SUMIF(Games!$B$2:$B$186,$A64,Games!$J$2:$J$186)</f>
        <v>3</v>
      </c>
      <c r="P64" s="0" t="n">
        <f aca="false">SUMIF(Games!$A$2:$A$186,$A64,Games!$J$2:$J$186)+SUMIF(Games!$B$2:$B$186,$A64,Games!$I$2:$I$186)</f>
        <v>2</v>
      </c>
      <c r="R64" s="0" t="n">
        <f aca="false">IFERROR((K64+N64)/(B64+C64),0)</f>
        <v>255</v>
      </c>
      <c r="S64" s="0" t="n">
        <f aca="false">P64-O64</f>
        <v>-1</v>
      </c>
      <c r="T64" s="0" t="n">
        <f aca="false">IFERROR((D64/(D64+E64))*(F64/(F64+G64)),0)</f>
        <v>0.0549450549450549</v>
      </c>
      <c r="U64" s="0" t="n">
        <f aca="false">RANK(T64,T$2:T$139)</f>
        <v>33</v>
      </c>
      <c r="V64" s="0" t="n">
        <f aca="false">IFERROR((B64/(B64+C64))*25,0)+IFERROR((D64/(D64+E64))*25,0)+IFERROR((F64/(F64+G64))*10,0)+H64+((J64-RMEAN)/RDEV)*5+((M64-PMEAN)/PDEV)*5+((DMEAN-R64)/DDEV)*7+((S64-TOMEAN)/TODEV)*3</f>
        <v>35.1814573835688</v>
      </c>
    </row>
    <row r="65" customFormat="false" ht="15" hidden="false" customHeight="false" outlineLevel="0" collapsed="false">
      <c r="A65" s="0" t="s">
        <v>69</v>
      </c>
      <c r="B65" s="0" t="n">
        <f aca="false">SUMIF(Games!$A$2:$A$186,$A65,Games!$K$2:$K$186)+SUMIF(Games!$B$2:$B$186,$A65,Games!$L$2:$L$186)</f>
        <v>2</v>
      </c>
      <c r="C65" s="0" t="n">
        <f aca="false">SUMIF(Games!$A$2:$A$186,$A65,Games!$L$2:$L$186)+SUMIF(Games!$B$2:$B$186,$A65,Games!$K$2:$K$186)</f>
        <v>0</v>
      </c>
      <c r="D65" s="0" t="n">
        <f aca="false">SUMIF(Games!$A$2:$A$186,$A65,Games!$O$2:$O$186)+SUMIF(Games!$B$2:$B$186,$A65,Games!$M$2:$M$186)</f>
        <v>2</v>
      </c>
      <c r="E65" s="0" t="n">
        <f aca="false">SUMIF(Games!$A$2:$A$186,$A65,Games!$P$2:$P$186)+SUMIF(Games!$B$2:$B$186,$A65,Games!$N$2:$N$186)</f>
        <v>3</v>
      </c>
      <c r="F65" s="0" t="n">
        <f aca="false">SUMIF(Games!$A$2:$A$186,$A65,Games!$S$2:$S$186)+SUMIF(Games!$B$2:$B$186,$A65,Games!$Q$2:$Q$186)</f>
        <v>12</v>
      </c>
      <c r="G65" s="0" t="n">
        <f aca="false">SUMIF(Games!$A$2:$A$186,$A65,Games!$T$2:$T$186)+SUMIF(Games!$B$2:$B$186,$A65,Games!$R$2:$R$186)</f>
        <v>83</v>
      </c>
      <c r="H65" s="0" t="n">
        <f aca="false">SUMIF(Games!$A$2:$A$186,$A65,Games!$U$2:$U$186)+SUMIF(Games!$B$2:$B$186,$A65,Games!$V$2:$V$186)</f>
        <v>6.23563218390805</v>
      </c>
      <c r="I65" s="0" t="n">
        <f aca="false">SUMIF(Games!$A$2:$A$186,$A65,Games!$E$2:$E$186)+SUMIF(Games!$B$2:$B$186,$A65,Games!$F$2:$F$186)</f>
        <v>408</v>
      </c>
      <c r="J65" s="0" t="n">
        <f aca="false">IFERROR(I65/(B65+C65),0)</f>
        <v>204</v>
      </c>
      <c r="K65" s="0" t="n">
        <f aca="false">SUMIF(Games!$A$2:$A$186,$A65,Games!$F$2:$F$186)+SUMIF(Games!$B$2:$B$186,$A65,Games!$E$2:$E$186)</f>
        <v>178</v>
      </c>
      <c r="L65" s="0" t="n">
        <f aca="false">SUMIF(Games!$A$2:$A$186,$A65,Games!$G$2:$G$186)+SUMIF(Games!$B$2:$B$186,$A65,Games!$H$2:$H$186)</f>
        <v>461</v>
      </c>
      <c r="M65" s="0" t="n">
        <f aca="false">IFERROR(L65/(B65+C65),0)</f>
        <v>230.5</v>
      </c>
      <c r="N65" s="0" t="n">
        <f aca="false">SUMIF(Games!$A$2:$A$186,$A65,Games!$H$2:$H$186)+SUMIF(Games!$B$2:$B$186,$A65,Games!$G$2:$G$186)</f>
        <v>314</v>
      </c>
      <c r="O65" s="0" t="n">
        <f aca="false">SUMIF(Games!$A$2:$A$186,$A65,Games!$I$2:$I$186)+SUMIF(Games!$B$2:$B$186,$A65,Games!$J$2:$J$186)</f>
        <v>1</v>
      </c>
      <c r="P65" s="0" t="n">
        <f aca="false">SUMIF(Games!$A$2:$A$186,$A65,Games!$J$2:$J$186)+SUMIF(Games!$B$2:$B$186,$A65,Games!$I$2:$I$186)</f>
        <v>2</v>
      </c>
      <c r="R65" s="0" t="n">
        <f aca="false">IFERROR((K65+N65)/(B65+C65),0)</f>
        <v>246</v>
      </c>
      <c r="S65" s="0" t="n">
        <f aca="false">P65-O65</f>
        <v>1</v>
      </c>
      <c r="T65" s="0" t="n">
        <f aca="false">IFERROR((D65/(D65+E65))*(F65/(F65+G65)),0)</f>
        <v>0.0505263157894737</v>
      </c>
      <c r="U65" s="0" t="n">
        <f aca="false">RANK(T65,T$2:T$139)</f>
        <v>66</v>
      </c>
      <c r="V65" s="0" t="n">
        <f aca="false">IFERROR((B65/(B65+C65))*25,0)+IFERROR((D65/(D65+E65))*25,0)+IFERROR((F65/(F65+G65))*10,0)+H65+((J65-RMEAN)/RDEV)*5+((M65-PMEAN)/PDEV)*5+((DMEAN-R65)/DDEV)*7+((S65-TOMEAN)/TODEV)*3</f>
        <v>51.3914538929905</v>
      </c>
    </row>
    <row r="66" customFormat="false" ht="15" hidden="false" customHeight="false" outlineLevel="0" collapsed="false">
      <c r="A66" s="0" t="s">
        <v>70</v>
      </c>
      <c r="B66" s="0" t="n">
        <f aca="false">SUMIF(Games!$A$2:$A$186,$A66,Games!$K$2:$K$186)+SUMIF(Games!$B$2:$B$186,$A66,Games!$L$2:$L$186)</f>
        <v>1</v>
      </c>
      <c r="C66" s="0" t="n">
        <f aca="false">SUMIF(Games!$A$2:$A$186,$A66,Games!$L$2:$L$186)+SUMIF(Games!$B$2:$B$186,$A66,Games!$K$2:$K$186)</f>
        <v>1</v>
      </c>
      <c r="D66" s="0" t="n">
        <f aca="false">SUMIF(Games!$A$2:$A$186,$A66,Games!$O$2:$O$186)+SUMIF(Games!$B$2:$B$186,$A66,Games!$M$2:$M$186)</f>
        <v>6</v>
      </c>
      <c r="E66" s="0" t="n">
        <f aca="false">SUMIF(Games!$A$2:$A$186,$A66,Games!$P$2:$P$186)+SUMIF(Games!$B$2:$B$186,$A66,Games!$N$2:$N$186)</f>
        <v>81</v>
      </c>
      <c r="F66" s="0" t="n">
        <f aca="false">SUMIF(Games!$A$2:$A$186,$A66,Games!$S$2:$S$186)+SUMIF(Games!$B$2:$B$186,$A66,Games!$Q$2:$Q$186)</f>
        <v>116</v>
      </c>
      <c r="G66" s="0" t="n">
        <f aca="false">SUMIF(Games!$A$2:$A$186,$A66,Games!$T$2:$T$186)+SUMIF(Games!$B$2:$B$186,$A66,Games!$R$2:$R$186)</f>
        <v>62</v>
      </c>
      <c r="H66" s="0" t="n">
        <f aca="false">SUMIF(Games!$A$2:$A$186,$A66,Games!$U$2:$U$186)+SUMIF(Games!$B$2:$B$186,$A66,Games!$V$2:$V$186)</f>
        <v>0.66683569979716</v>
      </c>
      <c r="I66" s="0" t="n">
        <f aca="false">SUMIF(Games!$A$2:$A$186,$A66,Games!$E$2:$E$186)+SUMIF(Games!$B$2:$B$186,$A66,Games!$F$2:$F$186)</f>
        <v>305</v>
      </c>
      <c r="J66" s="0" t="n">
        <f aca="false">IFERROR(I66/(B66+C66),0)</f>
        <v>152.5</v>
      </c>
      <c r="K66" s="0" t="n">
        <f aca="false">SUMIF(Games!$A$2:$A$186,$A66,Games!$F$2:$F$186)+SUMIF(Games!$B$2:$B$186,$A66,Games!$E$2:$E$186)</f>
        <v>274</v>
      </c>
      <c r="L66" s="0" t="n">
        <f aca="false">SUMIF(Games!$A$2:$A$186,$A66,Games!$G$2:$G$186)+SUMIF(Games!$B$2:$B$186,$A66,Games!$H$2:$H$186)</f>
        <v>443</v>
      </c>
      <c r="M66" s="0" t="n">
        <f aca="false">IFERROR(L66/(B66+C66),0)</f>
        <v>221.5</v>
      </c>
      <c r="N66" s="0" t="n">
        <f aca="false">SUMIF(Games!$A$2:$A$186,$A66,Games!$H$2:$H$186)+SUMIF(Games!$B$2:$B$186,$A66,Games!$G$2:$G$186)</f>
        <v>326</v>
      </c>
      <c r="O66" s="0" t="n">
        <f aca="false">SUMIF(Games!$A$2:$A$186,$A66,Games!$I$2:$I$186)+SUMIF(Games!$B$2:$B$186,$A66,Games!$J$2:$J$186)</f>
        <v>1</v>
      </c>
      <c r="P66" s="0" t="n">
        <f aca="false">SUMIF(Games!$A$2:$A$186,$A66,Games!$J$2:$J$186)+SUMIF(Games!$B$2:$B$186,$A66,Games!$I$2:$I$186)</f>
        <v>2</v>
      </c>
      <c r="R66" s="0" t="n">
        <f aca="false">IFERROR((K66+N66)/(B66+C66),0)</f>
        <v>300</v>
      </c>
      <c r="S66" s="0" t="n">
        <f aca="false">P66-O66</f>
        <v>1</v>
      </c>
      <c r="T66" s="0" t="n">
        <f aca="false">IFERROR((D66/(D66+E66))*(F66/(F66+G66)),0)</f>
        <v>0.0449438202247191</v>
      </c>
      <c r="U66" s="0" t="n">
        <f aca="false">RANK(T66,T$2:T$139)</f>
        <v>71</v>
      </c>
      <c r="V66" s="0" t="n">
        <f aca="false">IFERROR((B66/(B66+C66))*25,0)+IFERROR((D66/(D66+E66))*25,0)+IFERROR((F66/(F66+G66))*10,0)+H66+((J66-RMEAN)/RDEV)*5+((M66-PMEAN)/PDEV)*5+((DMEAN-R66)/DDEV)*7+((S66-TOMEAN)/TODEV)*3</f>
        <v>21.4882031818798</v>
      </c>
    </row>
    <row r="67" customFormat="false" ht="15" hidden="false" customHeight="false" outlineLevel="0" collapsed="false">
      <c r="A67" s="0" t="s">
        <v>71</v>
      </c>
      <c r="B67" s="0" t="n">
        <f aca="false">SUMIF(Games!$A$2:$A$186,$A67,Games!$K$2:$K$186)+SUMIF(Games!$B$2:$B$186,$A67,Games!$L$2:$L$186)</f>
        <v>1</v>
      </c>
      <c r="C67" s="0" t="n">
        <f aca="false">SUMIF(Games!$A$2:$A$186,$A67,Games!$L$2:$L$186)+SUMIF(Games!$B$2:$B$186,$A67,Games!$K$2:$K$186)</f>
        <v>1</v>
      </c>
      <c r="D67" s="0" t="n">
        <f aca="false">SUMIF(Games!$A$2:$A$186,$A67,Games!$O$2:$O$186)+SUMIF(Games!$B$2:$B$186,$A67,Games!$M$2:$M$186)</f>
        <v>7</v>
      </c>
      <c r="E67" s="0" t="n">
        <f aca="false">SUMIF(Games!$A$2:$A$186,$A67,Games!$P$2:$P$186)+SUMIF(Games!$B$2:$B$186,$A67,Games!$N$2:$N$186)</f>
        <v>80</v>
      </c>
      <c r="F67" s="0" t="n">
        <f aca="false">SUMIF(Games!$A$2:$A$186,$A67,Games!$S$2:$S$186)+SUMIF(Games!$B$2:$B$186,$A67,Games!$Q$2:$Q$186)</f>
        <v>114</v>
      </c>
      <c r="G67" s="0" t="n">
        <f aca="false">SUMIF(Games!$A$2:$A$186,$A67,Games!$T$2:$T$186)+SUMIF(Games!$B$2:$B$186,$A67,Games!$R$2:$R$186)</f>
        <v>64</v>
      </c>
      <c r="H67" s="0" t="n">
        <f aca="false">SUMIF(Games!$A$2:$A$186,$A67,Games!$U$2:$U$186)+SUMIF(Games!$B$2:$B$186,$A67,Games!$V$2:$V$186)</f>
        <v>-0.537947937795808</v>
      </c>
      <c r="I67" s="0" t="n">
        <f aca="false">SUMIF(Games!$A$2:$A$186,$A67,Games!$E$2:$E$186)+SUMIF(Games!$B$2:$B$186,$A67,Games!$F$2:$F$186)</f>
        <v>160</v>
      </c>
      <c r="J67" s="0" t="n">
        <f aca="false">IFERROR(I67/(B67+C67),0)</f>
        <v>80</v>
      </c>
      <c r="K67" s="0" t="n">
        <f aca="false">SUMIF(Games!$A$2:$A$186,$A67,Games!$F$2:$F$186)+SUMIF(Games!$B$2:$B$186,$A67,Games!$E$2:$E$186)</f>
        <v>303</v>
      </c>
      <c r="L67" s="0" t="n">
        <f aca="false">SUMIF(Games!$A$2:$A$186,$A67,Games!$G$2:$G$186)+SUMIF(Games!$B$2:$B$186,$A67,Games!$H$2:$H$186)</f>
        <v>627</v>
      </c>
      <c r="M67" s="0" t="n">
        <f aca="false">IFERROR(L67/(B67+C67),0)</f>
        <v>313.5</v>
      </c>
      <c r="N67" s="0" t="n">
        <f aca="false">SUMIF(Games!$A$2:$A$186,$A67,Games!$H$2:$H$186)+SUMIF(Games!$B$2:$B$186,$A67,Games!$G$2:$G$186)</f>
        <v>286</v>
      </c>
      <c r="O67" s="0" t="n">
        <f aca="false">SUMIF(Games!$A$2:$A$186,$A67,Games!$I$2:$I$186)+SUMIF(Games!$B$2:$B$186,$A67,Games!$J$2:$J$186)</f>
        <v>1</v>
      </c>
      <c r="P67" s="0" t="n">
        <f aca="false">SUMIF(Games!$A$2:$A$186,$A67,Games!$J$2:$J$186)+SUMIF(Games!$B$2:$B$186,$A67,Games!$I$2:$I$186)</f>
        <v>1</v>
      </c>
      <c r="R67" s="0" t="n">
        <f aca="false">IFERROR((K67+N67)/(B67+C67),0)</f>
        <v>294.5</v>
      </c>
      <c r="S67" s="0" t="n">
        <f aca="false">P67-O67</f>
        <v>0</v>
      </c>
      <c r="T67" s="0" t="n">
        <f aca="false">IFERROR((D67/(D67+E67))*(F67/(F67+G67)),0)</f>
        <v>0.0515304145679969</v>
      </c>
      <c r="U67" s="0" t="n">
        <f aca="false">RANK(T67,T$2:T$139)</f>
        <v>56</v>
      </c>
      <c r="V67" s="0" t="n">
        <f aca="false">IFERROR((B67/(B67+C67))*25,0)+IFERROR((D67/(D67+E67))*25,0)+IFERROR((F67/(F67+G67))*10,0)+H67+((J67-RMEAN)/RDEV)*5+((M67-PMEAN)/PDEV)*5+((DMEAN-R67)/DDEV)*7+((S67-TOMEAN)/TODEV)*3</f>
        <v>20.5588357895646</v>
      </c>
    </row>
    <row r="68" customFormat="false" ht="15" hidden="false" customHeight="false" outlineLevel="0" collapsed="false">
      <c r="A68" s="0" t="s">
        <v>72</v>
      </c>
      <c r="B68" s="0" t="n">
        <f aca="false">SUMIF(Games!$A$2:$A$186,$A68,Games!$K$2:$K$186)+SUMIF(Games!$B$2:$B$186,$A68,Games!$L$2:$L$186)</f>
        <v>2</v>
      </c>
      <c r="C68" s="0" t="n">
        <f aca="false">SUMIF(Games!$A$2:$A$186,$A68,Games!$L$2:$L$186)+SUMIF(Games!$B$2:$B$186,$A68,Games!$K$2:$K$186)</f>
        <v>0</v>
      </c>
      <c r="D68" s="0" t="n">
        <f aca="false">SUMIF(Games!$A$2:$A$186,$A68,Games!$O$2:$O$186)+SUMIF(Games!$B$2:$B$186,$A68,Games!$M$2:$M$186)</f>
        <v>1</v>
      </c>
      <c r="E68" s="0" t="n">
        <f aca="false">SUMIF(Games!$A$2:$A$186,$A68,Games!$P$2:$P$186)+SUMIF(Games!$B$2:$B$186,$A68,Games!$N$2:$N$186)</f>
        <v>3</v>
      </c>
      <c r="F68" s="0" t="n">
        <f aca="false">SUMIF(Games!$A$2:$A$186,$A68,Games!$S$2:$S$186)+SUMIF(Games!$B$2:$B$186,$A68,Games!$Q$2:$Q$186)</f>
        <v>10</v>
      </c>
      <c r="G68" s="0" t="n">
        <f aca="false">SUMIF(Games!$A$2:$A$186,$A68,Games!$T$2:$T$186)+SUMIF(Games!$B$2:$B$186,$A68,Games!$R$2:$R$186)</f>
        <v>81</v>
      </c>
      <c r="H68" s="0" t="n">
        <f aca="false">SUMIF(Games!$A$2:$A$186,$A68,Games!$U$2:$U$186)+SUMIF(Games!$B$2:$B$186,$A68,Games!$V$2:$V$186)</f>
        <v>1.00574712643678</v>
      </c>
      <c r="I68" s="0" t="n">
        <f aca="false">SUMIF(Games!$A$2:$A$186,$A68,Games!$E$2:$E$186)+SUMIF(Games!$B$2:$B$186,$A68,Games!$F$2:$F$186)</f>
        <v>597</v>
      </c>
      <c r="J68" s="0" t="n">
        <f aca="false">IFERROR(I68/(B68+C68),0)</f>
        <v>298.5</v>
      </c>
      <c r="K68" s="0" t="n">
        <f aca="false">SUMIF(Games!$A$2:$A$186,$A68,Games!$F$2:$F$186)+SUMIF(Games!$B$2:$B$186,$A68,Games!$E$2:$E$186)</f>
        <v>151</v>
      </c>
      <c r="L68" s="0" t="n">
        <f aca="false">SUMIF(Games!$A$2:$A$186,$A68,Games!$G$2:$G$186)+SUMIF(Games!$B$2:$B$186,$A68,Games!$H$2:$H$186)</f>
        <v>644</v>
      </c>
      <c r="M68" s="0" t="n">
        <f aca="false">IFERROR(L68/(B68+C68),0)</f>
        <v>322</v>
      </c>
      <c r="N68" s="0" t="n">
        <f aca="false">SUMIF(Games!$A$2:$A$186,$A68,Games!$H$2:$H$186)+SUMIF(Games!$B$2:$B$186,$A68,Games!$G$2:$G$186)</f>
        <v>419</v>
      </c>
      <c r="O68" s="0" t="n">
        <f aca="false">SUMIF(Games!$A$2:$A$186,$A68,Games!$I$2:$I$186)+SUMIF(Games!$B$2:$B$186,$A68,Games!$J$2:$J$186)</f>
        <v>1</v>
      </c>
      <c r="P68" s="0" t="n">
        <f aca="false">SUMIF(Games!$A$2:$A$186,$A68,Games!$J$2:$J$186)+SUMIF(Games!$B$2:$B$186,$A68,Games!$I$2:$I$186)</f>
        <v>0</v>
      </c>
      <c r="R68" s="0" t="n">
        <f aca="false">IFERROR((K68+N68)/(B68+C68),0)</f>
        <v>285</v>
      </c>
      <c r="S68" s="0" t="n">
        <f aca="false">P68-O68</f>
        <v>-1</v>
      </c>
      <c r="T68" s="0" t="n">
        <f aca="false">IFERROR((D68/(D68+E68))*(F68/(F68+G68)),0)</f>
        <v>0.0274725274725275</v>
      </c>
      <c r="U68" s="0" t="n">
        <f aca="false">RANK(T68,T$2:T$139)</f>
        <v>134</v>
      </c>
      <c r="V68" s="0" t="n">
        <f aca="false">IFERROR((B68/(B68+C68))*25,0)+IFERROR((D68/(D68+E68))*25,0)+IFERROR((F68/(F68+G68))*10,0)+H68+((J68-RMEAN)/RDEV)*5+((M68-PMEAN)/PDEV)*5+((DMEAN-R68)/DDEV)*7+((S68-TOMEAN)/TODEV)*3</f>
        <v>50.1754701578931</v>
      </c>
    </row>
    <row r="69" customFormat="false" ht="15" hidden="false" customHeight="false" outlineLevel="0" collapsed="false">
      <c r="A69" s="0" t="s">
        <v>73</v>
      </c>
      <c r="B69" s="0" t="n">
        <f aca="false">SUMIF(Games!$A$2:$A$186,$A69,Games!$K$2:$K$186)+SUMIF(Games!$B$2:$B$186,$A69,Games!$L$2:$L$186)</f>
        <v>2</v>
      </c>
      <c r="C69" s="0" t="n">
        <f aca="false">SUMIF(Games!$A$2:$A$186,$A69,Games!$L$2:$L$186)+SUMIF(Games!$B$2:$B$186,$A69,Games!$K$2:$K$186)</f>
        <v>0</v>
      </c>
      <c r="D69" s="0" t="n">
        <f aca="false">SUMIF(Games!$A$2:$A$186,$A69,Games!$O$2:$O$186)+SUMIF(Games!$B$2:$B$186,$A69,Games!$M$2:$M$186)</f>
        <v>6</v>
      </c>
      <c r="E69" s="0" t="n">
        <f aca="false">SUMIF(Games!$A$2:$A$186,$A69,Games!$P$2:$P$186)+SUMIF(Games!$B$2:$B$186,$A69,Games!$N$2:$N$186)</f>
        <v>81</v>
      </c>
      <c r="F69" s="0" t="n">
        <f aca="false">SUMIF(Games!$A$2:$A$186,$A69,Games!$S$2:$S$186)+SUMIF(Games!$B$2:$B$186,$A69,Games!$Q$2:$Q$186)</f>
        <v>120</v>
      </c>
      <c r="G69" s="0" t="n">
        <f aca="false">SUMIF(Games!$A$2:$A$186,$A69,Games!$T$2:$T$186)+SUMIF(Games!$B$2:$B$186,$A69,Games!$R$2:$R$186)</f>
        <v>141</v>
      </c>
      <c r="H69" s="0" t="n">
        <f aca="false">SUMIF(Games!$A$2:$A$186,$A69,Games!$U$2:$U$186)+SUMIF(Games!$B$2:$B$186,$A69,Games!$V$2:$V$186)</f>
        <v>2.0209601081812</v>
      </c>
      <c r="I69" s="0" t="n">
        <f aca="false">SUMIF(Games!$A$2:$A$186,$A69,Games!$E$2:$E$186)+SUMIF(Games!$B$2:$B$186,$A69,Games!$F$2:$F$186)</f>
        <v>382</v>
      </c>
      <c r="J69" s="0" t="n">
        <f aca="false">IFERROR(I69/(B69+C69),0)</f>
        <v>191</v>
      </c>
      <c r="K69" s="0" t="n">
        <f aca="false">SUMIF(Games!$A$2:$A$186,$A69,Games!$F$2:$F$186)+SUMIF(Games!$B$2:$B$186,$A69,Games!$E$2:$E$186)</f>
        <v>170</v>
      </c>
      <c r="L69" s="0" t="n">
        <f aca="false">SUMIF(Games!$A$2:$A$186,$A69,Games!$G$2:$G$186)+SUMIF(Games!$B$2:$B$186,$A69,Games!$H$2:$H$186)</f>
        <v>649</v>
      </c>
      <c r="M69" s="0" t="n">
        <f aca="false">IFERROR(L69/(B69+C69),0)</f>
        <v>324.5</v>
      </c>
      <c r="N69" s="0" t="n">
        <f aca="false">SUMIF(Games!$A$2:$A$186,$A69,Games!$H$2:$H$186)+SUMIF(Games!$B$2:$B$186,$A69,Games!$G$2:$G$186)</f>
        <v>283</v>
      </c>
      <c r="O69" s="0" t="n">
        <f aca="false">SUMIF(Games!$A$2:$A$186,$A69,Games!$I$2:$I$186)+SUMIF(Games!$B$2:$B$186,$A69,Games!$J$2:$J$186)</f>
        <v>2</v>
      </c>
      <c r="P69" s="0" t="n">
        <f aca="false">SUMIF(Games!$A$2:$A$186,$A69,Games!$J$2:$J$186)+SUMIF(Games!$B$2:$B$186,$A69,Games!$I$2:$I$186)</f>
        <v>3</v>
      </c>
      <c r="R69" s="0" t="n">
        <f aca="false">IFERROR((K69+N69)/(B69+C69),0)</f>
        <v>226.5</v>
      </c>
      <c r="S69" s="0" t="n">
        <f aca="false">P69-O69</f>
        <v>1</v>
      </c>
      <c r="T69" s="0" t="n">
        <f aca="false">IFERROR((D69/(D69+E69))*(F69/(F69+G69)),0)</f>
        <v>0.0317082837891399</v>
      </c>
      <c r="U69" s="0" t="n">
        <f aca="false">RANK(T69,T$2:T$139)</f>
        <v>118</v>
      </c>
      <c r="V69" s="0" t="n">
        <f aca="false">IFERROR((B69/(B69+C69))*25,0)+IFERROR((D69/(D69+E69))*25,0)+IFERROR((F69/(F69+G69))*10,0)+H69+((J69-RMEAN)/RDEV)*5+((M69-PMEAN)/PDEV)*5+((DMEAN-R69)/DDEV)*7+((S69-TOMEAN)/TODEV)*3</f>
        <v>49.2809164000975</v>
      </c>
    </row>
    <row r="70" customFormat="false" ht="15" hidden="false" customHeight="false" outlineLevel="0" collapsed="false">
      <c r="A70" s="0" t="s">
        <v>74</v>
      </c>
      <c r="B70" s="0" t="n">
        <f aca="false">SUMIF(Games!$A$2:$A$186,$A70,Games!$K$2:$K$186)+SUMIF(Games!$B$2:$B$186,$A70,Games!$L$2:$L$186)</f>
        <v>1</v>
      </c>
      <c r="C70" s="0" t="n">
        <f aca="false">SUMIF(Games!$A$2:$A$186,$A70,Games!$L$2:$L$186)+SUMIF(Games!$B$2:$B$186,$A70,Games!$K$2:$K$186)</f>
        <v>1</v>
      </c>
      <c r="D70" s="0" t="n">
        <f aca="false">SUMIF(Games!$A$2:$A$186,$A70,Games!$O$2:$O$186)+SUMIF(Games!$B$2:$B$186,$A70,Games!$M$2:$M$186)</f>
        <v>7</v>
      </c>
      <c r="E70" s="0" t="n">
        <f aca="false">SUMIF(Games!$A$2:$A$186,$A70,Games!$P$2:$P$186)+SUMIF(Games!$B$2:$B$186,$A70,Games!$N$2:$N$186)</f>
        <v>80</v>
      </c>
      <c r="F70" s="0" t="n">
        <f aca="false">SUMIF(Games!$A$2:$A$186,$A70,Games!$S$2:$S$186)+SUMIF(Games!$B$2:$B$186,$A70,Games!$Q$2:$Q$186)</f>
        <v>115</v>
      </c>
      <c r="G70" s="0" t="n">
        <f aca="false">SUMIF(Games!$A$2:$A$186,$A70,Games!$T$2:$T$186)+SUMIF(Games!$B$2:$B$186,$A70,Games!$R$2:$R$186)</f>
        <v>63</v>
      </c>
      <c r="H70" s="0" t="n">
        <f aca="false">SUMIF(Games!$A$2:$A$186,$A70,Games!$U$2:$U$186)+SUMIF(Games!$B$2:$B$186,$A70,Games!$V$2:$V$186)</f>
        <v>-0.451149425287356</v>
      </c>
      <c r="I70" s="0" t="n">
        <f aca="false">SUMIF(Games!$A$2:$A$186,$A70,Games!$E$2:$E$186)+SUMIF(Games!$B$2:$B$186,$A70,Games!$F$2:$F$186)</f>
        <v>301</v>
      </c>
      <c r="J70" s="0" t="n">
        <f aca="false">IFERROR(I70/(B70+C70),0)</f>
        <v>150.5</v>
      </c>
      <c r="K70" s="0" t="n">
        <f aca="false">SUMIF(Games!$A$2:$A$186,$A70,Games!$F$2:$F$186)+SUMIF(Games!$B$2:$B$186,$A70,Games!$E$2:$E$186)</f>
        <v>354</v>
      </c>
      <c r="L70" s="0" t="n">
        <f aca="false">SUMIF(Games!$A$2:$A$186,$A70,Games!$G$2:$G$186)+SUMIF(Games!$B$2:$B$186,$A70,Games!$H$2:$H$186)</f>
        <v>350</v>
      </c>
      <c r="M70" s="0" t="n">
        <f aca="false">IFERROR(L70/(B70+C70),0)</f>
        <v>175</v>
      </c>
      <c r="N70" s="0" t="n">
        <f aca="false">SUMIF(Games!$A$2:$A$186,$A70,Games!$H$2:$H$186)+SUMIF(Games!$B$2:$B$186,$A70,Games!$G$2:$G$186)</f>
        <v>374</v>
      </c>
      <c r="O70" s="0" t="n">
        <f aca="false">SUMIF(Games!$A$2:$A$186,$A70,Games!$I$2:$I$186)+SUMIF(Games!$B$2:$B$186,$A70,Games!$J$2:$J$186)</f>
        <v>3</v>
      </c>
      <c r="P70" s="0" t="n">
        <f aca="false">SUMIF(Games!$A$2:$A$186,$A70,Games!$J$2:$J$186)+SUMIF(Games!$B$2:$B$186,$A70,Games!$I$2:$I$186)</f>
        <v>3</v>
      </c>
      <c r="R70" s="0" t="n">
        <f aca="false">IFERROR((K70+N70)/(B70+C70),0)</f>
        <v>364</v>
      </c>
      <c r="S70" s="0" t="n">
        <f aca="false">P70-O70</f>
        <v>0</v>
      </c>
      <c r="T70" s="0" t="n">
        <f aca="false">IFERROR((D70/(D70+E70))*(F70/(F70+G70)),0)</f>
        <v>0.0519824357484179</v>
      </c>
      <c r="U70" s="0" t="n">
        <f aca="false">RANK(T70,T$2:T$139)</f>
        <v>39</v>
      </c>
      <c r="V70" s="0" t="n">
        <f aca="false">IFERROR((B70/(B70+C70))*25,0)+IFERROR((D70/(D70+E70))*25,0)+IFERROR((F70/(F70+G70))*10,0)+H70+((J70-RMEAN)/RDEV)*5+((M70-PMEAN)/PDEV)*5+((DMEAN-R70)/DDEV)*7+((S70-TOMEAN)/TODEV)*3</f>
        <v>10.9479224646601</v>
      </c>
    </row>
    <row r="71" customFormat="false" ht="15" hidden="false" customHeight="false" outlineLevel="0" collapsed="false">
      <c r="A71" s="0" t="s">
        <v>75</v>
      </c>
      <c r="B71" s="0" t="n">
        <f aca="false">SUMIF(Games!$A$2:$A$186,$A71,Games!$K$2:$K$186)+SUMIF(Games!$B$2:$B$186,$A71,Games!$L$2:$L$186)</f>
        <v>1</v>
      </c>
      <c r="C71" s="0" t="n">
        <f aca="false">SUMIF(Games!$A$2:$A$186,$A71,Games!$L$2:$L$186)+SUMIF(Games!$B$2:$B$186,$A71,Games!$K$2:$K$186)</f>
        <v>1</v>
      </c>
      <c r="D71" s="0" t="n">
        <f aca="false">SUMIF(Games!$A$2:$A$186,$A71,Games!$O$2:$O$186)+SUMIF(Games!$B$2:$B$186,$A71,Games!$M$2:$M$186)</f>
        <v>7</v>
      </c>
      <c r="E71" s="0" t="n">
        <f aca="false">SUMIF(Games!$A$2:$A$186,$A71,Games!$P$2:$P$186)+SUMIF(Games!$B$2:$B$186,$A71,Games!$N$2:$N$186)</f>
        <v>80</v>
      </c>
      <c r="F71" s="0" t="n">
        <f aca="false">SUMIF(Games!$A$2:$A$186,$A71,Games!$S$2:$S$186)+SUMIF(Games!$B$2:$B$186,$A71,Games!$Q$2:$Q$186)</f>
        <v>119</v>
      </c>
      <c r="G71" s="0" t="n">
        <f aca="false">SUMIF(Games!$A$2:$A$186,$A71,Games!$T$2:$T$186)+SUMIF(Games!$B$2:$B$186,$A71,Games!$R$2:$R$186)</f>
        <v>142</v>
      </c>
      <c r="H71" s="0" t="n">
        <f aca="false">SUMIF(Games!$A$2:$A$186,$A71,Games!$U$2:$U$186)+SUMIF(Games!$B$2:$B$186,$A71,Games!$V$2:$V$186)</f>
        <v>-1.08363759296822</v>
      </c>
      <c r="I71" s="0" t="n">
        <f aca="false">SUMIF(Games!$A$2:$A$186,$A71,Games!$E$2:$E$186)+SUMIF(Games!$B$2:$B$186,$A71,Games!$F$2:$F$186)</f>
        <v>504</v>
      </c>
      <c r="J71" s="0" t="n">
        <f aca="false">IFERROR(I71/(B71+C71),0)</f>
        <v>252</v>
      </c>
      <c r="K71" s="0" t="n">
        <f aca="false">SUMIF(Games!$A$2:$A$186,$A71,Games!$F$2:$F$186)+SUMIF(Games!$B$2:$B$186,$A71,Games!$E$2:$E$186)</f>
        <v>292</v>
      </c>
      <c r="L71" s="0" t="n">
        <f aca="false">SUMIF(Games!$A$2:$A$186,$A71,Games!$G$2:$G$186)+SUMIF(Games!$B$2:$B$186,$A71,Games!$H$2:$H$186)</f>
        <v>398</v>
      </c>
      <c r="M71" s="0" t="n">
        <f aca="false">IFERROR(L71/(B71+C71),0)</f>
        <v>199</v>
      </c>
      <c r="N71" s="0" t="n">
        <f aca="false">SUMIF(Games!$A$2:$A$186,$A71,Games!$H$2:$H$186)+SUMIF(Games!$B$2:$B$186,$A71,Games!$G$2:$G$186)</f>
        <v>231</v>
      </c>
      <c r="O71" s="0" t="n">
        <f aca="false">SUMIF(Games!$A$2:$A$186,$A71,Games!$I$2:$I$186)+SUMIF(Games!$B$2:$B$186,$A71,Games!$J$2:$J$186)</f>
        <v>3</v>
      </c>
      <c r="P71" s="0" t="n">
        <f aca="false">SUMIF(Games!$A$2:$A$186,$A71,Games!$J$2:$J$186)+SUMIF(Games!$B$2:$B$186,$A71,Games!$I$2:$I$186)</f>
        <v>2</v>
      </c>
      <c r="R71" s="0" t="n">
        <f aca="false">IFERROR((K71+N71)/(B71+C71),0)</f>
        <v>261.5</v>
      </c>
      <c r="S71" s="0" t="n">
        <f aca="false">P71-O71</f>
        <v>-1</v>
      </c>
      <c r="T71" s="0" t="n">
        <f aca="false">IFERROR((D71/(D71+E71))*(F71/(F71+G71)),0)</f>
        <v>0.0366847227727133</v>
      </c>
      <c r="U71" s="0" t="n">
        <f aca="false">RANK(T71,T$2:T$139)</f>
        <v>104</v>
      </c>
      <c r="V71" s="0" t="n">
        <f aca="false">IFERROR((B71/(B71+C71))*25,0)+IFERROR((D71/(D71+E71))*25,0)+IFERROR((F71/(F71+G71))*10,0)+H71+((J71-RMEAN)/RDEV)*5+((M71-PMEAN)/PDEV)*5+((DMEAN-R71)/DDEV)*7+((S71-TOMEAN)/TODEV)*3</f>
        <v>24.7010579429223</v>
      </c>
    </row>
    <row r="72" customFormat="false" ht="15" hidden="false" customHeight="false" outlineLevel="0" collapsed="false">
      <c r="A72" s="0" t="s">
        <v>76</v>
      </c>
      <c r="B72" s="0" t="n">
        <f aca="false">SUMIF(Games!$A$2:$A$186,$A72,Games!$K$2:$K$186)+SUMIF(Games!$B$2:$B$186,$A72,Games!$L$2:$L$186)</f>
        <v>1</v>
      </c>
      <c r="C72" s="0" t="n">
        <f aca="false">SUMIF(Games!$A$2:$A$186,$A72,Games!$L$2:$L$186)+SUMIF(Games!$B$2:$B$186,$A72,Games!$K$2:$K$186)</f>
        <v>1</v>
      </c>
      <c r="D72" s="0" t="n">
        <f aca="false">SUMIF(Games!$A$2:$A$186,$A72,Games!$O$2:$O$186)+SUMIF(Games!$B$2:$B$186,$A72,Games!$M$2:$M$186)</f>
        <v>6</v>
      </c>
      <c r="E72" s="0" t="n">
        <f aca="false">SUMIF(Games!$A$2:$A$186,$A72,Games!$P$2:$P$186)+SUMIF(Games!$B$2:$B$186,$A72,Games!$N$2:$N$186)</f>
        <v>81</v>
      </c>
      <c r="F72" s="0" t="n">
        <f aca="false">SUMIF(Games!$A$2:$A$186,$A72,Games!$S$2:$S$186)+SUMIF(Games!$B$2:$B$186,$A72,Games!$Q$2:$Q$186)</f>
        <v>116</v>
      </c>
      <c r="G72" s="0" t="n">
        <f aca="false">SUMIF(Games!$A$2:$A$186,$A72,Games!$T$2:$T$186)+SUMIF(Games!$B$2:$B$186,$A72,Games!$R$2:$R$186)</f>
        <v>62</v>
      </c>
      <c r="H72" s="0" t="n">
        <f aca="false">SUMIF(Games!$A$2:$A$186,$A72,Games!$U$2:$U$186)+SUMIF(Games!$B$2:$B$186,$A72,Games!$V$2:$V$186)</f>
        <v>0.0314401622718052</v>
      </c>
      <c r="I72" s="0" t="n">
        <f aca="false">SUMIF(Games!$A$2:$A$186,$A72,Games!$E$2:$E$186)+SUMIF(Games!$B$2:$B$186,$A72,Games!$F$2:$F$186)</f>
        <v>752</v>
      </c>
      <c r="J72" s="0" t="n">
        <f aca="false">IFERROR(I72/(B72+C72),0)</f>
        <v>376</v>
      </c>
      <c r="K72" s="0" t="n">
        <f aca="false">SUMIF(Games!$A$2:$A$186,$A72,Games!$F$2:$F$186)+SUMIF(Games!$B$2:$B$186,$A72,Games!$E$2:$E$186)</f>
        <v>81</v>
      </c>
      <c r="L72" s="0" t="n">
        <f aca="false">SUMIF(Games!$A$2:$A$186,$A72,Games!$G$2:$G$186)+SUMIF(Games!$B$2:$B$186,$A72,Games!$H$2:$H$186)</f>
        <v>168</v>
      </c>
      <c r="M72" s="0" t="n">
        <f aca="false">IFERROR(L72/(B72+C72),0)</f>
        <v>84</v>
      </c>
      <c r="N72" s="0" t="n">
        <f aca="false">SUMIF(Games!$A$2:$A$186,$A72,Games!$H$2:$H$186)+SUMIF(Games!$B$2:$B$186,$A72,Games!$G$2:$G$186)</f>
        <v>593</v>
      </c>
      <c r="O72" s="0" t="n">
        <f aca="false">SUMIF(Games!$A$2:$A$186,$A72,Games!$I$2:$I$186)+SUMIF(Games!$B$2:$B$186,$A72,Games!$J$2:$J$186)</f>
        <v>2</v>
      </c>
      <c r="P72" s="0" t="n">
        <f aca="false">SUMIF(Games!$A$2:$A$186,$A72,Games!$J$2:$J$186)+SUMIF(Games!$B$2:$B$186,$A72,Games!$I$2:$I$186)</f>
        <v>0</v>
      </c>
      <c r="R72" s="0" t="n">
        <f aca="false">IFERROR((K72+N72)/(B72+C72),0)</f>
        <v>337</v>
      </c>
      <c r="S72" s="0" t="n">
        <f aca="false">P72-O72</f>
        <v>-2</v>
      </c>
      <c r="T72" s="0" t="n">
        <f aca="false">IFERROR((D72/(D72+E72))*(F72/(F72+G72)),0)</f>
        <v>0.0449438202247191</v>
      </c>
      <c r="U72" s="0" t="n">
        <f aca="false">RANK(T72,T$2:T$139)</f>
        <v>71</v>
      </c>
      <c r="V72" s="0" t="n">
        <f aca="false">IFERROR((B72/(B72+C72))*25,0)+IFERROR((D72/(D72+E72))*25,0)+IFERROR((F72/(F72+G72))*10,0)+H72+((J72-RMEAN)/RDEV)*5+((M72-PMEAN)/PDEV)*5+((DMEAN-R72)/DDEV)*7+((S72-TOMEAN)/TODEV)*3</f>
        <v>21.712313854181</v>
      </c>
    </row>
    <row r="73" customFormat="false" ht="15" hidden="false" customHeight="false" outlineLevel="0" collapsed="false">
      <c r="A73" s="0" t="s">
        <v>77</v>
      </c>
      <c r="B73" s="0" t="n">
        <f aca="false">SUMIF(Games!$A$2:$A$186,$A73,Games!$K$2:$K$186)+SUMIF(Games!$B$2:$B$186,$A73,Games!$L$2:$L$186)</f>
        <v>2</v>
      </c>
      <c r="C73" s="0" t="n">
        <f aca="false">SUMIF(Games!$A$2:$A$186,$A73,Games!$L$2:$L$186)+SUMIF(Games!$B$2:$B$186,$A73,Games!$K$2:$K$186)</f>
        <v>0</v>
      </c>
      <c r="D73" s="0" t="n">
        <f aca="false">SUMIF(Games!$A$2:$A$186,$A73,Games!$O$2:$O$186)+SUMIF(Games!$B$2:$B$186,$A73,Games!$M$2:$M$186)</f>
        <v>1</v>
      </c>
      <c r="E73" s="0" t="n">
        <f aca="false">SUMIF(Games!$A$2:$A$186,$A73,Games!$P$2:$P$186)+SUMIF(Games!$B$2:$B$186,$A73,Games!$N$2:$N$186)</f>
        <v>3</v>
      </c>
      <c r="F73" s="0" t="n">
        <f aca="false">SUMIF(Games!$A$2:$A$186,$A73,Games!$S$2:$S$186)+SUMIF(Games!$B$2:$B$186,$A73,Games!$Q$2:$Q$186)</f>
        <v>10</v>
      </c>
      <c r="G73" s="0" t="n">
        <f aca="false">SUMIF(Games!$A$2:$A$186,$A73,Games!$T$2:$T$186)+SUMIF(Games!$B$2:$B$186,$A73,Games!$R$2:$R$186)</f>
        <v>82</v>
      </c>
      <c r="H73" s="0" t="n">
        <f aca="false">SUMIF(Games!$A$2:$A$186,$A73,Games!$U$2:$U$186)+SUMIF(Games!$B$2:$B$186,$A73,Games!$V$2:$V$186)</f>
        <v>8.4</v>
      </c>
      <c r="I73" s="0" t="n">
        <f aca="false">SUMIF(Games!$A$2:$A$186,$A73,Games!$E$2:$E$186)+SUMIF(Games!$B$2:$B$186,$A73,Games!$F$2:$F$186)</f>
        <v>512</v>
      </c>
      <c r="J73" s="0" t="n">
        <f aca="false">IFERROR(I73/(B73+C73),0)</f>
        <v>256</v>
      </c>
      <c r="K73" s="0" t="n">
        <f aca="false">SUMIF(Games!$A$2:$A$186,$A73,Games!$F$2:$F$186)+SUMIF(Games!$B$2:$B$186,$A73,Games!$E$2:$E$186)</f>
        <v>224</v>
      </c>
      <c r="L73" s="0" t="n">
        <f aca="false">SUMIF(Games!$A$2:$A$186,$A73,Games!$G$2:$G$186)+SUMIF(Games!$B$2:$B$186,$A73,Games!$H$2:$H$186)</f>
        <v>557</v>
      </c>
      <c r="M73" s="0" t="n">
        <f aca="false">IFERROR(L73/(B73+C73),0)</f>
        <v>278.5</v>
      </c>
      <c r="N73" s="0" t="n">
        <f aca="false">SUMIF(Games!$A$2:$A$186,$A73,Games!$H$2:$H$186)+SUMIF(Games!$B$2:$B$186,$A73,Games!$G$2:$G$186)</f>
        <v>248</v>
      </c>
      <c r="O73" s="0" t="n">
        <f aca="false">SUMIF(Games!$A$2:$A$186,$A73,Games!$I$2:$I$186)+SUMIF(Games!$B$2:$B$186,$A73,Games!$J$2:$J$186)</f>
        <v>1</v>
      </c>
      <c r="P73" s="0" t="n">
        <f aca="false">SUMIF(Games!$A$2:$A$186,$A73,Games!$J$2:$J$186)+SUMIF(Games!$B$2:$B$186,$A73,Games!$I$2:$I$186)</f>
        <v>3</v>
      </c>
      <c r="R73" s="0" t="n">
        <f aca="false">IFERROR((K73+N73)/(B73+C73),0)</f>
        <v>236</v>
      </c>
      <c r="S73" s="0" t="n">
        <f aca="false">P73-O73</f>
        <v>2</v>
      </c>
      <c r="T73" s="0" t="n">
        <f aca="false">IFERROR((D73/(D73+E73))*(F73/(F73+G73)),0)</f>
        <v>0.0271739130434783</v>
      </c>
      <c r="U73" s="0" t="n">
        <f aca="false">RANK(T73,T$2:T$139)</f>
        <v>135</v>
      </c>
      <c r="V73" s="0" t="n">
        <f aca="false">IFERROR((B73/(B73+C73))*25,0)+IFERROR((D73/(D73+E73))*25,0)+IFERROR((F73/(F73+G73))*10,0)+H73+((J73-RMEAN)/RDEV)*5+((M73-PMEAN)/PDEV)*5+((DMEAN-R73)/DDEV)*7+((S73-TOMEAN)/TODEV)*3</f>
        <v>58.8570101582076</v>
      </c>
    </row>
    <row r="74" customFormat="false" ht="15" hidden="false" customHeight="false" outlineLevel="0" collapsed="false">
      <c r="A74" s="0" t="s">
        <v>78</v>
      </c>
      <c r="B74" s="0" t="n">
        <f aca="false">SUMIF(Games!$A$2:$A$186,$A74,Games!$K$2:$K$186)+SUMIF(Games!$B$2:$B$186,$A74,Games!$L$2:$L$186)</f>
        <v>1</v>
      </c>
      <c r="C74" s="0" t="n">
        <f aca="false">SUMIF(Games!$A$2:$A$186,$A74,Games!$L$2:$L$186)+SUMIF(Games!$B$2:$B$186,$A74,Games!$K$2:$K$186)</f>
        <v>1</v>
      </c>
      <c r="D74" s="0" t="n">
        <f aca="false">SUMIF(Games!$A$2:$A$186,$A74,Games!$O$2:$O$186)+SUMIF(Games!$B$2:$B$186,$A74,Games!$M$2:$M$186)</f>
        <v>5</v>
      </c>
      <c r="E74" s="0" t="n">
        <f aca="false">SUMIF(Games!$A$2:$A$186,$A74,Games!$P$2:$P$186)+SUMIF(Games!$B$2:$B$186,$A74,Games!$N$2:$N$186)</f>
        <v>82</v>
      </c>
      <c r="F74" s="0" t="n">
        <f aca="false">SUMIF(Games!$A$2:$A$186,$A74,Games!$S$2:$S$186)+SUMIF(Games!$B$2:$B$186,$A74,Games!$Q$2:$Q$186)</f>
        <v>116</v>
      </c>
      <c r="G74" s="0" t="n">
        <f aca="false">SUMIF(Games!$A$2:$A$186,$A74,Games!$T$2:$T$186)+SUMIF(Games!$B$2:$B$186,$A74,Games!$R$2:$R$186)</f>
        <v>62</v>
      </c>
      <c r="H74" s="0" t="n">
        <f aca="false">SUMIF(Games!$A$2:$A$186,$A74,Games!$U$2:$U$186)+SUMIF(Games!$B$2:$B$186,$A74,Games!$V$2:$V$186)</f>
        <v>-4.289384719405</v>
      </c>
      <c r="I74" s="0" t="n">
        <f aca="false">SUMIF(Games!$A$2:$A$186,$A74,Games!$E$2:$E$186)+SUMIF(Games!$B$2:$B$186,$A74,Games!$F$2:$F$186)</f>
        <v>505</v>
      </c>
      <c r="J74" s="0" t="n">
        <f aca="false">IFERROR(I74/(B74+C74),0)</f>
        <v>252.5</v>
      </c>
      <c r="K74" s="0" t="n">
        <f aca="false">SUMIF(Games!$A$2:$A$186,$A74,Games!$F$2:$F$186)+SUMIF(Games!$B$2:$B$186,$A74,Games!$E$2:$E$186)</f>
        <v>315</v>
      </c>
      <c r="L74" s="0" t="n">
        <f aca="false">SUMIF(Games!$A$2:$A$186,$A74,Games!$G$2:$G$186)+SUMIF(Games!$B$2:$B$186,$A74,Games!$H$2:$H$186)</f>
        <v>330</v>
      </c>
      <c r="M74" s="0" t="n">
        <f aca="false">IFERROR(L74/(B74+C74),0)</f>
        <v>165</v>
      </c>
      <c r="N74" s="0" t="n">
        <f aca="false">SUMIF(Games!$A$2:$A$186,$A74,Games!$H$2:$H$186)+SUMIF(Games!$B$2:$B$186,$A74,Games!$G$2:$G$186)</f>
        <v>382</v>
      </c>
      <c r="O74" s="0" t="n">
        <f aca="false">SUMIF(Games!$A$2:$A$186,$A74,Games!$I$2:$I$186)+SUMIF(Games!$B$2:$B$186,$A74,Games!$J$2:$J$186)</f>
        <v>5</v>
      </c>
      <c r="P74" s="0" t="n">
        <f aca="false">SUMIF(Games!$A$2:$A$186,$A74,Games!$J$2:$J$186)+SUMIF(Games!$B$2:$B$186,$A74,Games!$I$2:$I$186)</f>
        <v>2</v>
      </c>
      <c r="R74" s="0" t="n">
        <f aca="false">IFERROR((K74+N74)/(B74+C74),0)</f>
        <v>348.5</v>
      </c>
      <c r="S74" s="0" t="n">
        <f aca="false">P74-O74</f>
        <v>-3</v>
      </c>
      <c r="T74" s="0" t="n">
        <f aca="false">IFERROR((D74/(D74+E74))*(F74/(F74+G74)),0)</f>
        <v>0.0374531835205993</v>
      </c>
      <c r="U74" s="0" t="n">
        <f aca="false">RANK(T74,T$2:T$139)</f>
        <v>101</v>
      </c>
      <c r="V74" s="0" t="n">
        <f aca="false">IFERROR((B74/(B74+C74))*25,0)+IFERROR((D74/(D74+E74))*25,0)+IFERROR((F74/(F74+G74))*10,0)+H74+((J74-RMEAN)/RDEV)*5+((M74-PMEAN)/PDEV)*5+((DMEAN-R74)/DDEV)*7+((S74-TOMEAN)/TODEV)*3</f>
        <v>11.2415723288827</v>
      </c>
    </row>
    <row r="75" customFormat="false" ht="15" hidden="false" customHeight="false" outlineLevel="0" collapsed="false">
      <c r="A75" s="0" t="s">
        <v>79</v>
      </c>
      <c r="B75" s="0" t="n">
        <f aca="false">SUMIF(Games!$A$2:$A$186,$A75,Games!$K$2:$K$186)+SUMIF(Games!$B$2:$B$186,$A75,Games!$L$2:$L$186)</f>
        <v>2</v>
      </c>
      <c r="C75" s="0" t="n">
        <f aca="false">SUMIF(Games!$A$2:$A$186,$A75,Games!$L$2:$L$186)+SUMIF(Games!$B$2:$B$186,$A75,Games!$K$2:$K$186)</f>
        <v>0</v>
      </c>
      <c r="D75" s="0" t="n">
        <f aca="false">SUMIF(Games!$A$2:$A$186,$A75,Games!$O$2:$O$186)+SUMIF(Games!$B$2:$B$186,$A75,Games!$M$2:$M$186)</f>
        <v>6</v>
      </c>
      <c r="E75" s="0" t="n">
        <f aca="false">SUMIF(Games!$A$2:$A$186,$A75,Games!$P$2:$P$186)+SUMIF(Games!$B$2:$B$186,$A75,Games!$N$2:$N$186)</f>
        <v>81</v>
      </c>
      <c r="F75" s="0" t="n">
        <f aca="false">SUMIF(Games!$A$2:$A$186,$A75,Games!$S$2:$S$186)+SUMIF(Games!$B$2:$B$186,$A75,Games!$Q$2:$Q$186)</f>
        <v>120</v>
      </c>
      <c r="G75" s="0" t="n">
        <f aca="false">SUMIF(Games!$A$2:$A$186,$A75,Games!$T$2:$T$186)+SUMIF(Games!$B$2:$B$186,$A75,Games!$R$2:$R$186)</f>
        <v>141</v>
      </c>
      <c r="H75" s="0" t="n">
        <f aca="false">SUMIF(Games!$A$2:$A$186,$A75,Games!$U$2:$U$186)+SUMIF(Games!$B$2:$B$186,$A75,Games!$V$2:$V$186)</f>
        <v>2.5841784989858</v>
      </c>
      <c r="I75" s="0" t="n">
        <f aca="false">SUMIF(Games!$A$2:$A$186,$A75,Games!$E$2:$E$186)+SUMIF(Games!$B$2:$B$186,$A75,Games!$F$2:$F$186)</f>
        <v>492</v>
      </c>
      <c r="J75" s="0" t="n">
        <f aca="false">IFERROR(I75/(B75+C75),0)</f>
        <v>246</v>
      </c>
      <c r="K75" s="0" t="n">
        <f aca="false">SUMIF(Games!$A$2:$A$186,$A75,Games!$F$2:$F$186)+SUMIF(Games!$B$2:$B$186,$A75,Games!$E$2:$E$186)</f>
        <v>137</v>
      </c>
      <c r="L75" s="0" t="n">
        <f aca="false">SUMIF(Games!$A$2:$A$186,$A75,Games!$G$2:$G$186)+SUMIF(Games!$B$2:$B$186,$A75,Games!$H$2:$H$186)</f>
        <v>332</v>
      </c>
      <c r="M75" s="0" t="n">
        <f aca="false">IFERROR(L75/(B75+C75),0)</f>
        <v>166</v>
      </c>
      <c r="N75" s="0" t="n">
        <f aca="false">SUMIF(Games!$A$2:$A$186,$A75,Games!$H$2:$H$186)+SUMIF(Games!$B$2:$B$186,$A75,Games!$G$2:$G$186)</f>
        <v>167</v>
      </c>
      <c r="O75" s="0" t="n">
        <f aca="false">SUMIF(Games!$A$2:$A$186,$A75,Games!$I$2:$I$186)+SUMIF(Games!$B$2:$B$186,$A75,Games!$J$2:$J$186)</f>
        <v>0</v>
      </c>
      <c r="P75" s="0" t="n">
        <f aca="false">SUMIF(Games!$A$2:$A$186,$A75,Games!$J$2:$J$186)+SUMIF(Games!$B$2:$B$186,$A75,Games!$I$2:$I$186)</f>
        <v>8</v>
      </c>
      <c r="R75" s="0" t="n">
        <f aca="false">IFERROR((K75+N75)/(B75+C75),0)</f>
        <v>152</v>
      </c>
      <c r="S75" s="0" t="n">
        <f aca="false">P75-O75</f>
        <v>8</v>
      </c>
      <c r="T75" s="0" t="n">
        <f aca="false">IFERROR((D75/(D75+E75))*(F75/(F75+G75)),0)</f>
        <v>0.0317082837891399</v>
      </c>
      <c r="U75" s="0" t="n">
        <f aca="false">RANK(T75,T$2:T$139)</f>
        <v>118</v>
      </c>
      <c r="V75" s="0" t="n">
        <f aca="false">IFERROR((B75/(B75+C75))*25,0)+IFERROR((D75/(D75+E75))*25,0)+IFERROR((F75/(F75+G75))*10,0)+H75+((J75-RMEAN)/RDEV)*5+((M75-PMEAN)/PDEV)*5+((DMEAN-R75)/DDEV)*7+((S75-TOMEAN)/TODEV)*3</f>
        <v>57.4151932669596</v>
      </c>
    </row>
    <row r="76" customFormat="false" ht="15" hidden="false" customHeight="false" outlineLevel="0" collapsed="false">
      <c r="A76" s="0" t="s">
        <v>80</v>
      </c>
      <c r="B76" s="0" t="n">
        <f aca="false">SUMIF(Games!$A$2:$A$186,$A76,Games!$K$2:$K$186)+SUMIF(Games!$B$2:$B$186,$A76,Games!$L$2:$L$186)</f>
        <v>1</v>
      </c>
      <c r="C76" s="0" t="n">
        <f aca="false">SUMIF(Games!$A$2:$A$186,$A76,Games!$L$2:$L$186)+SUMIF(Games!$B$2:$B$186,$A76,Games!$K$2:$K$186)</f>
        <v>2</v>
      </c>
      <c r="D76" s="0" t="n">
        <f aca="false">SUMIF(Games!$A$2:$A$186,$A76,Games!$O$2:$O$186)+SUMIF(Games!$B$2:$B$186,$A76,Games!$M$2:$M$186)</f>
        <v>7</v>
      </c>
      <c r="E76" s="0" t="n">
        <f aca="false">SUMIF(Games!$A$2:$A$186,$A76,Games!$P$2:$P$186)+SUMIF(Games!$B$2:$B$186,$A76,Games!$N$2:$N$186)</f>
        <v>83</v>
      </c>
      <c r="F76" s="0" t="n">
        <f aca="false">SUMIF(Games!$A$2:$A$186,$A76,Games!$S$2:$S$186)+SUMIF(Games!$B$2:$B$186,$A76,Games!$Q$2:$Q$186)</f>
        <v>119</v>
      </c>
      <c r="G76" s="0" t="n">
        <f aca="false">SUMIF(Games!$A$2:$A$186,$A76,Games!$T$2:$T$186)+SUMIF(Games!$B$2:$B$186,$A76,Games!$R$2:$R$186)</f>
        <v>68</v>
      </c>
      <c r="H76" s="0" t="n">
        <f aca="false">SUMIF(Games!$A$2:$A$186,$A76,Games!$U$2:$U$186)+SUMIF(Games!$B$2:$B$186,$A76,Games!$V$2:$V$186)</f>
        <v>-6.22961460446247</v>
      </c>
      <c r="I76" s="0" t="n">
        <f aca="false">SUMIF(Games!$A$2:$A$186,$A76,Games!$E$2:$E$186)+SUMIF(Games!$B$2:$B$186,$A76,Games!$F$2:$F$186)</f>
        <v>406</v>
      </c>
      <c r="J76" s="0" t="n">
        <f aca="false">IFERROR(I76/(B76+C76),0)</f>
        <v>135.333333333333</v>
      </c>
      <c r="K76" s="0" t="n">
        <f aca="false">SUMIF(Games!$A$2:$A$186,$A76,Games!$F$2:$F$186)+SUMIF(Games!$B$2:$B$186,$A76,Games!$E$2:$E$186)</f>
        <v>354</v>
      </c>
      <c r="L76" s="0" t="n">
        <f aca="false">SUMIF(Games!$A$2:$A$186,$A76,Games!$G$2:$G$186)+SUMIF(Games!$B$2:$B$186,$A76,Games!$H$2:$H$186)</f>
        <v>823</v>
      </c>
      <c r="M76" s="0" t="n">
        <f aca="false">IFERROR(L76/(B76+C76),0)</f>
        <v>274.333333333333</v>
      </c>
      <c r="N76" s="0" t="n">
        <f aca="false">SUMIF(Games!$A$2:$A$186,$A76,Games!$H$2:$H$186)+SUMIF(Games!$B$2:$B$186,$A76,Games!$G$2:$G$186)</f>
        <v>722</v>
      </c>
      <c r="O76" s="0" t="n">
        <f aca="false">SUMIF(Games!$A$2:$A$186,$A76,Games!$I$2:$I$186)+SUMIF(Games!$B$2:$B$186,$A76,Games!$J$2:$J$186)</f>
        <v>4</v>
      </c>
      <c r="P76" s="0" t="n">
        <f aca="false">SUMIF(Games!$A$2:$A$186,$A76,Games!$J$2:$J$186)+SUMIF(Games!$B$2:$B$186,$A76,Games!$I$2:$I$186)</f>
        <v>4</v>
      </c>
      <c r="R76" s="0" t="n">
        <f aca="false">IFERROR((K76+N76)/(B76+C76),0)</f>
        <v>358.666666666667</v>
      </c>
      <c r="S76" s="0" t="n">
        <f aca="false">P76-O76</f>
        <v>0</v>
      </c>
      <c r="T76" s="0" t="n">
        <f aca="false">IFERROR((D76/(D76+E76))*(F76/(F76+G76)),0)</f>
        <v>0.0494949494949495</v>
      </c>
      <c r="U76" s="0" t="n">
        <f aca="false">RANK(T76,T$2:T$139)</f>
        <v>68</v>
      </c>
      <c r="V76" s="0" t="n">
        <f aca="false">IFERROR((B76/(B76+C76))*25,0)+IFERROR((D76/(D76+E76))*25,0)+IFERROR((F76/(F76+G76))*10,0)+H76+((J76-RMEAN)/RDEV)*5+((M76-PMEAN)/PDEV)*5+((DMEAN-R76)/DDEV)*7+((S76-TOMEAN)/TODEV)*3</f>
        <v>6.95858748010619</v>
      </c>
    </row>
    <row r="77" customFormat="false" ht="15" hidden="false" customHeight="false" outlineLevel="0" collapsed="false">
      <c r="A77" s="0" t="s">
        <v>81</v>
      </c>
      <c r="B77" s="0" t="n">
        <f aca="false">SUMIF(Games!$A$2:$A$186,$A77,Games!$K$2:$K$186)+SUMIF(Games!$B$2:$B$186,$A77,Games!$L$2:$L$186)</f>
        <v>2</v>
      </c>
      <c r="C77" s="0" t="n">
        <f aca="false">SUMIF(Games!$A$2:$A$186,$A77,Games!$L$2:$L$186)+SUMIF(Games!$B$2:$B$186,$A77,Games!$K$2:$K$186)</f>
        <v>0</v>
      </c>
      <c r="D77" s="0" t="n">
        <f aca="false">SUMIF(Games!$A$2:$A$186,$A77,Games!$O$2:$O$186)+SUMIF(Games!$B$2:$B$186,$A77,Games!$M$2:$M$186)</f>
        <v>6</v>
      </c>
      <c r="E77" s="0" t="n">
        <f aca="false">SUMIF(Games!$A$2:$A$186,$A77,Games!$P$2:$P$186)+SUMIF(Games!$B$2:$B$186,$A77,Games!$N$2:$N$186)</f>
        <v>81</v>
      </c>
      <c r="F77" s="0" t="n">
        <f aca="false">SUMIF(Games!$A$2:$A$186,$A77,Games!$S$2:$S$186)+SUMIF(Games!$B$2:$B$186,$A77,Games!$Q$2:$Q$186)</f>
        <v>120</v>
      </c>
      <c r="G77" s="0" t="n">
        <f aca="false">SUMIF(Games!$A$2:$A$186,$A77,Games!$T$2:$T$186)+SUMIF(Games!$B$2:$B$186,$A77,Games!$R$2:$R$186)</f>
        <v>141</v>
      </c>
      <c r="H77" s="0" t="n">
        <f aca="false">SUMIF(Games!$A$2:$A$186,$A77,Games!$U$2:$U$186)+SUMIF(Games!$B$2:$B$186,$A77,Games!$V$2:$V$186)</f>
        <v>1.4235970250169</v>
      </c>
      <c r="I77" s="0" t="n">
        <f aca="false">SUMIF(Games!$A$2:$A$186,$A77,Games!$E$2:$E$186)+SUMIF(Games!$B$2:$B$186,$A77,Games!$F$2:$F$186)</f>
        <v>251</v>
      </c>
      <c r="J77" s="0" t="n">
        <f aca="false">IFERROR(I77/(B77+C77),0)</f>
        <v>125.5</v>
      </c>
      <c r="K77" s="0" t="n">
        <f aca="false">SUMIF(Games!$A$2:$A$186,$A77,Games!$F$2:$F$186)+SUMIF(Games!$B$2:$B$186,$A77,Games!$E$2:$E$186)</f>
        <v>183</v>
      </c>
      <c r="L77" s="0" t="n">
        <f aca="false">SUMIF(Games!$A$2:$A$186,$A77,Games!$G$2:$G$186)+SUMIF(Games!$B$2:$B$186,$A77,Games!$H$2:$H$186)</f>
        <v>498</v>
      </c>
      <c r="M77" s="0" t="n">
        <f aca="false">IFERROR(L77/(B77+C77),0)</f>
        <v>249</v>
      </c>
      <c r="N77" s="0" t="n">
        <f aca="false">SUMIF(Games!$A$2:$A$186,$A77,Games!$H$2:$H$186)+SUMIF(Games!$B$2:$B$186,$A77,Games!$G$2:$G$186)</f>
        <v>353</v>
      </c>
      <c r="O77" s="0" t="n">
        <f aca="false">SUMIF(Games!$A$2:$A$186,$A77,Games!$I$2:$I$186)+SUMIF(Games!$B$2:$B$186,$A77,Games!$J$2:$J$186)</f>
        <v>2</v>
      </c>
      <c r="P77" s="0" t="n">
        <f aca="false">SUMIF(Games!$A$2:$A$186,$A77,Games!$J$2:$J$186)+SUMIF(Games!$B$2:$B$186,$A77,Games!$I$2:$I$186)</f>
        <v>3</v>
      </c>
      <c r="R77" s="0" t="n">
        <f aca="false">IFERROR((K77+N77)/(B77+C77),0)</f>
        <v>268</v>
      </c>
      <c r="S77" s="0" t="n">
        <f aca="false">P77-O77</f>
        <v>1</v>
      </c>
      <c r="T77" s="0" t="n">
        <f aca="false">IFERROR((D77/(D77+E77))*(F77/(F77+G77)),0)</f>
        <v>0.0317082837891399</v>
      </c>
      <c r="U77" s="0" t="n">
        <f aca="false">RANK(T77,T$2:T$139)</f>
        <v>118</v>
      </c>
      <c r="V77" s="0" t="n">
        <f aca="false">IFERROR((B77/(B77+C77))*25,0)+IFERROR((D77/(D77+E77))*25,0)+IFERROR((F77/(F77+G77))*10,0)+H77+((J77-RMEAN)/RDEV)*5+((M77-PMEAN)/PDEV)*5+((DMEAN-R77)/DDEV)*7+((S77-TOMEAN)/TODEV)*3</f>
        <v>35.2316273060706</v>
      </c>
    </row>
    <row r="78" customFormat="false" ht="15" hidden="false" customHeight="false" outlineLevel="0" collapsed="false">
      <c r="A78" s="0" t="s">
        <v>82</v>
      </c>
      <c r="B78" s="0" t="n">
        <f aca="false">SUMIF(Games!$A$2:$A$186,$A78,Games!$K$2:$K$186)+SUMIF(Games!$B$2:$B$186,$A78,Games!$L$2:$L$186)</f>
        <v>3</v>
      </c>
      <c r="C78" s="0" t="n">
        <f aca="false">SUMIF(Games!$A$2:$A$186,$A78,Games!$L$2:$L$186)+SUMIF(Games!$B$2:$B$186,$A78,Games!$K$2:$K$186)</f>
        <v>0</v>
      </c>
      <c r="D78" s="0" t="n">
        <f aca="false">SUMIF(Games!$A$2:$A$186,$A78,Games!$O$2:$O$186)+SUMIF(Games!$B$2:$B$186,$A78,Games!$M$2:$M$186)</f>
        <v>7</v>
      </c>
      <c r="E78" s="0" t="n">
        <f aca="false">SUMIF(Games!$A$2:$A$186,$A78,Games!$P$2:$P$186)+SUMIF(Games!$B$2:$B$186,$A78,Games!$N$2:$N$186)</f>
        <v>83</v>
      </c>
      <c r="F78" s="0" t="n">
        <f aca="false">SUMIF(Games!$A$2:$A$186,$A78,Games!$S$2:$S$186)+SUMIF(Games!$B$2:$B$186,$A78,Games!$Q$2:$Q$186)</f>
        <v>130</v>
      </c>
      <c r="G78" s="0" t="n">
        <f aca="false">SUMIF(Games!$A$2:$A$186,$A78,Games!$T$2:$T$186)+SUMIF(Games!$B$2:$B$186,$A78,Games!$R$2:$R$186)</f>
        <v>222</v>
      </c>
      <c r="H78" s="0" t="n">
        <f aca="false">SUMIF(Games!$A$2:$A$186,$A78,Games!$U$2:$U$186)+SUMIF(Games!$B$2:$B$186,$A78,Games!$V$2:$V$186)</f>
        <v>2.47644600159813</v>
      </c>
      <c r="I78" s="0" t="n">
        <f aca="false">SUMIF(Games!$A$2:$A$186,$A78,Games!$E$2:$E$186)+SUMIF(Games!$B$2:$B$186,$A78,Games!$F$2:$F$186)</f>
        <v>483</v>
      </c>
      <c r="J78" s="0" t="n">
        <f aca="false">IFERROR(I78/(B78+C78),0)</f>
        <v>161</v>
      </c>
      <c r="K78" s="0" t="n">
        <f aca="false">SUMIF(Games!$A$2:$A$186,$A78,Games!$F$2:$F$186)+SUMIF(Games!$B$2:$B$186,$A78,Games!$E$2:$E$186)</f>
        <v>311</v>
      </c>
      <c r="L78" s="0" t="n">
        <f aca="false">SUMIF(Games!$A$2:$A$186,$A78,Games!$G$2:$G$186)+SUMIF(Games!$B$2:$B$186,$A78,Games!$H$2:$H$186)</f>
        <v>637</v>
      </c>
      <c r="M78" s="0" t="n">
        <f aca="false">IFERROR(L78/(B78+C78),0)</f>
        <v>212.333333333333</v>
      </c>
      <c r="N78" s="0" t="n">
        <f aca="false">SUMIF(Games!$A$2:$A$186,$A78,Games!$H$2:$H$186)+SUMIF(Games!$B$2:$B$186,$A78,Games!$G$2:$G$186)</f>
        <v>380</v>
      </c>
      <c r="O78" s="0" t="n">
        <f aca="false">SUMIF(Games!$A$2:$A$186,$A78,Games!$I$2:$I$186)+SUMIF(Games!$B$2:$B$186,$A78,Games!$J$2:$J$186)</f>
        <v>2</v>
      </c>
      <c r="P78" s="0" t="n">
        <f aca="false">SUMIF(Games!$A$2:$A$186,$A78,Games!$J$2:$J$186)+SUMIF(Games!$B$2:$B$186,$A78,Games!$I$2:$I$186)</f>
        <v>7</v>
      </c>
      <c r="R78" s="0" t="n">
        <f aca="false">IFERROR((K78+N78)/(B78+C78),0)</f>
        <v>230.333333333333</v>
      </c>
      <c r="S78" s="0" t="n">
        <f aca="false">P78-O78</f>
        <v>5</v>
      </c>
      <c r="T78" s="0" t="n">
        <f aca="false">IFERROR((D78/(D78+E78))*(F78/(F78+G78)),0)</f>
        <v>0.0287247474747475</v>
      </c>
      <c r="U78" s="0" t="n">
        <f aca="false">RANK(T78,T$2:T$139)</f>
        <v>133</v>
      </c>
      <c r="V78" s="0" t="n">
        <f aca="false">IFERROR((B78/(B78+C78))*25,0)+IFERROR((D78/(D78+E78))*25,0)+IFERROR((F78/(F78+G78))*10,0)+H78+((J78-RMEAN)/RDEV)*5+((M78-PMEAN)/PDEV)*5+((DMEAN-R78)/DDEV)*7+((S78-TOMEAN)/TODEV)*3</f>
        <v>43.5547590541352</v>
      </c>
    </row>
    <row r="79" customFormat="false" ht="15" hidden="false" customHeight="false" outlineLevel="0" collapsed="false">
      <c r="A79" s="0" t="s">
        <v>83</v>
      </c>
      <c r="B79" s="0" t="n">
        <f aca="false">SUMIF(Games!$A$2:$A$186,$A79,Games!$K$2:$K$186)+SUMIF(Games!$B$2:$B$186,$A79,Games!$L$2:$L$186)</f>
        <v>1</v>
      </c>
      <c r="C79" s="0" t="n">
        <f aca="false">SUMIF(Games!$A$2:$A$186,$A79,Games!$L$2:$L$186)+SUMIF(Games!$B$2:$B$186,$A79,Games!$K$2:$K$186)</f>
        <v>1</v>
      </c>
      <c r="D79" s="0" t="n">
        <f aca="false">SUMIF(Games!$A$2:$A$186,$A79,Games!$O$2:$O$186)+SUMIF(Games!$B$2:$B$186,$A79,Games!$M$2:$M$186)</f>
        <v>3</v>
      </c>
      <c r="E79" s="0" t="n">
        <f aca="false">SUMIF(Games!$A$2:$A$186,$A79,Games!$P$2:$P$186)+SUMIF(Games!$B$2:$B$186,$A79,Games!$N$2:$N$186)</f>
        <v>2</v>
      </c>
      <c r="F79" s="0" t="n">
        <f aca="false">SUMIF(Games!$A$2:$A$186,$A79,Games!$S$2:$S$186)+SUMIF(Games!$B$2:$B$186,$A79,Games!$Q$2:$Q$186)</f>
        <v>10</v>
      </c>
      <c r="G79" s="0" t="n">
        <f aca="false">SUMIF(Games!$A$2:$A$186,$A79,Games!$T$2:$T$186)+SUMIF(Games!$B$2:$B$186,$A79,Games!$R$2:$R$186)</f>
        <v>85</v>
      </c>
      <c r="H79" s="0" t="n">
        <f aca="false">SUMIF(Games!$A$2:$A$186,$A79,Games!$U$2:$U$186)+SUMIF(Games!$B$2:$B$186,$A79,Games!$V$2:$V$186)</f>
        <v>2.57471264367816</v>
      </c>
      <c r="I79" s="0" t="n">
        <f aca="false">SUMIF(Games!$A$2:$A$186,$A79,Games!$E$2:$E$186)+SUMIF(Games!$B$2:$B$186,$A79,Games!$F$2:$F$186)</f>
        <v>335</v>
      </c>
      <c r="J79" s="0" t="n">
        <f aca="false">IFERROR(I79/(B79+C79),0)</f>
        <v>167.5</v>
      </c>
      <c r="K79" s="0" t="n">
        <f aca="false">SUMIF(Games!$A$2:$A$186,$A79,Games!$F$2:$F$186)+SUMIF(Games!$B$2:$B$186,$A79,Games!$E$2:$E$186)</f>
        <v>232</v>
      </c>
      <c r="L79" s="0" t="n">
        <f aca="false">SUMIF(Games!$A$2:$A$186,$A79,Games!$G$2:$G$186)+SUMIF(Games!$B$2:$B$186,$A79,Games!$H$2:$H$186)</f>
        <v>476</v>
      </c>
      <c r="M79" s="0" t="n">
        <f aca="false">IFERROR(L79/(B79+C79),0)</f>
        <v>238</v>
      </c>
      <c r="N79" s="0" t="n">
        <f aca="false">SUMIF(Games!$A$2:$A$186,$A79,Games!$H$2:$H$186)+SUMIF(Games!$B$2:$B$186,$A79,Games!$G$2:$G$186)</f>
        <v>434</v>
      </c>
      <c r="O79" s="0" t="n">
        <f aca="false">SUMIF(Games!$A$2:$A$186,$A79,Games!$I$2:$I$186)+SUMIF(Games!$B$2:$B$186,$A79,Games!$J$2:$J$186)</f>
        <v>1</v>
      </c>
      <c r="P79" s="0" t="n">
        <f aca="false">SUMIF(Games!$A$2:$A$186,$A79,Games!$J$2:$J$186)+SUMIF(Games!$B$2:$B$186,$A79,Games!$I$2:$I$186)</f>
        <v>4</v>
      </c>
      <c r="R79" s="0" t="n">
        <f aca="false">IFERROR((K79+N79)/(B79+C79),0)</f>
        <v>333</v>
      </c>
      <c r="S79" s="0" t="n">
        <f aca="false">P79-O79</f>
        <v>3</v>
      </c>
      <c r="T79" s="0" t="n">
        <f aca="false">IFERROR((D79/(D79+E79))*(F79/(F79+G79)),0)</f>
        <v>0.0631578947368421</v>
      </c>
      <c r="U79" s="0" t="n">
        <f aca="false">RANK(T79,T$2:T$139)</f>
        <v>24</v>
      </c>
      <c r="V79" s="0" t="n">
        <f aca="false">IFERROR((B79/(B79+C79))*25,0)+IFERROR((D79/(D79+E79))*25,0)+IFERROR((F79/(F79+G79))*10,0)+H79+((J79-RMEAN)/RDEV)*5+((M79-PMEAN)/PDEV)*5+((DMEAN-R79)/DDEV)*7+((S79-TOMEAN)/TODEV)*3</f>
        <v>33.2442385341729</v>
      </c>
    </row>
    <row r="80" customFormat="false" ht="15" hidden="false" customHeight="false" outlineLevel="0" collapsed="false">
      <c r="A80" s="0" t="s">
        <v>84</v>
      </c>
      <c r="B80" s="0" t="n">
        <f aca="false">SUMIF(Games!$A$2:$A$186,$A80,Games!$K$2:$K$186)+SUMIF(Games!$B$2:$B$186,$A80,Games!$L$2:$L$186)</f>
        <v>0</v>
      </c>
      <c r="C80" s="0" t="n">
        <f aca="false">SUMIF(Games!$A$2:$A$186,$A80,Games!$L$2:$L$186)+SUMIF(Games!$B$2:$B$186,$A80,Games!$K$2:$K$186)</f>
        <v>2</v>
      </c>
      <c r="D80" s="0" t="n">
        <f aca="false">SUMIF(Games!$A$2:$A$186,$A80,Games!$O$2:$O$186)+SUMIF(Games!$B$2:$B$186,$A80,Games!$M$2:$M$186)</f>
        <v>7</v>
      </c>
      <c r="E80" s="0" t="n">
        <f aca="false">SUMIF(Games!$A$2:$A$186,$A80,Games!$P$2:$P$186)+SUMIF(Games!$B$2:$B$186,$A80,Games!$N$2:$N$186)</f>
        <v>80</v>
      </c>
      <c r="F80" s="0" t="n">
        <f aca="false">SUMIF(Games!$A$2:$A$186,$A80,Games!$S$2:$S$186)+SUMIF(Games!$B$2:$B$186,$A80,Games!$Q$2:$Q$186)</f>
        <v>114</v>
      </c>
      <c r="G80" s="0" t="n">
        <f aca="false">SUMIF(Games!$A$2:$A$186,$A80,Games!$T$2:$T$186)+SUMIF(Games!$B$2:$B$186,$A80,Games!$R$2:$R$186)</f>
        <v>64</v>
      </c>
      <c r="H80" s="0" t="n">
        <f aca="false">SUMIF(Games!$A$2:$A$186,$A80,Games!$U$2:$U$186)+SUMIF(Games!$B$2:$B$186,$A80,Games!$V$2:$V$186)</f>
        <v>-3.94481068289385</v>
      </c>
      <c r="I80" s="0" t="n">
        <f aca="false">SUMIF(Games!$A$2:$A$186,$A80,Games!$E$2:$E$186)+SUMIF(Games!$B$2:$B$186,$A80,Games!$F$2:$F$186)</f>
        <v>119</v>
      </c>
      <c r="J80" s="0" t="n">
        <f aca="false">IFERROR(I80/(B80+C80),0)</f>
        <v>59.5</v>
      </c>
      <c r="K80" s="0" t="n">
        <f aca="false">SUMIF(Games!$A$2:$A$186,$A80,Games!$F$2:$F$186)+SUMIF(Games!$B$2:$B$186,$A80,Games!$E$2:$E$186)</f>
        <v>390</v>
      </c>
      <c r="L80" s="0" t="n">
        <f aca="false">SUMIF(Games!$A$2:$A$186,$A80,Games!$G$2:$G$186)+SUMIF(Games!$B$2:$B$186,$A80,Games!$H$2:$H$186)</f>
        <v>309</v>
      </c>
      <c r="M80" s="0" t="n">
        <f aca="false">IFERROR(L80/(B80+C80),0)</f>
        <v>154.5</v>
      </c>
      <c r="N80" s="0" t="n">
        <f aca="false">SUMIF(Games!$A$2:$A$186,$A80,Games!$H$2:$H$186)+SUMIF(Games!$B$2:$B$186,$A80,Games!$G$2:$G$186)</f>
        <v>371</v>
      </c>
      <c r="O80" s="0" t="n">
        <f aca="false">SUMIF(Games!$A$2:$A$186,$A80,Games!$I$2:$I$186)+SUMIF(Games!$B$2:$B$186,$A80,Games!$J$2:$J$186)</f>
        <v>4</v>
      </c>
      <c r="P80" s="0" t="n">
        <f aca="false">SUMIF(Games!$A$2:$A$186,$A80,Games!$J$2:$J$186)+SUMIF(Games!$B$2:$B$186,$A80,Games!$I$2:$I$186)</f>
        <v>3</v>
      </c>
      <c r="R80" s="0" t="n">
        <f aca="false">IFERROR((K80+N80)/(B80+C80),0)</f>
        <v>380.5</v>
      </c>
      <c r="S80" s="0" t="n">
        <f aca="false">P80-O80</f>
        <v>-1</v>
      </c>
      <c r="T80" s="0" t="n">
        <f aca="false">IFERROR((D80/(D80+E80))*(F80/(F80+G80)),0)</f>
        <v>0.0515304145679969</v>
      </c>
      <c r="U80" s="0" t="n">
        <f aca="false">RANK(T80,T$2:T$139)</f>
        <v>56</v>
      </c>
      <c r="V80" s="0" t="n">
        <f aca="false">IFERROR((B80/(B80+C80))*25,0)+IFERROR((D80/(D80+E80))*25,0)+IFERROR((F80/(F80+G80))*10,0)+H80+((J80-RMEAN)/RDEV)*5+((M80-PMEAN)/PDEV)*5+((DMEAN-R80)/DDEV)*7+((S80-TOMEAN)/TODEV)*3</f>
        <v>-15.8983258888565</v>
      </c>
    </row>
    <row r="81" customFormat="false" ht="15" hidden="false" customHeight="false" outlineLevel="0" collapsed="false">
      <c r="A81" s="0" t="s">
        <v>85</v>
      </c>
      <c r="B81" s="0" t="n">
        <f aca="false">SUMIF(Games!$A$2:$A$186,$A81,Games!$K$2:$K$186)+SUMIF(Games!$B$2:$B$186,$A81,Games!$L$2:$L$186)</f>
        <v>1</v>
      </c>
      <c r="C81" s="0" t="n">
        <f aca="false">SUMIF(Games!$A$2:$A$186,$A81,Games!$L$2:$L$186)+SUMIF(Games!$B$2:$B$186,$A81,Games!$K$2:$K$186)</f>
        <v>0</v>
      </c>
      <c r="D81" s="0" t="n">
        <f aca="false">SUMIF(Games!$A$2:$A$186,$A81,Games!$O$2:$O$186)+SUMIF(Games!$B$2:$B$186,$A81,Games!$M$2:$M$186)</f>
        <v>5</v>
      </c>
      <c r="E81" s="0" t="n">
        <f aca="false">SUMIF(Games!$A$2:$A$186,$A81,Games!$P$2:$P$186)+SUMIF(Games!$B$2:$B$186,$A81,Games!$N$2:$N$186)</f>
        <v>80</v>
      </c>
      <c r="F81" s="0" t="n">
        <f aca="false">SUMIF(Games!$A$2:$A$186,$A81,Games!$S$2:$S$186)+SUMIF(Games!$B$2:$B$186,$A81,Games!$Q$2:$Q$186)</f>
        <v>113</v>
      </c>
      <c r="G81" s="0" t="n">
        <f aca="false">SUMIF(Games!$A$2:$A$186,$A81,Games!$T$2:$T$186)+SUMIF(Games!$B$2:$B$186,$A81,Games!$R$2:$R$186)</f>
        <v>61</v>
      </c>
      <c r="H81" s="0" t="n">
        <f aca="false">SUMIF(Games!$A$2:$A$186,$A81,Games!$U$2:$U$186)+SUMIF(Games!$B$2:$B$186,$A81,Games!$V$2:$V$186)</f>
        <v>0.611223799864774</v>
      </c>
      <c r="I81" s="0" t="n">
        <f aca="false">SUMIF(Games!$A$2:$A$186,$A81,Games!$E$2:$E$186)+SUMIF(Games!$B$2:$B$186,$A81,Games!$F$2:$F$186)</f>
        <v>224</v>
      </c>
      <c r="J81" s="0" t="n">
        <f aca="false">IFERROR(I81/(B81+C81),0)</f>
        <v>224</v>
      </c>
      <c r="K81" s="0" t="n">
        <f aca="false">SUMIF(Games!$A$2:$A$186,$A81,Games!$F$2:$F$186)+SUMIF(Games!$B$2:$B$186,$A81,Games!$E$2:$E$186)</f>
        <v>147</v>
      </c>
      <c r="L81" s="0" t="n">
        <f aca="false">SUMIF(Games!$A$2:$A$186,$A81,Games!$G$2:$G$186)+SUMIF(Games!$B$2:$B$186,$A81,Games!$H$2:$H$186)</f>
        <v>273</v>
      </c>
      <c r="M81" s="0" t="n">
        <f aca="false">IFERROR(L81/(B81+C81),0)</f>
        <v>273</v>
      </c>
      <c r="N81" s="0" t="n">
        <f aca="false">SUMIF(Games!$A$2:$A$186,$A81,Games!$H$2:$H$186)+SUMIF(Games!$B$2:$B$186,$A81,Games!$G$2:$G$186)</f>
        <v>285</v>
      </c>
      <c r="O81" s="0" t="n">
        <f aca="false">SUMIF(Games!$A$2:$A$186,$A81,Games!$I$2:$I$186)+SUMIF(Games!$B$2:$B$186,$A81,Games!$J$2:$J$186)</f>
        <v>0</v>
      </c>
      <c r="P81" s="0" t="n">
        <f aca="false">SUMIF(Games!$A$2:$A$186,$A81,Games!$J$2:$J$186)+SUMIF(Games!$B$2:$B$186,$A81,Games!$I$2:$I$186)</f>
        <v>1</v>
      </c>
      <c r="R81" s="0" t="n">
        <f aca="false">IFERROR((K81+N81)/(B81+C81),0)</f>
        <v>432</v>
      </c>
      <c r="S81" s="0" t="n">
        <f aca="false">P81-O81</f>
        <v>1</v>
      </c>
      <c r="T81" s="0" t="n">
        <f aca="false">IFERROR((D81/(D81+E81))*(F81/(F81+G81)),0)</f>
        <v>0.0382014874915483</v>
      </c>
      <c r="U81" s="0" t="n">
        <f aca="false">RANK(T81,T$2:T$139)</f>
        <v>92</v>
      </c>
      <c r="V81" s="0" t="n">
        <f aca="false">IFERROR((B81/(B81+C81))*25,0)+IFERROR((D81/(D81+E81))*25,0)+IFERROR((F81/(F81+G81))*10,0)+H81+((J81-RMEAN)/RDEV)*5+((M81-PMEAN)/PDEV)*5+((DMEAN-R81)/DDEV)*7+((S81-TOMEAN)/TODEV)*3</f>
        <v>32.0790833101278</v>
      </c>
    </row>
    <row r="82" customFormat="false" ht="15" hidden="false" customHeight="false" outlineLevel="0" collapsed="false">
      <c r="A82" s="0" t="s">
        <v>86</v>
      </c>
      <c r="B82" s="0" t="n">
        <f aca="false">SUMIF(Games!$A$2:$A$186,$A82,Games!$K$2:$K$186)+SUMIF(Games!$B$2:$B$186,$A82,Games!$L$2:$L$186)</f>
        <v>2</v>
      </c>
      <c r="C82" s="0" t="n">
        <f aca="false">SUMIF(Games!$A$2:$A$186,$A82,Games!$L$2:$L$186)+SUMIF(Games!$B$2:$B$186,$A82,Games!$K$2:$K$186)</f>
        <v>0</v>
      </c>
      <c r="D82" s="0" t="n">
        <f aca="false">SUMIF(Games!$A$2:$A$186,$A82,Games!$O$2:$O$186)+SUMIF(Games!$B$2:$B$186,$A82,Games!$M$2:$M$186)</f>
        <v>2</v>
      </c>
      <c r="E82" s="0" t="n">
        <f aca="false">SUMIF(Games!$A$2:$A$186,$A82,Games!$P$2:$P$186)+SUMIF(Games!$B$2:$B$186,$A82,Games!$N$2:$N$186)</f>
        <v>2</v>
      </c>
      <c r="F82" s="0" t="n">
        <f aca="false">SUMIF(Games!$A$2:$A$186,$A82,Games!$S$2:$S$186)+SUMIF(Games!$B$2:$B$186,$A82,Games!$Q$2:$Q$186)</f>
        <v>14</v>
      </c>
      <c r="G82" s="0" t="n">
        <f aca="false">SUMIF(Games!$A$2:$A$186,$A82,Games!$T$2:$T$186)+SUMIF(Games!$B$2:$B$186,$A82,Games!$R$2:$R$186)</f>
        <v>160</v>
      </c>
      <c r="H82" s="0" t="n">
        <f aca="false">SUMIF(Games!$A$2:$A$186,$A82,Games!$U$2:$U$186)+SUMIF(Games!$B$2:$B$186,$A82,Games!$V$2:$V$186)</f>
        <v>2.53448275862069</v>
      </c>
      <c r="I82" s="0" t="n">
        <f aca="false">SUMIF(Games!$A$2:$A$186,$A82,Games!$E$2:$E$186)+SUMIF(Games!$B$2:$B$186,$A82,Games!$F$2:$F$186)</f>
        <v>229</v>
      </c>
      <c r="J82" s="0" t="n">
        <f aca="false">IFERROR(I82/(B82+C82),0)</f>
        <v>114.5</v>
      </c>
      <c r="K82" s="0" t="n">
        <f aca="false">SUMIF(Games!$A$2:$A$186,$A82,Games!$F$2:$F$186)+SUMIF(Games!$B$2:$B$186,$A82,Games!$E$2:$E$186)</f>
        <v>131</v>
      </c>
      <c r="L82" s="0" t="n">
        <f aca="false">SUMIF(Games!$A$2:$A$186,$A82,Games!$G$2:$G$186)+SUMIF(Games!$B$2:$B$186,$A82,Games!$H$2:$H$186)</f>
        <v>599</v>
      </c>
      <c r="M82" s="0" t="n">
        <f aca="false">IFERROR(L82/(B82+C82),0)</f>
        <v>299.5</v>
      </c>
      <c r="N82" s="0" t="n">
        <f aca="false">SUMIF(Games!$A$2:$A$186,$A82,Games!$H$2:$H$186)+SUMIF(Games!$B$2:$B$186,$A82,Games!$G$2:$G$186)</f>
        <v>281</v>
      </c>
      <c r="O82" s="0" t="n">
        <f aca="false">SUMIF(Games!$A$2:$A$186,$A82,Games!$I$2:$I$186)+SUMIF(Games!$B$2:$B$186,$A82,Games!$J$2:$J$186)</f>
        <v>0</v>
      </c>
      <c r="P82" s="0" t="n">
        <f aca="false">SUMIF(Games!$A$2:$A$186,$A82,Games!$J$2:$J$186)+SUMIF(Games!$B$2:$B$186,$A82,Games!$I$2:$I$186)</f>
        <v>6</v>
      </c>
      <c r="R82" s="0" t="n">
        <f aca="false">IFERROR((K82+N82)/(B82+C82),0)</f>
        <v>206</v>
      </c>
      <c r="S82" s="0" t="n">
        <f aca="false">P82-O82</f>
        <v>6</v>
      </c>
      <c r="T82" s="0" t="n">
        <f aca="false">IFERROR((D82/(D82+E82))*(F82/(F82+G82)),0)</f>
        <v>0.0402298850574713</v>
      </c>
      <c r="U82" s="0" t="n">
        <f aca="false">RANK(T82,T$2:T$139)</f>
        <v>87</v>
      </c>
      <c r="V82" s="0" t="n">
        <f aca="false">IFERROR((B82/(B82+C82))*25,0)+IFERROR((D82/(D82+E82))*25,0)+IFERROR((F82/(F82+G82))*10,0)+H82+((J82-RMEAN)/RDEV)*5+((M82-PMEAN)/PDEV)*5+((DMEAN-R82)/DDEV)*7+((S82-TOMEAN)/TODEV)*3</f>
        <v>56.9098812674683</v>
      </c>
    </row>
    <row r="83" customFormat="false" ht="15" hidden="false" customHeight="false" outlineLevel="0" collapsed="false">
      <c r="A83" s="0" t="s">
        <v>87</v>
      </c>
      <c r="B83" s="0" t="n">
        <f aca="false">SUMIF(Games!$A$2:$A$186,$A83,Games!$K$2:$K$186)+SUMIF(Games!$B$2:$B$186,$A83,Games!$L$2:$L$186)</f>
        <v>1</v>
      </c>
      <c r="C83" s="0" t="n">
        <f aca="false">SUMIF(Games!$A$2:$A$186,$A83,Games!$L$2:$L$186)+SUMIF(Games!$B$2:$B$186,$A83,Games!$K$2:$K$186)</f>
        <v>1</v>
      </c>
      <c r="D83" s="0" t="n">
        <f aca="false">SUMIF(Games!$A$2:$A$186,$A83,Games!$O$2:$O$186)+SUMIF(Games!$B$2:$B$186,$A83,Games!$M$2:$M$186)</f>
        <v>3</v>
      </c>
      <c r="E83" s="0" t="n">
        <f aca="false">SUMIF(Games!$A$2:$A$186,$A83,Games!$P$2:$P$186)+SUMIF(Games!$B$2:$B$186,$A83,Games!$N$2:$N$186)</f>
        <v>2</v>
      </c>
      <c r="F83" s="0" t="n">
        <f aca="false">SUMIF(Games!$A$2:$A$186,$A83,Games!$S$2:$S$186)+SUMIF(Games!$B$2:$B$186,$A83,Games!$Q$2:$Q$186)</f>
        <v>10</v>
      </c>
      <c r="G83" s="0" t="n">
        <f aca="false">SUMIF(Games!$A$2:$A$186,$A83,Games!$T$2:$T$186)+SUMIF(Games!$B$2:$B$186,$A83,Games!$R$2:$R$186)</f>
        <v>84</v>
      </c>
      <c r="H83" s="0" t="n">
        <f aca="false">SUMIF(Games!$A$2:$A$186,$A83,Games!$U$2:$U$186)+SUMIF(Games!$B$2:$B$186,$A83,Games!$V$2:$V$186)</f>
        <v>-2.03333333333333</v>
      </c>
      <c r="I83" s="0" t="n">
        <f aca="false">SUMIF(Games!$A$2:$A$186,$A83,Games!$E$2:$E$186)+SUMIF(Games!$B$2:$B$186,$A83,Games!$F$2:$F$186)</f>
        <v>304</v>
      </c>
      <c r="J83" s="0" t="n">
        <f aca="false">IFERROR(I83/(B83+C83),0)</f>
        <v>152</v>
      </c>
      <c r="K83" s="0" t="n">
        <f aca="false">SUMIF(Games!$A$2:$A$186,$A83,Games!$F$2:$F$186)+SUMIF(Games!$B$2:$B$186,$A83,Games!$E$2:$E$186)</f>
        <v>409</v>
      </c>
      <c r="L83" s="0" t="n">
        <f aca="false">SUMIF(Games!$A$2:$A$186,$A83,Games!$G$2:$G$186)+SUMIF(Games!$B$2:$B$186,$A83,Games!$H$2:$H$186)</f>
        <v>261</v>
      </c>
      <c r="M83" s="0" t="n">
        <f aca="false">IFERROR(L83/(B83+C83),0)</f>
        <v>130.5</v>
      </c>
      <c r="N83" s="0" t="n">
        <f aca="false">SUMIF(Games!$A$2:$A$186,$A83,Games!$H$2:$H$186)+SUMIF(Games!$B$2:$B$186,$A83,Games!$G$2:$G$186)</f>
        <v>561</v>
      </c>
      <c r="O83" s="0" t="n">
        <f aca="false">SUMIF(Games!$A$2:$A$186,$A83,Games!$I$2:$I$186)+SUMIF(Games!$B$2:$B$186,$A83,Games!$J$2:$J$186)</f>
        <v>1</v>
      </c>
      <c r="P83" s="0" t="n">
        <f aca="false">SUMIF(Games!$A$2:$A$186,$A83,Games!$J$2:$J$186)+SUMIF(Games!$B$2:$B$186,$A83,Games!$I$2:$I$186)</f>
        <v>1</v>
      </c>
      <c r="R83" s="0" t="n">
        <f aca="false">IFERROR((K83+N83)/(B83+C83),0)</f>
        <v>485</v>
      </c>
      <c r="S83" s="0" t="n">
        <f aca="false">P83-O83</f>
        <v>0</v>
      </c>
      <c r="T83" s="0" t="n">
        <f aca="false">IFERROR((D83/(D83+E83))*(F83/(F83+G83)),0)</f>
        <v>0.0638297872340426</v>
      </c>
      <c r="U83" s="0" t="n">
        <f aca="false">RANK(T83,T$2:T$139)</f>
        <v>23</v>
      </c>
      <c r="V83" s="0" t="n">
        <f aca="false">IFERROR((B83/(B83+C83))*25,0)+IFERROR((D83/(D83+E83))*25,0)+IFERROR((F83/(F83+G83))*10,0)+H83+((J83-RMEAN)/RDEV)*5+((M83-PMEAN)/PDEV)*5+((DMEAN-R83)/DDEV)*7+((S83-TOMEAN)/TODEV)*3</f>
        <v>4.36157106296684</v>
      </c>
    </row>
    <row r="84" customFormat="false" ht="15" hidden="false" customHeight="false" outlineLevel="0" collapsed="false">
      <c r="A84" s="0" t="s">
        <v>88</v>
      </c>
      <c r="B84" s="0" t="n">
        <f aca="false">SUMIF(Games!$A$2:$A$186,$A84,Games!$K$2:$K$186)+SUMIF(Games!$B$2:$B$186,$A84,Games!$L$2:$L$186)</f>
        <v>1</v>
      </c>
      <c r="C84" s="0" t="n">
        <f aca="false">SUMIF(Games!$A$2:$A$186,$A84,Games!$L$2:$L$186)+SUMIF(Games!$B$2:$B$186,$A84,Games!$K$2:$K$186)</f>
        <v>1</v>
      </c>
      <c r="D84" s="0" t="n">
        <f aca="false">SUMIF(Games!$A$2:$A$186,$A84,Games!$O$2:$O$186)+SUMIF(Games!$B$2:$B$186,$A84,Games!$M$2:$M$186)</f>
        <v>3</v>
      </c>
      <c r="E84" s="0" t="n">
        <f aca="false">SUMIF(Games!$A$2:$A$186,$A84,Games!$P$2:$P$186)+SUMIF(Games!$B$2:$B$186,$A84,Games!$N$2:$N$186)</f>
        <v>1</v>
      </c>
      <c r="F84" s="0" t="n">
        <f aca="false">SUMIF(Games!$A$2:$A$186,$A84,Games!$S$2:$S$186)+SUMIF(Games!$B$2:$B$186,$A84,Games!$Q$2:$Q$186)</f>
        <v>7</v>
      </c>
      <c r="G84" s="0" t="n">
        <f aca="false">SUMIF(Games!$A$2:$A$186,$A84,Games!$T$2:$T$186)+SUMIF(Games!$B$2:$B$186,$A84,Games!$R$2:$R$186)</f>
        <v>84</v>
      </c>
      <c r="H84" s="0" t="n">
        <f aca="false">SUMIF(Games!$A$2:$A$186,$A84,Games!$U$2:$U$186)+SUMIF(Games!$B$2:$B$186,$A84,Games!$V$2:$V$186)</f>
        <v>1.13189655172414</v>
      </c>
      <c r="I84" s="0" t="n">
        <f aca="false">SUMIF(Games!$A$2:$A$186,$A84,Games!$E$2:$E$186)+SUMIF(Games!$B$2:$B$186,$A84,Games!$F$2:$F$186)</f>
        <v>331</v>
      </c>
      <c r="J84" s="0" t="n">
        <f aca="false">IFERROR(I84/(B84+C84),0)</f>
        <v>165.5</v>
      </c>
      <c r="K84" s="0" t="n">
        <f aca="false">SUMIF(Games!$A$2:$A$186,$A84,Games!$F$2:$F$186)+SUMIF(Games!$B$2:$B$186,$A84,Games!$E$2:$E$186)</f>
        <v>186</v>
      </c>
      <c r="L84" s="0" t="n">
        <f aca="false">SUMIF(Games!$A$2:$A$186,$A84,Games!$G$2:$G$186)+SUMIF(Games!$B$2:$B$186,$A84,Games!$H$2:$H$186)</f>
        <v>712</v>
      </c>
      <c r="M84" s="0" t="n">
        <f aca="false">IFERROR(L84/(B84+C84),0)</f>
        <v>356</v>
      </c>
      <c r="N84" s="0" t="n">
        <f aca="false">SUMIF(Games!$A$2:$A$186,$A84,Games!$H$2:$H$186)+SUMIF(Games!$B$2:$B$186,$A84,Games!$G$2:$G$186)</f>
        <v>315</v>
      </c>
      <c r="O84" s="0" t="n">
        <f aca="false">SUMIF(Games!$A$2:$A$186,$A84,Games!$I$2:$I$186)+SUMIF(Games!$B$2:$B$186,$A84,Games!$J$2:$J$186)</f>
        <v>2</v>
      </c>
      <c r="P84" s="0" t="n">
        <f aca="false">SUMIF(Games!$A$2:$A$186,$A84,Games!$J$2:$J$186)+SUMIF(Games!$B$2:$B$186,$A84,Games!$I$2:$I$186)</f>
        <v>3</v>
      </c>
      <c r="R84" s="0" t="n">
        <f aca="false">IFERROR((K84+N84)/(B84+C84),0)</f>
        <v>250.5</v>
      </c>
      <c r="S84" s="0" t="n">
        <f aca="false">P84-O84</f>
        <v>1</v>
      </c>
      <c r="T84" s="0" t="n">
        <f aca="false">IFERROR((D84/(D84+E84))*(F84/(F84+G84)),0)</f>
        <v>0.0576923076923077</v>
      </c>
      <c r="U84" s="0" t="n">
        <f aca="false">RANK(T84,T$2:T$139)</f>
        <v>28</v>
      </c>
      <c r="V84" s="0" t="n">
        <f aca="false">IFERROR((B84/(B84+C84))*25,0)+IFERROR((D84/(D84+E84))*25,0)+IFERROR((F84/(F84+G84))*10,0)+H84+((J84-RMEAN)/RDEV)*5+((M84-PMEAN)/PDEV)*5+((DMEAN-R84)/DDEV)*7+((S84-TOMEAN)/TODEV)*3</f>
        <v>47.4199738684216</v>
      </c>
    </row>
    <row r="85" customFormat="false" ht="15" hidden="false" customHeight="false" outlineLevel="0" collapsed="false">
      <c r="A85" s="0" t="s">
        <v>89</v>
      </c>
      <c r="B85" s="0" t="n">
        <f aca="false">SUMIF(Games!$A$2:$A$186,$A85,Games!$K$2:$K$186)+SUMIF(Games!$B$2:$B$186,$A85,Games!$L$2:$L$186)</f>
        <v>1</v>
      </c>
      <c r="C85" s="0" t="n">
        <f aca="false">SUMIF(Games!$A$2:$A$186,$A85,Games!$L$2:$L$186)+SUMIF(Games!$B$2:$B$186,$A85,Games!$K$2:$K$186)</f>
        <v>1</v>
      </c>
      <c r="D85" s="0" t="n">
        <f aca="false">SUMIF(Games!$A$2:$A$186,$A85,Games!$O$2:$O$186)+SUMIF(Games!$B$2:$B$186,$A85,Games!$M$2:$M$186)</f>
        <v>3</v>
      </c>
      <c r="E85" s="0" t="n">
        <f aca="false">SUMIF(Games!$A$2:$A$186,$A85,Games!$P$2:$P$186)+SUMIF(Games!$B$2:$B$186,$A85,Games!$N$2:$N$186)</f>
        <v>1</v>
      </c>
      <c r="F85" s="0" t="n">
        <f aca="false">SUMIF(Games!$A$2:$A$186,$A85,Games!$S$2:$S$186)+SUMIF(Games!$B$2:$B$186,$A85,Games!$Q$2:$Q$186)</f>
        <v>8</v>
      </c>
      <c r="G85" s="0" t="n">
        <f aca="false">SUMIF(Games!$A$2:$A$186,$A85,Games!$T$2:$T$186)+SUMIF(Games!$B$2:$B$186,$A85,Games!$R$2:$R$186)</f>
        <v>83</v>
      </c>
      <c r="H85" s="0" t="n">
        <f aca="false">SUMIF(Games!$A$2:$A$186,$A85,Games!$U$2:$U$186)+SUMIF(Games!$B$2:$B$186,$A85,Games!$V$2:$V$186)</f>
        <v>0.856896551724138</v>
      </c>
      <c r="I85" s="0" t="n">
        <f aca="false">SUMIF(Games!$A$2:$A$186,$A85,Games!$E$2:$E$186)+SUMIF(Games!$B$2:$B$186,$A85,Games!$F$2:$F$186)</f>
        <v>270</v>
      </c>
      <c r="J85" s="0" t="n">
        <f aca="false">IFERROR(I85/(B85+C85),0)</f>
        <v>135</v>
      </c>
      <c r="K85" s="0" t="n">
        <f aca="false">SUMIF(Games!$A$2:$A$186,$A85,Games!$F$2:$F$186)+SUMIF(Games!$B$2:$B$186,$A85,Games!$E$2:$E$186)</f>
        <v>264</v>
      </c>
      <c r="L85" s="0" t="n">
        <f aca="false">SUMIF(Games!$A$2:$A$186,$A85,Games!$G$2:$G$186)+SUMIF(Games!$B$2:$B$186,$A85,Games!$H$2:$H$186)</f>
        <v>420</v>
      </c>
      <c r="M85" s="0" t="n">
        <f aca="false">IFERROR(L85/(B85+C85),0)</f>
        <v>210</v>
      </c>
      <c r="N85" s="0" t="n">
        <f aca="false">SUMIF(Games!$A$2:$A$186,$A85,Games!$H$2:$H$186)+SUMIF(Games!$B$2:$B$186,$A85,Games!$G$2:$G$186)</f>
        <v>197</v>
      </c>
      <c r="O85" s="0" t="n">
        <f aca="false">SUMIF(Games!$A$2:$A$186,$A85,Games!$I$2:$I$186)+SUMIF(Games!$B$2:$B$186,$A85,Games!$J$2:$J$186)</f>
        <v>3</v>
      </c>
      <c r="P85" s="0" t="n">
        <f aca="false">SUMIF(Games!$A$2:$A$186,$A85,Games!$J$2:$J$186)+SUMIF(Games!$B$2:$B$186,$A85,Games!$I$2:$I$186)</f>
        <v>2</v>
      </c>
      <c r="R85" s="0" t="n">
        <f aca="false">IFERROR((K85+N85)/(B85+C85),0)</f>
        <v>230.5</v>
      </c>
      <c r="S85" s="0" t="n">
        <f aca="false">P85-O85</f>
        <v>-1</v>
      </c>
      <c r="T85" s="0" t="n">
        <f aca="false">IFERROR((D85/(D85+E85))*(F85/(F85+G85)),0)</f>
        <v>0.0659340659340659</v>
      </c>
      <c r="U85" s="0" t="n">
        <f aca="false">RANK(T85,T$2:T$139)</f>
        <v>12</v>
      </c>
      <c r="V85" s="0" t="n">
        <f aca="false">IFERROR((B85/(B85+C85))*25,0)+IFERROR((D85/(D85+E85))*25,0)+IFERROR((F85/(F85+G85))*10,0)+H85+((J85-RMEAN)/RDEV)*5+((M85-PMEAN)/PDEV)*5+((DMEAN-R85)/DDEV)*7+((S85-TOMEAN)/TODEV)*3</f>
        <v>34.0948312708693</v>
      </c>
    </row>
    <row r="86" customFormat="false" ht="15" hidden="false" customHeight="false" outlineLevel="0" collapsed="false">
      <c r="A86" s="0" t="s">
        <v>90</v>
      </c>
      <c r="B86" s="0" t="n">
        <f aca="false">SUMIF(Games!$A$2:$A$186,$A86,Games!$K$2:$K$186)+SUMIF(Games!$B$2:$B$186,$A86,Games!$L$2:$L$186)</f>
        <v>1</v>
      </c>
      <c r="C86" s="0" t="n">
        <f aca="false">SUMIF(Games!$A$2:$A$186,$A86,Games!$L$2:$L$186)+SUMIF(Games!$B$2:$B$186,$A86,Games!$K$2:$K$186)</f>
        <v>1</v>
      </c>
      <c r="D86" s="0" t="n">
        <f aca="false">SUMIF(Games!$A$2:$A$186,$A86,Games!$O$2:$O$186)+SUMIF(Games!$B$2:$B$186,$A86,Games!$M$2:$M$186)</f>
        <v>3</v>
      </c>
      <c r="E86" s="0" t="n">
        <f aca="false">SUMIF(Games!$A$2:$A$186,$A86,Games!$P$2:$P$186)+SUMIF(Games!$B$2:$B$186,$A86,Games!$N$2:$N$186)</f>
        <v>1</v>
      </c>
      <c r="F86" s="0" t="n">
        <f aca="false">SUMIF(Games!$A$2:$A$186,$A86,Games!$S$2:$S$186)+SUMIF(Games!$B$2:$B$186,$A86,Games!$Q$2:$Q$186)</f>
        <v>3</v>
      </c>
      <c r="G86" s="0" t="n">
        <f aca="false">SUMIF(Games!$A$2:$A$186,$A86,Games!$T$2:$T$186)+SUMIF(Games!$B$2:$B$186,$A86,Games!$R$2:$R$186)</f>
        <v>5</v>
      </c>
      <c r="H86" s="0" t="n">
        <f aca="false">SUMIF(Games!$A$2:$A$186,$A86,Games!$U$2:$U$186)+SUMIF(Games!$B$2:$B$186,$A86,Games!$V$2:$V$186)</f>
        <v>0.95</v>
      </c>
      <c r="I86" s="0" t="n">
        <f aca="false">SUMIF(Games!$A$2:$A$186,$A86,Games!$E$2:$E$186)+SUMIF(Games!$B$2:$B$186,$A86,Games!$F$2:$F$186)</f>
        <v>364</v>
      </c>
      <c r="J86" s="0" t="n">
        <f aca="false">IFERROR(I86/(B86+C86),0)</f>
        <v>182</v>
      </c>
      <c r="K86" s="0" t="n">
        <f aca="false">SUMIF(Games!$A$2:$A$186,$A86,Games!$F$2:$F$186)+SUMIF(Games!$B$2:$B$186,$A86,Games!$E$2:$E$186)</f>
        <v>224</v>
      </c>
      <c r="L86" s="0" t="n">
        <f aca="false">SUMIF(Games!$A$2:$A$186,$A86,Games!$G$2:$G$186)+SUMIF(Games!$B$2:$B$186,$A86,Games!$H$2:$H$186)</f>
        <v>558</v>
      </c>
      <c r="M86" s="0" t="n">
        <f aca="false">IFERROR(L86/(B86+C86),0)</f>
        <v>279</v>
      </c>
      <c r="N86" s="0" t="n">
        <f aca="false">SUMIF(Games!$A$2:$A$186,$A86,Games!$H$2:$H$186)+SUMIF(Games!$B$2:$B$186,$A86,Games!$G$2:$G$186)</f>
        <v>418</v>
      </c>
      <c r="O86" s="0" t="n">
        <f aca="false">SUMIF(Games!$A$2:$A$186,$A86,Games!$I$2:$I$186)+SUMIF(Games!$B$2:$B$186,$A86,Games!$J$2:$J$186)</f>
        <v>6</v>
      </c>
      <c r="P86" s="0" t="n">
        <f aca="false">SUMIF(Games!$A$2:$A$186,$A86,Games!$J$2:$J$186)+SUMIF(Games!$B$2:$B$186,$A86,Games!$I$2:$I$186)</f>
        <v>2</v>
      </c>
      <c r="R86" s="0" t="n">
        <f aca="false">IFERROR((K86+N86)/(B86+C86),0)</f>
        <v>321</v>
      </c>
      <c r="S86" s="0" t="n">
        <f aca="false">P86-O86</f>
        <v>-4</v>
      </c>
      <c r="T86" s="0" t="n">
        <f aca="false">IFERROR((D86/(D86+E86))*(F86/(F86+G86)),0)</f>
        <v>0.28125</v>
      </c>
      <c r="U86" s="0" t="n">
        <f aca="false">RANK(T86,T$2:T$139)</f>
        <v>3</v>
      </c>
      <c r="V86" s="0" t="n">
        <f aca="false">IFERROR((B86/(B86+C86))*25,0)+IFERROR((D86/(D86+E86))*25,0)+IFERROR((F86/(F86+G86))*10,0)+H86+((J86-RMEAN)/RDEV)*5+((M86-PMEAN)/PDEV)*5+((DMEAN-R86)/DDEV)*7+((S86-TOMEAN)/TODEV)*3</f>
        <v>34.5472260892908</v>
      </c>
    </row>
    <row r="87" customFormat="false" ht="15" hidden="false" customHeight="false" outlineLevel="0" collapsed="false">
      <c r="A87" s="0" t="s">
        <v>91</v>
      </c>
      <c r="B87" s="0" t="n">
        <f aca="false">SUMIF(Games!$A$2:$A$186,$A87,Games!$K$2:$K$186)+SUMIF(Games!$B$2:$B$186,$A87,Games!$L$2:$L$186)</f>
        <v>1</v>
      </c>
      <c r="C87" s="0" t="n">
        <f aca="false">SUMIF(Games!$A$2:$A$186,$A87,Games!$L$2:$L$186)+SUMIF(Games!$B$2:$B$186,$A87,Games!$K$2:$K$186)</f>
        <v>1</v>
      </c>
      <c r="D87" s="0" t="n">
        <f aca="false">SUMIF(Games!$A$2:$A$186,$A87,Games!$O$2:$O$186)+SUMIF(Games!$B$2:$B$186,$A87,Games!$M$2:$M$186)</f>
        <v>7</v>
      </c>
      <c r="E87" s="0" t="n">
        <f aca="false">SUMIF(Games!$A$2:$A$186,$A87,Games!$P$2:$P$186)+SUMIF(Games!$B$2:$B$186,$A87,Games!$N$2:$N$186)</f>
        <v>80</v>
      </c>
      <c r="F87" s="0" t="n">
        <f aca="false">SUMIF(Games!$A$2:$A$186,$A87,Games!$S$2:$S$186)+SUMIF(Games!$B$2:$B$186,$A87,Games!$Q$2:$Q$186)</f>
        <v>119</v>
      </c>
      <c r="G87" s="0" t="n">
        <f aca="false">SUMIF(Games!$A$2:$A$186,$A87,Games!$T$2:$T$186)+SUMIF(Games!$B$2:$B$186,$A87,Games!$R$2:$R$186)</f>
        <v>142</v>
      </c>
      <c r="H87" s="0" t="n">
        <f aca="false">SUMIF(Games!$A$2:$A$186,$A87,Games!$U$2:$U$186)+SUMIF(Games!$B$2:$B$186,$A87,Games!$V$2:$V$186)</f>
        <v>-1.33914807302231</v>
      </c>
      <c r="I87" s="0" t="n">
        <f aca="false">SUMIF(Games!$A$2:$A$186,$A87,Games!$E$2:$E$186)+SUMIF(Games!$B$2:$B$186,$A87,Games!$F$2:$F$186)</f>
        <v>305</v>
      </c>
      <c r="J87" s="0" t="n">
        <f aca="false">IFERROR(I87/(B87+C87),0)</f>
        <v>152.5</v>
      </c>
      <c r="K87" s="0" t="n">
        <f aca="false">SUMIF(Games!$A$2:$A$186,$A87,Games!$F$2:$F$186)+SUMIF(Games!$B$2:$B$186,$A87,Games!$E$2:$E$186)</f>
        <v>215</v>
      </c>
      <c r="L87" s="0" t="n">
        <f aca="false">SUMIF(Games!$A$2:$A$186,$A87,Games!$G$2:$G$186)+SUMIF(Games!$B$2:$B$186,$A87,Games!$H$2:$H$186)</f>
        <v>324</v>
      </c>
      <c r="M87" s="0" t="n">
        <f aca="false">IFERROR(L87/(B87+C87),0)</f>
        <v>162</v>
      </c>
      <c r="N87" s="0" t="n">
        <f aca="false">SUMIF(Games!$A$2:$A$186,$A87,Games!$H$2:$H$186)+SUMIF(Games!$B$2:$B$186,$A87,Games!$G$2:$G$186)</f>
        <v>421</v>
      </c>
      <c r="O87" s="0" t="n">
        <f aca="false">SUMIF(Games!$A$2:$A$186,$A87,Games!$I$2:$I$186)+SUMIF(Games!$B$2:$B$186,$A87,Games!$J$2:$J$186)</f>
        <v>5</v>
      </c>
      <c r="P87" s="0" t="n">
        <f aca="false">SUMIF(Games!$A$2:$A$186,$A87,Games!$J$2:$J$186)+SUMIF(Games!$B$2:$B$186,$A87,Games!$I$2:$I$186)</f>
        <v>5</v>
      </c>
      <c r="R87" s="0" t="n">
        <f aca="false">IFERROR((K87+N87)/(B87+C87),0)</f>
        <v>318</v>
      </c>
      <c r="S87" s="0" t="n">
        <f aca="false">P87-O87</f>
        <v>0</v>
      </c>
      <c r="T87" s="0" t="n">
        <f aca="false">IFERROR((D87/(D87+E87))*(F87/(F87+G87)),0)</f>
        <v>0.0366847227727133</v>
      </c>
      <c r="U87" s="0" t="n">
        <f aca="false">RANK(T87,T$2:T$139)</f>
        <v>104</v>
      </c>
      <c r="V87" s="0" t="n">
        <f aca="false">IFERROR((B87/(B87+C87))*25,0)+IFERROR((D87/(D87+E87))*25,0)+IFERROR((F87/(F87+G87))*10,0)+H87+((J87-RMEAN)/RDEV)*5+((M87-PMEAN)/PDEV)*5+((DMEAN-R87)/DDEV)*7+((S87-TOMEAN)/TODEV)*3</f>
        <v>11.0811532237751</v>
      </c>
    </row>
    <row r="88" customFormat="false" ht="15" hidden="false" customHeight="false" outlineLevel="0" collapsed="false">
      <c r="A88" s="0" t="s">
        <v>92</v>
      </c>
      <c r="B88" s="0" t="n">
        <f aca="false">SUMIF(Games!$A$2:$A$186,$A88,Games!$K$2:$K$186)+SUMIF(Games!$B$2:$B$186,$A88,Games!$L$2:$L$186)</f>
        <v>2</v>
      </c>
      <c r="C88" s="0" t="n">
        <f aca="false">SUMIF(Games!$A$2:$A$186,$A88,Games!$L$2:$L$186)+SUMIF(Games!$B$2:$B$186,$A88,Games!$K$2:$K$186)</f>
        <v>0</v>
      </c>
      <c r="D88" s="0" t="n">
        <f aca="false">SUMIF(Games!$A$2:$A$186,$A88,Games!$O$2:$O$186)+SUMIF(Games!$B$2:$B$186,$A88,Games!$M$2:$M$186)</f>
        <v>1</v>
      </c>
      <c r="E88" s="0" t="n">
        <f aca="false">SUMIF(Games!$A$2:$A$186,$A88,Games!$P$2:$P$186)+SUMIF(Games!$B$2:$B$186,$A88,Games!$N$2:$N$186)</f>
        <v>3</v>
      </c>
      <c r="F88" s="0" t="n">
        <f aca="false">SUMIF(Games!$A$2:$A$186,$A88,Games!$S$2:$S$186)+SUMIF(Games!$B$2:$B$186,$A88,Games!$Q$2:$Q$186)</f>
        <v>14</v>
      </c>
      <c r="G88" s="0" t="n">
        <f aca="false">SUMIF(Games!$A$2:$A$186,$A88,Games!$T$2:$T$186)+SUMIF(Games!$B$2:$B$186,$A88,Games!$R$2:$R$186)</f>
        <v>160</v>
      </c>
      <c r="H88" s="0" t="n">
        <f aca="false">SUMIF(Games!$A$2:$A$186,$A88,Games!$U$2:$U$186)+SUMIF(Games!$B$2:$B$186,$A88,Games!$V$2:$V$186)</f>
        <v>0.120689655172414</v>
      </c>
      <c r="I88" s="0" t="n">
        <f aca="false">SUMIF(Games!$A$2:$A$186,$A88,Games!$E$2:$E$186)+SUMIF(Games!$B$2:$B$186,$A88,Games!$F$2:$F$186)</f>
        <v>279</v>
      </c>
      <c r="J88" s="0" t="n">
        <f aca="false">IFERROR(I88/(B88+C88),0)</f>
        <v>139.5</v>
      </c>
      <c r="K88" s="0" t="n">
        <f aca="false">SUMIF(Games!$A$2:$A$186,$A88,Games!$F$2:$F$186)+SUMIF(Games!$B$2:$B$186,$A88,Games!$E$2:$E$186)</f>
        <v>305</v>
      </c>
      <c r="L88" s="0" t="n">
        <f aca="false">SUMIF(Games!$A$2:$A$186,$A88,Games!$G$2:$G$186)+SUMIF(Games!$B$2:$B$186,$A88,Games!$H$2:$H$186)</f>
        <v>629</v>
      </c>
      <c r="M88" s="0" t="n">
        <f aca="false">IFERROR(L88/(B88+C88),0)</f>
        <v>314.5</v>
      </c>
      <c r="N88" s="0" t="n">
        <f aca="false">SUMIF(Games!$A$2:$A$186,$A88,Games!$H$2:$H$186)+SUMIF(Games!$B$2:$B$186,$A88,Games!$G$2:$G$186)</f>
        <v>486</v>
      </c>
      <c r="O88" s="0" t="n">
        <f aca="false">SUMIF(Games!$A$2:$A$186,$A88,Games!$I$2:$I$186)+SUMIF(Games!$B$2:$B$186,$A88,Games!$J$2:$J$186)</f>
        <v>3</v>
      </c>
      <c r="P88" s="0" t="n">
        <f aca="false">SUMIF(Games!$A$2:$A$186,$A88,Games!$J$2:$J$186)+SUMIF(Games!$B$2:$B$186,$A88,Games!$I$2:$I$186)</f>
        <v>1</v>
      </c>
      <c r="R88" s="0" t="n">
        <f aca="false">IFERROR((K88+N88)/(B88+C88),0)</f>
        <v>395.5</v>
      </c>
      <c r="S88" s="0" t="n">
        <f aca="false">P88-O88</f>
        <v>-2</v>
      </c>
      <c r="T88" s="0" t="n">
        <f aca="false">IFERROR((D88/(D88+E88))*(F88/(F88+G88)),0)</f>
        <v>0.0201149425287356</v>
      </c>
      <c r="U88" s="0" t="n">
        <f aca="false">RANK(T88,T$2:T$139)</f>
        <v>136</v>
      </c>
      <c r="V88" s="0" t="n">
        <f aca="false">IFERROR((B88/(B88+C88))*25,0)+IFERROR((D88/(D88+E88))*25,0)+IFERROR((F88/(F88+G88))*10,0)+H88+((J88-RMEAN)/RDEV)*5+((M88-PMEAN)/PDEV)*5+((DMEAN-R88)/DDEV)*7+((S88-TOMEAN)/TODEV)*3</f>
        <v>26.4681315872422</v>
      </c>
    </row>
    <row r="89" customFormat="false" ht="15" hidden="false" customHeight="false" outlineLevel="0" collapsed="false">
      <c r="A89" s="0" t="s">
        <v>93</v>
      </c>
      <c r="B89" s="0" t="n">
        <f aca="false">SUMIF(Games!$A$2:$A$186,$A89,Games!$K$2:$K$186)+SUMIF(Games!$B$2:$B$186,$A89,Games!$L$2:$L$186)</f>
        <v>1</v>
      </c>
      <c r="C89" s="0" t="n">
        <f aca="false">SUMIF(Games!$A$2:$A$186,$A89,Games!$L$2:$L$186)+SUMIF(Games!$B$2:$B$186,$A89,Games!$K$2:$K$186)</f>
        <v>1</v>
      </c>
      <c r="D89" s="0" t="n">
        <f aca="false">SUMIF(Games!$A$2:$A$186,$A89,Games!$O$2:$O$186)+SUMIF(Games!$B$2:$B$186,$A89,Games!$M$2:$M$186)</f>
        <v>2</v>
      </c>
      <c r="E89" s="0" t="n">
        <f aca="false">SUMIF(Games!$A$2:$A$186,$A89,Games!$P$2:$P$186)+SUMIF(Games!$B$2:$B$186,$A89,Games!$N$2:$N$186)</f>
        <v>2</v>
      </c>
      <c r="F89" s="0" t="n">
        <f aca="false">SUMIF(Games!$A$2:$A$186,$A89,Games!$S$2:$S$186)+SUMIF(Games!$B$2:$B$186,$A89,Games!$Q$2:$Q$186)</f>
        <v>6</v>
      </c>
      <c r="G89" s="0" t="n">
        <f aca="false">SUMIF(Games!$A$2:$A$186,$A89,Games!$T$2:$T$186)+SUMIF(Games!$B$2:$B$186,$A89,Games!$R$2:$R$186)</f>
        <v>3</v>
      </c>
      <c r="H89" s="0" t="n">
        <f aca="false">SUMIF(Games!$A$2:$A$186,$A89,Games!$U$2:$U$186)+SUMIF(Games!$B$2:$B$186,$A89,Games!$V$2:$V$186)</f>
        <v>1.1</v>
      </c>
      <c r="I89" s="0" t="n">
        <f aca="false">SUMIF(Games!$A$2:$A$186,$A89,Games!$E$2:$E$186)+SUMIF(Games!$B$2:$B$186,$A89,Games!$F$2:$F$186)</f>
        <v>209</v>
      </c>
      <c r="J89" s="0" t="n">
        <f aca="false">IFERROR(I89/(B89+C89),0)</f>
        <v>104.5</v>
      </c>
      <c r="K89" s="0" t="n">
        <f aca="false">SUMIF(Games!$A$2:$A$186,$A89,Games!$F$2:$F$186)+SUMIF(Games!$B$2:$B$186,$A89,Games!$E$2:$E$186)</f>
        <v>330</v>
      </c>
      <c r="L89" s="0" t="n">
        <f aca="false">SUMIF(Games!$A$2:$A$186,$A89,Games!$G$2:$G$186)+SUMIF(Games!$B$2:$B$186,$A89,Games!$H$2:$H$186)</f>
        <v>569</v>
      </c>
      <c r="M89" s="0" t="n">
        <f aca="false">IFERROR(L89/(B89+C89),0)</f>
        <v>284.5</v>
      </c>
      <c r="N89" s="0" t="n">
        <f aca="false">SUMIF(Games!$A$2:$A$186,$A89,Games!$H$2:$H$186)+SUMIF(Games!$B$2:$B$186,$A89,Games!$G$2:$G$186)</f>
        <v>498</v>
      </c>
      <c r="O89" s="0" t="n">
        <f aca="false">SUMIF(Games!$A$2:$A$186,$A89,Games!$I$2:$I$186)+SUMIF(Games!$B$2:$B$186,$A89,Games!$J$2:$J$186)</f>
        <v>2</v>
      </c>
      <c r="P89" s="0" t="n">
        <f aca="false">SUMIF(Games!$A$2:$A$186,$A89,Games!$J$2:$J$186)+SUMIF(Games!$B$2:$B$186,$A89,Games!$I$2:$I$186)</f>
        <v>2</v>
      </c>
      <c r="R89" s="0" t="n">
        <f aca="false">IFERROR((K89+N89)/(B89+C89),0)</f>
        <v>414</v>
      </c>
      <c r="S89" s="0" t="n">
        <f aca="false">P89-O89</f>
        <v>0</v>
      </c>
      <c r="T89" s="0" t="n">
        <f aca="false">IFERROR((D89/(D89+E89))*(F89/(F89+G89)),0)</f>
        <v>0.333333333333333</v>
      </c>
      <c r="U89" s="0" t="n">
        <f aca="false">RANK(T89,T$2:T$139)</f>
        <v>2</v>
      </c>
      <c r="V89" s="0" t="n">
        <f aca="false">IFERROR((B89/(B89+C89))*25,0)+IFERROR((D89/(D89+E89))*25,0)+IFERROR((F89/(F89+G89))*10,0)+H89+((J89-RMEAN)/RDEV)*5+((M89-PMEAN)/PDEV)*5+((DMEAN-R89)/DDEV)*7+((S89-TOMEAN)/TODEV)*3</f>
        <v>23.2749778015014</v>
      </c>
    </row>
    <row r="90" customFormat="false" ht="15" hidden="false" customHeight="false" outlineLevel="0" collapsed="false">
      <c r="A90" s="0" t="s">
        <v>94</v>
      </c>
      <c r="B90" s="0" t="n">
        <f aca="false">SUMIF(Games!$A$2:$A$186,$A90,Games!$K$2:$K$186)+SUMIF(Games!$B$2:$B$186,$A90,Games!$L$2:$L$186)</f>
        <v>0</v>
      </c>
      <c r="C90" s="0" t="n">
        <f aca="false">SUMIF(Games!$A$2:$A$186,$A90,Games!$L$2:$L$186)+SUMIF(Games!$B$2:$B$186,$A90,Games!$K$2:$K$186)</f>
        <v>2</v>
      </c>
      <c r="D90" s="0" t="n">
        <f aca="false">SUMIF(Games!$A$2:$A$186,$A90,Games!$O$2:$O$186)+SUMIF(Games!$B$2:$B$186,$A90,Games!$M$2:$M$186)</f>
        <v>4</v>
      </c>
      <c r="E90" s="0" t="n">
        <f aca="false">SUMIF(Games!$A$2:$A$186,$A90,Games!$P$2:$P$186)+SUMIF(Games!$B$2:$B$186,$A90,Games!$N$2:$N$186)</f>
        <v>0</v>
      </c>
      <c r="F90" s="0" t="n">
        <f aca="false">SUMIF(Games!$A$2:$A$186,$A90,Games!$S$2:$S$186)+SUMIF(Games!$B$2:$B$186,$A90,Games!$Q$2:$Q$186)</f>
        <v>10</v>
      </c>
      <c r="G90" s="0" t="n">
        <f aca="false">SUMIF(Games!$A$2:$A$186,$A90,Games!$T$2:$T$186)+SUMIF(Games!$B$2:$B$186,$A90,Games!$R$2:$R$186)</f>
        <v>164</v>
      </c>
      <c r="H90" s="0" t="n">
        <f aca="false">SUMIF(Games!$A$2:$A$186,$A90,Games!$U$2:$U$186)+SUMIF(Games!$B$2:$B$186,$A90,Games!$V$2:$V$186)</f>
        <v>-2.26206896551724</v>
      </c>
      <c r="I90" s="0" t="n">
        <f aca="false">SUMIF(Games!$A$2:$A$186,$A90,Games!$E$2:$E$186)+SUMIF(Games!$B$2:$B$186,$A90,Games!$F$2:$F$186)</f>
        <v>81</v>
      </c>
      <c r="J90" s="0" t="n">
        <f aca="false">IFERROR(I90/(B90+C90),0)</f>
        <v>40.5</v>
      </c>
      <c r="K90" s="0" t="n">
        <f aca="false">SUMIF(Games!$A$2:$A$186,$A90,Games!$F$2:$F$186)+SUMIF(Games!$B$2:$B$186,$A90,Games!$E$2:$E$186)</f>
        <v>383</v>
      </c>
      <c r="L90" s="0" t="n">
        <f aca="false">SUMIF(Games!$A$2:$A$186,$A90,Games!$G$2:$G$186)+SUMIF(Games!$B$2:$B$186,$A90,Games!$H$2:$H$186)</f>
        <v>793</v>
      </c>
      <c r="M90" s="0" t="n">
        <f aca="false">IFERROR(L90/(B90+C90),0)</f>
        <v>396.5</v>
      </c>
      <c r="N90" s="0" t="n">
        <f aca="false">SUMIF(Games!$A$2:$A$186,$A90,Games!$H$2:$H$186)+SUMIF(Games!$B$2:$B$186,$A90,Games!$G$2:$G$186)</f>
        <v>502</v>
      </c>
      <c r="O90" s="0" t="n">
        <f aca="false">SUMIF(Games!$A$2:$A$186,$A90,Games!$I$2:$I$186)+SUMIF(Games!$B$2:$B$186,$A90,Games!$J$2:$J$186)</f>
        <v>1</v>
      </c>
      <c r="P90" s="0" t="n">
        <f aca="false">SUMIF(Games!$A$2:$A$186,$A90,Games!$J$2:$J$186)+SUMIF(Games!$B$2:$B$186,$A90,Games!$I$2:$I$186)</f>
        <v>3</v>
      </c>
      <c r="R90" s="0" t="n">
        <f aca="false">IFERROR((K90+N90)/(B90+C90),0)</f>
        <v>442.5</v>
      </c>
      <c r="S90" s="0" t="n">
        <f aca="false">P90-O90</f>
        <v>2</v>
      </c>
      <c r="T90" s="0" t="n">
        <f aca="false">IFERROR((D90/(D90+E90))*(F90/(F90+G90)),0)</f>
        <v>0.0574712643678161</v>
      </c>
      <c r="U90" s="0" t="n">
        <f aca="false">RANK(T90,T$2:T$139)</f>
        <v>30</v>
      </c>
      <c r="V90" s="0" t="n">
        <f aca="false">IFERROR((B90/(B90+C90))*25,0)+IFERROR((D90/(D90+E90))*25,0)+IFERROR((F90/(F90+G90))*10,0)+H90+((J90-RMEAN)/RDEV)*5+((M90-PMEAN)/PDEV)*5+((DMEAN-R90)/DDEV)*7+((S90-TOMEAN)/TODEV)*3</f>
        <v>16.8275924454092</v>
      </c>
    </row>
    <row r="91" customFormat="false" ht="15" hidden="false" customHeight="false" outlineLevel="0" collapsed="false">
      <c r="A91" s="0" t="s">
        <v>95</v>
      </c>
      <c r="B91" s="0" t="n">
        <f aca="false">SUMIF(Games!$A$2:$A$186,$A91,Games!$K$2:$K$186)+SUMIF(Games!$B$2:$B$186,$A91,Games!$L$2:$L$186)</f>
        <v>2</v>
      </c>
      <c r="C91" s="0" t="n">
        <f aca="false">SUMIF(Games!$A$2:$A$186,$A91,Games!$L$2:$L$186)+SUMIF(Games!$B$2:$B$186,$A91,Games!$K$2:$K$186)</f>
        <v>0</v>
      </c>
      <c r="D91" s="0" t="n">
        <f aca="false">SUMIF(Games!$A$2:$A$186,$A91,Games!$O$2:$O$186)+SUMIF(Games!$B$2:$B$186,$A91,Games!$M$2:$M$186)</f>
        <v>2</v>
      </c>
      <c r="E91" s="0" t="n">
        <f aca="false">SUMIF(Games!$A$2:$A$186,$A91,Games!$P$2:$P$186)+SUMIF(Games!$B$2:$B$186,$A91,Games!$N$2:$N$186)</f>
        <v>2</v>
      </c>
      <c r="F91" s="0" t="n">
        <f aca="false">SUMIF(Games!$A$2:$A$186,$A91,Games!$S$2:$S$186)+SUMIF(Games!$B$2:$B$186,$A91,Games!$Q$2:$Q$186)</f>
        <v>10</v>
      </c>
      <c r="G91" s="0" t="n">
        <f aca="false">SUMIF(Games!$A$2:$A$186,$A91,Games!$T$2:$T$186)+SUMIF(Games!$B$2:$B$186,$A91,Games!$R$2:$R$186)</f>
        <v>81</v>
      </c>
      <c r="H91" s="0" t="n">
        <f aca="false">SUMIF(Games!$A$2:$A$186,$A91,Games!$U$2:$U$186)+SUMIF(Games!$B$2:$B$186,$A91,Games!$V$2:$V$186)</f>
        <v>13.8491379310345</v>
      </c>
      <c r="I91" s="0" t="n">
        <f aca="false">SUMIF(Games!$A$2:$A$186,$A91,Games!$E$2:$E$186)+SUMIF(Games!$B$2:$B$186,$A91,Games!$F$2:$F$186)</f>
        <v>311</v>
      </c>
      <c r="J91" s="0" t="n">
        <f aca="false">IFERROR(I91/(B91+C91),0)</f>
        <v>155.5</v>
      </c>
      <c r="K91" s="0" t="n">
        <f aca="false">SUMIF(Games!$A$2:$A$186,$A91,Games!$F$2:$F$186)+SUMIF(Games!$B$2:$B$186,$A91,Games!$E$2:$E$186)</f>
        <v>220</v>
      </c>
      <c r="L91" s="0" t="n">
        <f aca="false">SUMIF(Games!$A$2:$A$186,$A91,Games!$G$2:$G$186)+SUMIF(Games!$B$2:$B$186,$A91,Games!$H$2:$H$186)</f>
        <v>592</v>
      </c>
      <c r="M91" s="0" t="n">
        <f aca="false">IFERROR(L91/(B91+C91),0)</f>
        <v>296</v>
      </c>
      <c r="N91" s="0" t="n">
        <f aca="false">SUMIF(Games!$A$2:$A$186,$A91,Games!$H$2:$H$186)+SUMIF(Games!$B$2:$B$186,$A91,Games!$G$2:$G$186)</f>
        <v>210</v>
      </c>
      <c r="O91" s="0" t="n">
        <f aca="false">SUMIF(Games!$A$2:$A$186,$A91,Games!$I$2:$I$186)+SUMIF(Games!$B$2:$B$186,$A91,Games!$J$2:$J$186)</f>
        <v>0</v>
      </c>
      <c r="P91" s="0" t="n">
        <f aca="false">SUMIF(Games!$A$2:$A$186,$A91,Games!$J$2:$J$186)+SUMIF(Games!$B$2:$B$186,$A91,Games!$I$2:$I$186)</f>
        <v>3</v>
      </c>
      <c r="R91" s="0" t="n">
        <f aca="false">IFERROR((K91+N91)/(B91+C91),0)</f>
        <v>215</v>
      </c>
      <c r="S91" s="0" t="n">
        <f aca="false">P91-O91</f>
        <v>3</v>
      </c>
      <c r="T91" s="0" t="n">
        <f aca="false">IFERROR((D91/(D91+E91))*(F91/(F91+G91)),0)</f>
        <v>0.0549450549450549</v>
      </c>
      <c r="U91" s="0" t="n">
        <f aca="false">RANK(T91,T$2:T$139)</f>
        <v>33</v>
      </c>
      <c r="V91" s="0" t="n">
        <f aca="false">IFERROR((B91/(B91+C91))*25,0)+IFERROR((D91/(D91+E91))*25,0)+IFERROR((F91/(F91+G91))*10,0)+H91+((J91-RMEAN)/RDEV)*5+((M91-PMEAN)/PDEV)*5+((DMEAN-R91)/DDEV)*7+((S91-TOMEAN)/TODEV)*3</f>
        <v>67.0584624240987</v>
      </c>
    </row>
    <row r="92" customFormat="false" ht="15" hidden="false" customHeight="false" outlineLevel="0" collapsed="false">
      <c r="A92" s="0" t="s">
        <v>96</v>
      </c>
      <c r="B92" s="0" t="n">
        <f aca="false">SUMIF(Games!$A$2:$A$186,$A92,Games!$K$2:$K$186)+SUMIF(Games!$B$2:$B$186,$A92,Games!$L$2:$L$186)</f>
        <v>2</v>
      </c>
      <c r="C92" s="0" t="n">
        <f aca="false">SUMIF(Games!$A$2:$A$186,$A92,Games!$L$2:$L$186)+SUMIF(Games!$B$2:$B$186,$A92,Games!$K$2:$K$186)</f>
        <v>0</v>
      </c>
      <c r="D92" s="0" t="n">
        <f aca="false">SUMIF(Games!$A$2:$A$186,$A92,Games!$O$2:$O$186)+SUMIF(Games!$B$2:$B$186,$A92,Games!$M$2:$M$186)</f>
        <v>2</v>
      </c>
      <c r="E92" s="0" t="n">
        <f aca="false">SUMIF(Games!$A$2:$A$186,$A92,Games!$P$2:$P$186)+SUMIF(Games!$B$2:$B$186,$A92,Games!$N$2:$N$186)</f>
        <v>2</v>
      </c>
      <c r="F92" s="0" t="n">
        <f aca="false">SUMIF(Games!$A$2:$A$186,$A92,Games!$S$2:$S$186)+SUMIF(Games!$B$2:$B$186,$A92,Games!$Q$2:$Q$186)</f>
        <v>14</v>
      </c>
      <c r="G92" s="0" t="n">
        <f aca="false">SUMIF(Games!$A$2:$A$186,$A92,Games!$T$2:$T$186)+SUMIF(Games!$B$2:$B$186,$A92,Games!$R$2:$R$186)</f>
        <v>160</v>
      </c>
      <c r="H92" s="0" t="n">
        <f aca="false">SUMIF(Games!$A$2:$A$186,$A92,Games!$U$2:$U$186)+SUMIF(Games!$B$2:$B$186,$A92,Games!$V$2:$V$186)</f>
        <v>1.60919540229885</v>
      </c>
      <c r="I92" s="0" t="n">
        <f aca="false">SUMIF(Games!$A$2:$A$186,$A92,Games!$E$2:$E$186)+SUMIF(Games!$B$2:$B$186,$A92,Games!$F$2:$F$186)</f>
        <v>269</v>
      </c>
      <c r="J92" s="0" t="n">
        <f aca="false">IFERROR(I92/(B92+C92),0)</f>
        <v>134.5</v>
      </c>
      <c r="K92" s="0" t="n">
        <f aca="false">SUMIF(Games!$A$2:$A$186,$A92,Games!$F$2:$F$186)+SUMIF(Games!$B$2:$B$186,$A92,Games!$E$2:$E$186)</f>
        <v>48</v>
      </c>
      <c r="L92" s="0" t="n">
        <f aca="false">SUMIF(Games!$A$2:$A$186,$A92,Games!$G$2:$G$186)+SUMIF(Games!$B$2:$B$186,$A92,Games!$H$2:$H$186)</f>
        <v>692</v>
      </c>
      <c r="M92" s="0" t="n">
        <f aca="false">IFERROR(L92/(B92+C92),0)</f>
        <v>346</v>
      </c>
      <c r="N92" s="0" t="n">
        <f aca="false">SUMIF(Games!$A$2:$A$186,$A92,Games!$H$2:$H$186)+SUMIF(Games!$B$2:$B$186,$A92,Games!$G$2:$G$186)</f>
        <v>447</v>
      </c>
      <c r="O92" s="0" t="n">
        <f aca="false">SUMIF(Games!$A$2:$A$186,$A92,Games!$I$2:$I$186)+SUMIF(Games!$B$2:$B$186,$A92,Games!$J$2:$J$186)</f>
        <v>0</v>
      </c>
      <c r="P92" s="0" t="n">
        <f aca="false">SUMIF(Games!$A$2:$A$186,$A92,Games!$J$2:$J$186)+SUMIF(Games!$B$2:$B$186,$A92,Games!$I$2:$I$186)</f>
        <v>1</v>
      </c>
      <c r="R92" s="0" t="n">
        <f aca="false">IFERROR((K92+N92)/(B92+C92),0)</f>
        <v>247.5</v>
      </c>
      <c r="S92" s="0" t="n">
        <f aca="false">P92-O92</f>
        <v>1</v>
      </c>
      <c r="T92" s="0" t="n">
        <f aca="false">IFERROR((D92/(D92+E92))*(F92/(F92+G92)),0)</f>
        <v>0.0402298850574713</v>
      </c>
      <c r="U92" s="0" t="n">
        <f aca="false">RANK(T92,T$2:T$139)</f>
        <v>87</v>
      </c>
      <c r="V92" s="0" t="n">
        <f aca="false">IFERROR((B92/(B92+C92))*25,0)+IFERROR((D92/(D92+E92))*25,0)+IFERROR((F92/(F92+G92))*10,0)+H92+((J92-RMEAN)/RDEV)*5+((M92-PMEAN)/PDEV)*5+((DMEAN-R92)/DDEV)*7+((S92-TOMEAN)/TODEV)*3</f>
        <v>51.392709885911</v>
      </c>
    </row>
    <row r="93" customFormat="false" ht="15" hidden="false" customHeight="false" outlineLevel="0" collapsed="false">
      <c r="A93" s="0" t="s">
        <v>97</v>
      </c>
      <c r="B93" s="0" t="n">
        <f aca="false">SUMIF(Games!$A$2:$A$186,$A93,Games!$K$2:$K$186)+SUMIF(Games!$B$2:$B$186,$A93,Games!$L$2:$L$186)</f>
        <v>1</v>
      </c>
      <c r="C93" s="0" t="n">
        <f aca="false">SUMIF(Games!$A$2:$A$186,$A93,Games!$L$2:$L$186)+SUMIF(Games!$B$2:$B$186,$A93,Games!$K$2:$K$186)</f>
        <v>1</v>
      </c>
      <c r="D93" s="0" t="n">
        <f aca="false">SUMIF(Games!$A$2:$A$186,$A93,Games!$O$2:$O$186)+SUMIF(Games!$B$2:$B$186,$A93,Games!$M$2:$M$186)</f>
        <v>7</v>
      </c>
      <c r="E93" s="0" t="n">
        <f aca="false">SUMIF(Games!$A$2:$A$186,$A93,Games!$P$2:$P$186)+SUMIF(Games!$B$2:$B$186,$A93,Games!$N$2:$N$186)</f>
        <v>80</v>
      </c>
      <c r="F93" s="0" t="n">
        <f aca="false">SUMIF(Games!$A$2:$A$186,$A93,Games!$S$2:$S$186)+SUMIF(Games!$B$2:$B$186,$A93,Games!$Q$2:$Q$186)</f>
        <v>115</v>
      </c>
      <c r="G93" s="0" t="n">
        <f aca="false">SUMIF(Games!$A$2:$A$186,$A93,Games!$T$2:$T$186)+SUMIF(Games!$B$2:$B$186,$A93,Games!$R$2:$R$186)</f>
        <v>63</v>
      </c>
      <c r="H93" s="0" t="n">
        <f aca="false">SUMIF(Games!$A$2:$A$186,$A93,Games!$U$2:$U$186)+SUMIF(Games!$B$2:$B$186,$A93,Games!$V$2:$V$186)</f>
        <v>0.855037187288709</v>
      </c>
      <c r="I93" s="0" t="n">
        <f aca="false">SUMIF(Games!$A$2:$A$186,$A93,Games!$E$2:$E$186)+SUMIF(Games!$B$2:$B$186,$A93,Games!$F$2:$F$186)</f>
        <v>303</v>
      </c>
      <c r="J93" s="0" t="n">
        <f aca="false">IFERROR(I93/(B93+C93),0)</f>
        <v>151.5</v>
      </c>
      <c r="K93" s="0" t="n">
        <f aca="false">SUMIF(Games!$A$2:$A$186,$A93,Games!$F$2:$F$186)+SUMIF(Games!$B$2:$B$186,$A93,Games!$E$2:$E$186)</f>
        <v>252</v>
      </c>
      <c r="L93" s="0" t="n">
        <f aca="false">SUMIF(Games!$A$2:$A$186,$A93,Games!$G$2:$G$186)+SUMIF(Games!$B$2:$B$186,$A93,Games!$H$2:$H$186)</f>
        <v>675</v>
      </c>
      <c r="M93" s="0" t="n">
        <f aca="false">IFERROR(L93/(B93+C93),0)</f>
        <v>337.5</v>
      </c>
      <c r="N93" s="0" t="n">
        <f aca="false">SUMIF(Games!$A$2:$A$186,$A93,Games!$H$2:$H$186)+SUMIF(Games!$B$2:$B$186,$A93,Games!$G$2:$G$186)</f>
        <v>443</v>
      </c>
      <c r="O93" s="0" t="n">
        <f aca="false">SUMIF(Games!$A$2:$A$186,$A93,Games!$I$2:$I$186)+SUMIF(Games!$B$2:$B$186,$A93,Games!$J$2:$J$186)</f>
        <v>0</v>
      </c>
      <c r="P93" s="0" t="n">
        <f aca="false">SUMIF(Games!$A$2:$A$186,$A93,Games!$J$2:$J$186)+SUMIF(Games!$B$2:$B$186,$A93,Games!$I$2:$I$186)</f>
        <v>1</v>
      </c>
      <c r="R93" s="0" t="n">
        <f aca="false">IFERROR((K93+N93)/(B93+C93),0)</f>
        <v>347.5</v>
      </c>
      <c r="S93" s="0" t="n">
        <f aca="false">P93-O93</f>
        <v>1</v>
      </c>
      <c r="T93" s="0" t="n">
        <f aca="false">IFERROR((D93/(D93+E93))*(F93/(F93+G93)),0)</f>
        <v>0.0519824357484179</v>
      </c>
      <c r="U93" s="0" t="n">
        <f aca="false">RANK(T93,T$2:T$139)</f>
        <v>39</v>
      </c>
      <c r="V93" s="0" t="n">
        <f aca="false">IFERROR((B93/(B93+C93))*25,0)+IFERROR((D93/(D93+E93))*25,0)+IFERROR((F93/(F93+G93))*10,0)+H93+((J93-RMEAN)/RDEV)*5+((M93-PMEAN)/PDEV)*5+((DMEAN-R93)/DDEV)*7+((S93-TOMEAN)/TODEV)*3</f>
        <v>26.0333165475496</v>
      </c>
    </row>
    <row r="94" customFormat="false" ht="15" hidden="false" customHeight="false" outlineLevel="0" collapsed="false">
      <c r="A94" s="0" t="s">
        <v>98</v>
      </c>
      <c r="B94" s="0" t="n">
        <f aca="false">SUMIF(Games!$A$2:$A$186,$A94,Games!$K$2:$K$186)+SUMIF(Games!$B$2:$B$186,$A94,Games!$L$2:$L$186)</f>
        <v>1</v>
      </c>
      <c r="C94" s="0" t="n">
        <f aca="false">SUMIF(Games!$A$2:$A$186,$A94,Games!$L$2:$L$186)+SUMIF(Games!$B$2:$B$186,$A94,Games!$K$2:$K$186)</f>
        <v>1</v>
      </c>
      <c r="D94" s="0" t="n">
        <f aca="false">SUMIF(Games!$A$2:$A$186,$A94,Games!$O$2:$O$186)+SUMIF(Games!$B$2:$B$186,$A94,Games!$M$2:$M$186)</f>
        <v>7</v>
      </c>
      <c r="E94" s="0" t="n">
        <f aca="false">SUMIF(Games!$A$2:$A$186,$A94,Games!$P$2:$P$186)+SUMIF(Games!$B$2:$B$186,$A94,Games!$N$2:$N$186)</f>
        <v>80</v>
      </c>
      <c r="F94" s="0" t="n">
        <f aca="false">SUMIF(Games!$A$2:$A$186,$A94,Games!$S$2:$S$186)+SUMIF(Games!$B$2:$B$186,$A94,Games!$Q$2:$Q$186)</f>
        <v>115</v>
      </c>
      <c r="G94" s="0" t="n">
        <f aca="false">SUMIF(Games!$A$2:$A$186,$A94,Games!$T$2:$T$186)+SUMIF(Games!$B$2:$B$186,$A94,Games!$R$2:$R$186)</f>
        <v>63</v>
      </c>
      <c r="H94" s="0" t="n">
        <f aca="false">SUMIF(Games!$A$2:$A$186,$A94,Games!$U$2:$U$186)+SUMIF(Games!$B$2:$B$186,$A94,Games!$V$2:$V$186)</f>
        <v>-0.680358350236646</v>
      </c>
      <c r="I94" s="0" t="n">
        <f aca="false">SUMIF(Games!$A$2:$A$186,$A94,Games!$E$2:$E$186)+SUMIF(Games!$B$2:$B$186,$A94,Games!$F$2:$F$186)</f>
        <v>529</v>
      </c>
      <c r="J94" s="0" t="n">
        <f aca="false">IFERROR(I94/(B94+C94),0)</f>
        <v>264.5</v>
      </c>
      <c r="K94" s="0" t="n">
        <f aca="false">SUMIF(Games!$A$2:$A$186,$A94,Games!$F$2:$F$186)+SUMIF(Games!$B$2:$B$186,$A94,Games!$E$2:$E$186)</f>
        <v>266</v>
      </c>
      <c r="L94" s="0" t="n">
        <f aca="false">SUMIF(Games!$A$2:$A$186,$A94,Games!$G$2:$G$186)+SUMIF(Games!$B$2:$B$186,$A94,Games!$H$2:$H$186)</f>
        <v>92</v>
      </c>
      <c r="M94" s="0" t="n">
        <f aca="false">IFERROR(L94/(B94+C94),0)</f>
        <v>46</v>
      </c>
      <c r="N94" s="0" t="n">
        <f aca="false">SUMIF(Games!$A$2:$A$186,$A94,Games!$H$2:$H$186)+SUMIF(Games!$B$2:$B$186,$A94,Games!$G$2:$G$186)</f>
        <v>456</v>
      </c>
      <c r="O94" s="0" t="n">
        <f aca="false">SUMIF(Games!$A$2:$A$186,$A94,Games!$I$2:$I$186)+SUMIF(Games!$B$2:$B$186,$A94,Games!$J$2:$J$186)</f>
        <v>4</v>
      </c>
      <c r="P94" s="0" t="n">
        <f aca="false">SUMIF(Games!$A$2:$A$186,$A94,Games!$J$2:$J$186)+SUMIF(Games!$B$2:$B$186,$A94,Games!$I$2:$I$186)</f>
        <v>1</v>
      </c>
      <c r="R94" s="0" t="n">
        <f aca="false">IFERROR((K94+N94)/(B94+C94),0)</f>
        <v>361</v>
      </c>
      <c r="S94" s="0" t="n">
        <f aca="false">P94-O94</f>
        <v>-3</v>
      </c>
      <c r="T94" s="0" t="n">
        <f aca="false">IFERROR((D94/(D94+E94))*(F94/(F94+G94)),0)</f>
        <v>0.0519824357484179</v>
      </c>
      <c r="U94" s="0" t="n">
        <f aca="false">RANK(T94,T$2:T$139)</f>
        <v>39</v>
      </c>
      <c r="V94" s="0" t="n">
        <f aca="false">IFERROR((B94/(B94+C94))*25,0)+IFERROR((D94/(D94+E94))*25,0)+IFERROR((F94/(F94+G94))*10,0)+H94+((J94-RMEAN)/RDEV)*5+((M94-PMEAN)/PDEV)*5+((DMEAN-R94)/DDEV)*7+((S94-TOMEAN)/TODEV)*3</f>
        <v>7.0847130108098</v>
      </c>
    </row>
    <row r="95" customFormat="false" ht="15" hidden="false" customHeight="false" outlineLevel="0" collapsed="false">
      <c r="A95" s="0" t="s">
        <v>99</v>
      </c>
      <c r="B95" s="0" t="n">
        <f aca="false">SUMIF(Games!$A$2:$A$186,$A95,Games!$K$2:$K$186)+SUMIF(Games!$B$2:$B$186,$A95,Games!$L$2:$L$186)</f>
        <v>0</v>
      </c>
      <c r="C95" s="0" t="n">
        <f aca="false">SUMIF(Games!$A$2:$A$186,$A95,Games!$L$2:$L$186)+SUMIF(Games!$B$2:$B$186,$A95,Games!$K$2:$K$186)</f>
        <v>2</v>
      </c>
      <c r="D95" s="0" t="n">
        <f aca="false">SUMIF(Games!$A$2:$A$186,$A95,Games!$O$2:$O$186)+SUMIF(Games!$B$2:$B$186,$A95,Games!$M$2:$M$186)</f>
        <v>3</v>
      </c>
      <c r="E95" s="0" t="n">
        <f aca="false">SUMIF(Games!$A$2:$A$186,$A95,Games!$P$2:$P$186)+SUMIF(Games!$B$2:$B$186,$A95,Games!$N$2:$N$186)</f>
        <v>1</v>
      </c>
      <c r="F95" s="0" t="n">
        <f aca="false">SUMIF(Games!$A$2:$A$186,$A95,Games!$S$2:$S$186)+SUMIF(Games!$B$2:$B$186,$A95,Games!$Q$2:$Q$186)</f>
        <v>7</v>
      </c>
      <c r="G95" s="0" t="n">
        <f aca="false">SUMIF(Games!$A$2:$A$186,$A95,Games!$T$2:$T$186)+SUMIF(Games!$B$2:$B$186,$A95,Games!$R$2:$R$186)</f>
        <v>84</v>
      </c>
      <c r="H95" s="0" t="n">
        <f aca="false">SUMIF(Games!$A$2:$A$186,$A95,Games!$U$2:$U$186)+SUMIF(Games!$B$2:$B$186,$A95,Games!$V$2:$V$186)</f>
        <v>-3.25804597701149</v>
      </c>
      <c r="I95" s="0" t="n">
        <f aca="false">SUMIF(Games!$A$2:$A$186,$A95,Games!$E$2:$E$186)+SUMIF(Games!$B$2:$B$186,$A95,Games!$F$2:$F$186)</f>
        <v>184</v>
      </c>
      <c r="J95" s="0" t="n">
        <f aca="false">IFERROR(I95/(B95+C95),0)</f>
        <v>92</v>
      </c>
      <c r="K95" s="0" t="n">
        <f aca="false">SUMIF(Games!$A$2:$A$186,$A95,Games!$F$2:$F$186)+SUMIF(Games!$B$2:$B$186,$A95,Games!$E$2:$E$186)</f>
        <v>350</v>
      </c>
      <c r="L95" s="0" t="n">
        <f aca="false">SUMIF(Games!$A$2:$A$186,$A95,Games!$G$2:$G$186)+SUMIF(Games!$B$2:$B$186,$A95,Games!$H$2:$H$186)</f>
        <v>549</v>
      </c>
      <c r="M95" s="0" t="n">
        <f aca="false">IFERROR(L95/(B95+C95),0)</f>
        <v>274.5</v>
      </c>
      <c r="N95" s="0" t="n">
        <f aca="false">SUMIF(Games!$A$2:$A$186,$A95,Games!$H$2:$H$186)+SUMIF(Games!$B$2:$B$186,$A95,Games!$G$2:$G$186)</f>
        <v>449</v>
      </c>
      <c r="O95" s="0" t="n">
        <f aca="false">SUMIF(Games!$A$2:$A$186,$A95,Games!$I$2:$I$186)+SUMIF(Games!$B$2:$B$186,$A95,Games!$J$2:$J$186)</f>
        <v>8</v>
      </c>
      <c r="P95" s="0" t="n">
        <f aca="false">SUMIF(Games!$A$2:$A$186,$A95,Games!$J$2:$J$186)+SUMIF(Games!$B$2:$B$186,$A95,Games!$I$2:$I$186)</f>
        <v>3</v>
      </c>
      <c r="R95" s="0" t="n">
        <f aca="false">IFERROR((K95+N95)/(B95+C95),0)</f>
        <v>399.5</v>
      </c>
      <c r="S95" s="0" t="n">
        <f aca="false">P95-O95</f>
        <v>-5</v>
      </c>
      <c r="T95" s="0" t="n">
        <f aca="false">IFERROR((D95/(D95+E95))*(F95/(F95+G95)),0)</f>
        <v>0.0576923076923077</v>
      </c>
      <c r="U95" s="0" t="n">
        <f aca="false">RANK(T95,T$2:T$139)</f>
        <v>28</v>
      </c>
      <c r="V95" s="0" t="n">
        <f aca="false">IFERROR((B95/(B95+C95))*25,0)+IFERROR((D95/(D95+E95))*25,0)+IFERROR((F95/(F95+G95))*10,0)+H95+((J95-RMEAN)/RDEV)*5+((M95-PMEAN)/PDEV)*5+((DMEAN-R95)/DDEV)*7+((S95-TOMEAN)/TODEV)*3</f>
        <v>0.29719639579749</v>
      </c>
    </row>
    <row r="96" customFormat="false" ht="15" hidden="false" customHeight="false" outlineLevel="0" collapsed="false">
      <c r="A96" s="0" t="s">
        <v>100</v>
      </c>
      <c r="B96" s="0" t="n">
        <f aca="false">SUMIF(Games!$A$2:$A$186,$A96,Games!$K$2:$K$186)+SUMIF(Games!$B$2:$B$186,$A96,Games!$L$2:$L$186)</f>
        <v>2</v>
      </c>
      <c r="C96" s="0" t="n">
        <f aca="false">SUMIF(Games!$A$2:$A$186,$A96,Games!$L$2:$L$186)+SUMIF(Games!$B$2:$B$186,$A96,Games!$K$2:$K$186)</f>
        <v>0</v>
      </c>
      <c r="D96" s="0" t="n">
        <f aca="false">SUMIF(Games!$A$2:$A$186,$A96,Games!$O$2:$O$186)+SUMIF(Games!$B$2:$B$186,$A96,Games!$M$2:$M$186)</f>
        <v>6</v>
      </c>
      <c r="E96" s="0" t="n">
        <f aca="false">SUMIF(Games!$A$2:$A$186,$A96,Games!$P$2:$P$186)+SUMIF(Games!$B$2:$B$186,$A96,Games!$N$2:$N$186)</f>
        <v>81</v>
      </c>
      <c r="F96" s="0" t="n">
        <f aca="false">SUMIF(Games!$A$2:$A$186,$A96,Games!$S$2:$S$186)+SUMIF(Games!$B$2:$B$186,$A96,Games!$Q$2:$Q$186)</f>
        <v>116</v>
      </c>
      <c r="G96" s="0" t="n">
        <f aca="false">SUMIF(Games!$A$2:$A$186,$A96,Games!$T$2:$T$186)+SUMIF(Games!$B$2:$B$186,$A96,Games!$R$2:$R$186)</f>
        <v>63</v>
      </c>
      <c r="H96" s="0" t="n">
        <f aca="false">SUMIF(Games!$A$2:$A$186,$A96,Games!$U$2:$U$186)+SUMIF(Games!$B$2:$B$186,$A96,Games!$V$2:$V$186)</f>
        <v>2.23705206220419</v>
      </c>
      <c r="I96" s="0" t="n">
        <f aca="false">SUMIF(Games!$A$2:$A$186,$A96,Games!$E$2:$E$186)+SUMIF(Games!$B$2:$B$186,$A96,Games!$F$2:$F$186)</f>
        <v>248</v>
      </c>
      <c r="J96" s="0" t="n">
        <f aca="false">IFERROR(I96/(B96+C96),0)</f>
        <v>124</v>
      </c>
      <c r="K96" s="0" t="n">
        <f aca="false">SUMIF(Games!$A$2:$A$186,$A96,Games!$F$2:$F$186)+SUMIF(Games!$B$2:$B$186,$A96,Games!$E$2:$E$186)</f>
        <v>261</v>
      </c>
      <c r="L96" s="0" t="n">
        <f aca="false">SUMIF(Games!$A$2:$A$186,$A96,Games!$G$2:$G$186)+SUMIF(Games!$B$2:$B$186,$A96,Games!$H$2:$H$186)</f>
        <v>884</v>
      </c>
      <c r="M96" s="0" t="n">
        <f aca="false">IFERROR(L96/(B96+C96),0)</f>
        <v>442</v>
      </c>
      <c r="N96" s="0" t="n">
        <f aca="false">SUMIF(Games!$A$2:$A$186,$A96,Games!$H$2:$H$186)+SUMIF(Games!$B$2:$B$186,$A96,Games!$G$2:$G$186)</f>
        <v>296</v>
      </c>
      <c r="O96" s="0" t="n">
        <f aca="false">SUMIF(Games!$A$2:$A$186,$A96,Games!$I$2:$I$186)+SUMIF(Games!$B$2:$B$186,$A96,Games!$J$2:$J$186)</f>
        <v>4</v>
      </c>
      <c r="P96" s="0" t="n">
        <f aca="false">SUMIF(Games!$A$2:$A$186,$A96,Games!$J$2:$J$186)+SUMIF(Games!$B$2:$B$186,$A96,Games!$I$2:$I$186)</f>
        <v>3</v>
      </c>
      <c r="R96" s="0" t="n">
        <f aca="false">IFERROR((K96+N96)/(B96+C96),0)</f>
        <v>278.5</v>
      </c>
      <c r="S96" s="0" t="n">
        <f aca="false">P96-O96</f>
        <v>-1</v>
      </c>
      <c r="T96" s="0" t="n">
        <f aca="false">IFERROR((D96/(D96+E96))*(F96/(F96+G96)),0)</f>
        <v>0.0446927374301676</v>
      </c>
      <c r="U96" s="0" t="n">
        <f aca="false">RANK(T96,T$2:T$139)</f>
        <v>80</v>
      </c>
      <c r="V96" s="0" t="n">
        <f aca="false">IFERROR((B96/(B96+C96))*25,0)+IFERROR((D96/(D96+E96))*25,0)+IFERROR((F96/(F96+G96))*10,0)+H96+((J96-RMEAN)/RDEV)*5+((M96-PMEAN)/PDEV)*5+((DMEAN-R96)/DDEV)*7+((S96-TOMEAN)/TODEV)*3</f>
        <v>47.8688001165717</v>
      </c>
    </row>
    <row r="97" customFormat="false" ht="15" hidden="false" customHeight="false" outlineLevel="0" collapsed="false">
      <c r="A97" s="0" t="s">
        <v>101</v>
      </c>
      <c r="B97" s="0" t="n">
        <f aca="false">SUMIF(Games!$A$2:$A$186,$A97,Games!$K$2:$K$186)+SUMIF(Games!$B$2:$B$186,$A97,Games!$L$2:$L$186)</f>
        <v>1</v>
      </c>
      <c r="C97" s="0" t="n">
        <f aca="false">SUMIF(Games!$A$2:$A$186,$A97,Games!$L$2:$L$186)+SUMIF(Games!$B$2:$B$186,$A97,Games!$K$2:$K$186)</f>
        <v>2</v>
      </c>
      <c r="D97" s="0" t="n">
        <f aca="false">SUMIF(Games!$A$2:$A$186,$A97,Games!$O$2:$O$186)+SUMIF(Games!$B$2:$B$186,$A97,Games!$M$2:$M$186)</f>
        <v>7</v>
      </c>
      <c r="E97" s="0" t="n">
        <f aca="false">SUMIF(Games!$A$2:$A$186,$A97,Games!$P$2:$P$186)+SUMIF(Games!$B$2:$B$186,$A97,Games!$N$2:$N$186)</f>
        <v>83</v>
      </c>
      <c r="F97" s="0" t="n">
        <f aca="false">SUMIF(Games!$A$2:$A$186,$A97,Games!$S$2:$S$186)+SUMIF(Games!$B$2:$B$186,$A97,Games!$Q$2:$Q$186)</f>
        <v>122</v>
      </c>
      <c r="G97" s="0" t="n">
        <f aca="false">SUMIF(Games!$A$2:$A$186,$A97,Games!$T$2:$T$186)+SUMIF(Games!$B$2:$B$186,$A97,Games!$R$2:$R$186)</f>
        <v>66</v>
      </c>
      <c r="H97" s="0" t="n">
        <f aca="false">SUMIF(Games!$A$2:$A$186,$A97,Games!$U$2:$U$186)+SUMIF(Games!$B$2:$B$186,$A97,Games!$V$2:$V$186)</f>
        <v>-7.24628127112914</v>
      </c>
      <c r="I97" s="0" t="n">
        <f aca="false">SUMIF(Games!$A$2:$A$186,$A97,Games!$E$2:$E$186)+SUMIF(Games!$B$2:$B$186,$A97,Games!$F$2:$F$186)</f>
        <v>364</v>
      </c>
      <c r="J97" s="0" t="n">
        <f aca="false">IFERROR(I97/(B97+C97),0)</f>
        <v>121.333333333333</v>
      </c>
      <c r="K97" s="0" t="n">
        <f aca="false">SUMIF(Games!$A$2:$A$186,$A97,Games!$F$2:$F$186)+SUMIF(Games!$B$2:$B$186,$A97,Games!$E$2:$E$186)</f>
        <v>366</v>
      </c>
      <c r="L97" s="0" t="n">
        <f aca="false">SUMIF(Games!$A$2:$A$186,$A97,Games!$G$2:$G$186)+SUMIF(Games!$B$2:$B$186,$A97,Games!$H$2:$H$186)</f>
        <v>619</v>
      </c>
      <c r="M97" s="0" t="n">
        <f aca="false">IFERROR(L97/(B97+C97),0)</f>
        <v>206.333333333333</v>
      </c>
      <c r="N97" s="0" t="n">
        <f aca="false">SUMIF(Games!$A$2:$A$186,$A97,Games!$H$2:$H$186)+SUMIF(Games!$B$2:$B$186,$A97,Games!$G$2:$G$186)</f>
        <v>671</v>
      </c>
      <c r="O97" s="0" t="n">
        <f aca="false">SUMIF(Games!$A$2:$A$186,$A97,Games!$I$2:$I$186)+SUMIF(Games!$B$2:$B$186,$A97,Games!$J$2:$J$186)</f>
        <v>5</v>
      </c>
      <c r="P97" s="0" t="n">
        <f aca="false">SUMIF(Games!$A$2:$A$186,$A97,Games!$J$2:$J$186)+SUMIF(Games!$B$2:$B$186,$A97,Games!$I$2:$I$186)</f>
        <v>2</v>
      </c>
      <c r="R97" s="0" t="n">
        <f aca="false">IFERROR((K97+N97)/(B97+C97),0)</f>
        <v>345.666666666667</v>
      </c>
      <c r="S97" s="0" t="n">
        <f aca="false">P97-O97</f>
        <v>-3</v>
      </c>
      <c r="T97" s="0" t="n">
        <f aca="false">IFERROR((D97/(D97+E97))*(F97/(F97+G97)),0)</f>
        <v>0.0504728132387707</v>
      </c>
      <c r="U97" s="0" t="n">
        <f aca="false">RANK(T97,T$2:T$139)</f>
        <v>67</v>
      </c>
      <c r="V97" s="0" t="n">
        <f aca="false">IFERROR((B97/(B97+C97))*25,0)+IFERROR((D97/(D97+E97))*25,0)+IFERROR((F97/(F97+G97))*10,0)+H97+((J97-RMEAN)/RDEV)*5+((M97-PMEAN)/PDEV)*5+((DMEAN-R97)/DDEV)*7+((S97-TOMEAN)/TODEV)*3</f>
        <v>-2.23288913251895</v>
      </c>
    </row>
    <row r="98" customFormat="false" ht="15" hidden="false" customHeight="false" outlineLevel="0" collapsed="false">
      <c r="A98" s="0" t="s">
        <v>102</v>
      </c>
      <c r="B98" s="0" t="n">
        <f aca="false">SUMIF(Games!$A$2:$A$186,$A98,Games!$K$2:$K$186)+SUMIF(Games!$B$2:$B$186,$A98,Games!$L$2:$L$186)</f>
        <v>0</v>
      </c>
      <c r="C98" s="0" t="n">
        <f aca="false">SUMIF(Games!$A$2:$A$186,$A98,Games!$L$2:$L$186)+SUMIF(Games!$B$2:$B$186,$A98,Games!$K$2:$K$186)</f>
        <v>2</v>
      </c>
      <c r="D98" s="0" t="n">
        <f aca="false">SUMIF(Games!$A$2:$A$186,$A98,Games!$O$2:$O$186)+SUMIF(Games!$B$2:$B$186,$A98,Games!$M$2:$M$186)</f>
        <v>4</v>
      </c>
      <c r="E98" s="0" t="n">
        <f aca="false">SUMIF(Games!$A$2:$A$186,$A98,Games!$P$2:$P$186)+SUMIF(Games!$B$2:$B$186,$A98,Games!$N$2:$N$186)</f>
        <v>0</v>
      </c>
      <c r="F98" s="0" t="n">
        <f aca="false">SUMIF(Games!$A$2:$A$186,$A98,Games!$S$2:$S$186)+SUMIF(Games!$B$2:$B$186,$A98,Games!$Q$2:$Q$186)</f>
        <v>6</v>
      </c>
      <c r="G98" s="0" t="n">
        <f aca="false">SUMIF(Games!$A$2:$A$186,$A98,Games!$T$2:$T$186)+SUMIF(Games!$B$2:$B$186,$A98,Games!$R$2:$R$186)</f>
        <v>85</v>
      </c>
      <c r="H98" s="0" t="n">
        <f aca="false">SUMIF(Games!$A$2:$A$186,$A98,Games!$U$2:$U$186)+SUMIF(Games!$B$2:$B$186,$A98,Games!$V$2:$V$186)</f>
        <v>-0.732758620689655</v>
      </c>
      <c r="I98" s="0" t="n">
        <f aca="false">SUMIF(Games!$A$2:$A$186,$A98,Games!$E$2:$E$186)+SUMIF(Games!$B$2:$B$186,$A98,Games!$F$2:$F$186)</f>
        <v>93</v>
      </c>
      <c r="J98" s="0" t="n">
        <f aca="false">IFERROR(I98/(B98+C98),0)</f>
        <v>46.5</v>
      </c>
      <c r="K98" s="0" t="n">
        <f aca="false">SUMIF(Games!$A$2:$A$186,$A98,Games!$F$2:$F$186)+SUMIF(Games!$B$2:$B$186,$A98,Games!$E$2:$E$186)</f>
        <v>418</v>
      </c>
      <c r="L98" s="0" t="n">
        <f aca="false">SUMIF(Games!$A$2:$A$186,$A98,Games!$G$2:$G$186)+SUMIF(Games!$B$2:$B$186,$A98,Games!$H$2:$H$186)</f>
        <v>651</v>
      </c>
      <c r="M98" s="0" t="n">
        <f aca="false">IFERROR(L98/(B98+C98),0)</f>
        <v>325.5</v>
      </c>
      <c r="N98" s="0" t="n">
        <f aca="false">SUMIF(Games!$A$2:$A$186,$A98,Games!$H$2:$H$186)+SUMIF(Games!$B$2:$B$186,$A98,Games!$G$2:$G$186)</f>
        <v>291</v>
      </c>
      <c r="O98" s="0" t="n">
        <f aca="false">SUMIF(Games!$A$2:$A$186,$A98,Games!$I$2:$I$186)+SUMIF(Games!$B$2:$B$186,$A98,Games!$J$2:$J$186)</f>
        <v>2</v>
      </c>
      <c r="P98" s="0" t="n">
        <f aca="false">SUMIF(Games!$A$2:$A$186,$A98,Games!$J$2:$J$186)+SUMIF(Games!$B$2:$B$186,$A98,Games!$I$2:$I$186)</f>
        <v>0</v>
      </c>
      <c r="R98" s="0" t="n">
        <f aca="false">IFERROR((K98+N98)/(B98+C98),0)</f>
        <v>354.5</v>
      </c>
      <c r="S98" s="0" t="n">
        <f aca="false">P98-O98</f>
        <v>-2</v>
      </c>
      <c r="T98" s="0" t="n">
        <f aca="false">IFERROR((D98/(D98+E98))*(F98/(F98+G98)),0)</f>
        <v>0.0659340659340659</v>
      </c>
      <c r="U98" s="0" t="n">
        <f aca="false">RANK(T98,T$2:T$139)</f>
        <v>12</v>
      </c>
      <c r="V98" s="0" t="n">
        <f aca="false">IFERROR((B98/(B98+C98))*25,0)+IFERROR((D98/(D98+E98))*25,0)+IFERROR((F98/(F98+G98))*10,0)+H98+((J98-RMEAN)/RDEV)*5+((M98-PMEAN)/PDEV)*5+((DMEAN-R98)/DDEV)*7+((S98-TOMEAN)/TODEV)*3</f>
        <v>16.223515556254</v>
      </c>
    </row>
    <row r="99" customFormat="false" ht="15" hidden="false" customHeight="false" outlineLevel="0" collapsed="false">
      <c r="A99" s="0" t="s">
        <v>103</v>
      </c>
      <c r="B99" s="0" t="n">
        <f aca="false">SUMIF(Games!$A$2:$A$186,$A99,Games!$K$2:$K$186)+SUMIF(Games!$B$2:$B$186,$A99,Games!$L$2:$L$186)</f>
        <v>1</v>
      </c>
      <c r="C99" s="0" t="n">
        <f aca="false">SUMIF(Games!$A$2:$A$186,$A99,Games!$L$2:$L$186)+SUMIF(Games!$B$2:$B$186,$A99,Games!$K$2:$K$186)</f>
        <v>1</v>
      </c>
      <c r="D99" s="0" t="n">
        <f aca="false">SUMIF(Games!$A$2:$A$186,$A99,Games!$O$2:$O$186)+SUMIF(Games!$B$2:$B$186,$A99,Games!$M$2:$M$186)</f>
        <v>7</v>
      </c>
      <c r="E99" s="0" t="n">
        <f aca="false">SUMIF(Games!$A$2:$A$186,$A99,Games!$P$2:$P$186)+SUMIF(Games!$B$2:$B$186,$A99,Games!$N$2:$N$186)</f>
        <v>80</v>
      </c>
      <c r="F99" s="0" t="n">
        <f aca="false">SUMIF(Games!$A$2:$A$186,$A99,Games!$S$2:$S$186)+SUMIF(Games!$B$2:$B$186,$A99,Games!$Q$2:$Q$186)</f>
        <v>115</v>
      </c>
      <c r="G99" s="0" t="n">
        <f aca="false">SUMIF(Games!$A$2:$A$186,$A99,Games!$T$2:$T$186)+SUMIF(Games!$B$2:$B$186,$A99,Games!$R$2:$R$186)</f>
        <v>63</v>
      </c>
      <c r="H99" s="0" t="n">
        <f aca="false">SUMIF(Games!$A$2:$A$186,$A99,Games!$U$2:$U$186)+SUMIF(Games!$B$2:$B$186,$A99,Games!$V$2:$V$186)</f>
        <v>0.360649087221095</v>
      </c>
      <c r="I99" s="0" t="n">
        <f aca="false">SUMIF(Games!$A$2:$A$186,$A99,Games!$E$2:$E$186)+SUMIF(Games!$B$2:$B$186,$A99,Games!$F$2:$F$186)</f>
        <v>381</v>
      </c>
      <c r="J99" s="0" t="n">
        <f aca="false">IFERROR(I99/(B99+C99),0)</f>
        <v>190.5</v>
      </c>
      <c r="K99" s="0" t="n">
        <f aca="false">SUMIF(Games!$A$2:$A$186,$A99,Games!$F$2:$F$186)+SUMIF(Games!$B$2:$B$186,$A99,Games!$E$2:$E$186)</f>
        <v>309</v>
      </c>
      <c r="L99" s="0" t="n">
        <f aca="false">SUMIF(Games!$A$2:$A$186,$A99,Games!$G$2:$G$186)+SUMIF(Games!$B$2:$B$186,$A99,Games!$H$2:$H$186)</f>
        <v>202</v>
      </c>
      <c r="M99" s="0" t="n">
        <f aca="false">IFERROR(L99/(B99+C99),0)</f>
        <v>101</v>
      </c>
      <c r="N99" s="0" t="n">
        <f aca="false">SUMIF(Games!$A$2:$A$186,$A99,Games!$H$2:$H$186)+SUMIF(Games!$B$2:$B$186,$A99,Games!$G$2:$G$186)</f>
        <v>431</v>
      </c>
      <c r="O99" s="0" t="n">
        <f aca="false">SUMIF(Games!$A$2:$A$186,$A99,Games!$I$2:$I$186)+SUMIF(Games!$B$2:$B$186,$A99,Games!$J$2:$J$186)</f>
        <v>4</v>
      </c>
      <c r="P99" s="0" t="n">
        <f aca="false">SUMIF(Games!$A$2:$A$186,$A99,Games!$J$2:$J$186)+SUMIF(Games!$B$2:$B$186,$A99,Games!$I$2:$I$186)</f>
        <v>4</v>
      </c>
      <c r="R99" s="0" t="n">
        <f aca="false">IFERROR((K99+N99)/(B99+C99),0)</f>
        <v>370</v>
      </c>
      <c r="S99" s="0" t="n">
        <f aca="false">P99-O99</f>
        <v>0</v>
      </c>
      <c r="T99" s="0" t="n">
        <f aca="false">IFERROR((D99/(D99+E99))*(F99/(F99+G99)),0)</f>
        <v>0.0519824357484179</v>
      </c>
      <c r="U99" s="0" t="n">
        <f aca="false">RANK(T99,T$2:T$139)</f>
        <v>39</v>
      </c>
      <c r="V99" s="0" t="n">
        <f aca="false">IFERROR((B99/(B99+C99))*25,0)+IFERROR((D99/(D99+E99))*25,0)+IFERROR((F99/(F99+G99))*10,0)+H99+((J99-RMEAN)/RDEV)*5+((M99-PMEAN)/PDEV)*5+((DMEAN-R99)/DDEV)*7+((S99-TOMEAN)/TODEV)*3</f>
        <v>9.20599030666216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SUMIF(Games!$A$2:$A$186,$A100,Games!$K$2:$K$186)+SUMIF(Games!$B$2:$B$186,$A100,Games!$L$2:$L$186)</f>
        <v>2</v>
      </c>
      <c r="C100" s="0" t="n">
        <f aca="false">SUMIF(Games!$A$2:$A$186,$A100,Games!$L$2:$L$186)+SUMIF(Games!$B$2:$B$186,$A100,Games!$K$2:$K$186)</f>
        <v>1</v>
      </c>
      <c r="D100" s="0" t="n">
        <f aca="false">SUMIF(Games!$A$2:$A$186,$A100,Games!$O$2:$O$186)+SUMIF(Games!$B$2:$B$186,$A100,Games!$M$2:$M$186)</f>
        <v>9</v>
      </c>
      <c r="E100" s="0" t="n">
        <f aca="false">SUMIF(Games!$A$2:$A$186,$A100,Games!$P$2:$P$186)+SUMIF(Games!$B$2:$B$186,$A100,Games!$N$2:$N$186)</f>
        <v>82</v>
      </c>
      <c r="F100" s="0" t="n">
        <f aca="false">SUMIF(Games!$A$2:$A$186,$A100,Games!$S$2:$S$186)+SUMIF(Games!$B$2:$B$186,$A100,Games!$Q$2:$Q$186)</f>
        <v>122</v>
      </c>
      <c r="G100" s="0" t="n">
        <f aca="false">SUMIF(Games!$A$2:$A$186,$A100,Games!$T$2:$T$186)+SUMIF(Games!$B$2:$B$186,$A100,Games!$R$2:$R$186)</f>
        <v>67</v>
      </c>
      <c r="H100" s="0" t="n">
        <f aca="false">SUMIF(Games!$A$2:$A$186,$A100,Games!$U$2:$U$186)+SUMIF(Games!$B$2:$B$186,$A100,Games!$V$2:$V$186)</f>
        <v>0.946300589201198</v>
      </c>
      <c r="I100" s="0" t="n">
        <f aca="false">SUMIF(Games!$A$2:$A$186,$A100,Games!$E$2:$E$186)+SUMIF(Games!$B$2:$B$186,$A100,Games!$F$2:$F$186)</f>
        <v>494</v>
      </c>
      <c r="J100" s="0" t="n">
        <f aca="false">IFERROR(I100/(B100+C100),0)</f>
        <v>164.666666666667</v>
      </c>
      <c r="K100" s="0" t="n">
        <f aca="false">SUMIF(Games!$A$2:$A$186,$A100,Games!$F$2:$F$186)+SUMIF(Games!$B$2:$B$186,$A100,Games!$E$2:$E$186)</f>
        <v>362</v>
      </c>
      <c r="L100" s="0" t="n">
        <f aca="false">SUMIF(Games!$A$2:$A$186,$A100,Games!$G$2:$G$186)+SUMIF(Games!$B$2:$B$186,$A100,Games!$H$2:$H$186)</f>
        <v>788</v>
      </c>
      <c r="M100" s="0" t="n">
        <f aca="false">IFERROR(L100/(B100+C100),0)</f>
        <v>262.666666666667</v>
      </c>
      <c r="N100" s="0" t="n">
        <f aca="false">SUMIF(Games!$A$2:$A$186,$A100,Games!$H$2:$H$186)+SUMIF(Games!$B$2:$B$186,$A100,Games!$G$2:$G$186)</f>
        <v>764</v>
      </c>
      <c r="O100" s="0" t="n">
        <f aca="false">SUMIF(Games!$A$2:$A$186,$A100,Games!$I$2:$I$186)+SUMIF(Games!$B$2:$B$186,$A100,Games!$J$2:$J$186)</f>
        <v>3</v>
      </c>
      <c r="P100" s="0" t="n">
        <f aca="false">SUMIF(Games!$A$2:$A$186,$A100,Games!$J$2:$J$186)+SUMIF(Games!$B$2:$B$186,$A100,Games!$I$2:$I$186)</f>
        <v>4</v>
      </c>
      <c r="R100" s="0" t="n">
        <f aca="false">IFERROR((K100+N100)/(B100+C100),0)</f>
        <v>375.333333333333</v>
      </c>
      <c r="S100" s="0" t="n">
        <f aca="false">P100-O100</f>
        <v>1</v>
      </c>
      <c r="T100" s="0" t="n">
        <f aca="false">IFERROR((D100/(D100+E100))*(F100/(F100+G100)),0)</f>
        <v>0.0638409209837781</v>
      </c>
      <c r="U100" s="0" t="n">
        <f aca="false">RANK(T100,T$2:T$139)</f>
        <v>22</v>
      </c>
      <c r="V100" s="0" t="n">
        <f aca="false">IFERROR((B100/(B100+C100))*25,0)+IFERROR((D100/(D100+E100))*25,0)+IFERROR((F100/(F100+G100))*10,0)+H100+((J100-RMEAN)/RDEV)*5+((M100-PMEAN)/PDEV)*5+((DMEAN-R100)/DDEV)*7+((S100-TOMEAN)/TODEV)*3</f>
        <v>24.3692790209908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SUMIF(Games!$A$2:$A$186,$A101,Games!$K$2:$K$186)+SUMIF(Games!$B$2:$B$186,$A101,Games!$L$2:$L$186)</f>
        <v>1</v>
      </c>
      <c r="C101" s="0" t="n">
        <f aca="false">SUMIF(Games!$A$2:$A$186,$A101,Games!$L$2:$L$186)+SUMIF(Games!$B$2:$B$186,$A101,Games!$K$2:$K$186)</f>
        <v>1</v>
      </c>
      <c r="D101" s="0" t="n">
        <f aca="false">SUMIF(Games!$A$2:$A$186,$A101,Games!$O$2:$O$186)+SUMIF(Games!$B$2:$B$186,$A101,Games!$M$2:$M$186)</f>
        <v>6</v>
      </c>
      <c r="E101" s="0" t="n">
        <f aca="false">SUMIF(Games!$A$2:$A$186,$A101,Games!$P$2:$P$186)+SUMIF(Games!$B$2:$B$186,$A101,Games!$N$2:$N$186)</f>
        <v>81</v>
      </c>
      <c r="F101" s="0" t="n">
        <f aca="false">SUMIF(Games!$A$2:$A$186,$A101,Games!$S$2:$S$186)+SUMIF(Games!$B$2:$B$186,$A101,Games!$Q$2:$Q$186)</f>
        <v>116</v>
      </c>
      <c r="G101" s="0" t="n">
        <f aca="false">SUMIF(Games!$A$2:$A$186,$A101,Games!$T$2:$T$186)+SUMIF(Games!$B$2:$B$186,$A101,Games!$R$2:$R$186)</f>
        <v>62</v>
      </c>
      <c r="H101" s="0" t="n">
        <f aca="false">SUMIF(Games!$A$2:$A$186,$A101,Games!$U$2:$U$186)+SUMIF(Games!$B$2:$B$186,$A101,Games!$V$2:$V$186)</f>
        <v>0.455037187288709</v>
      </c>
      <c r="I101" s="0" t="n">
        <f aca="false">SUMIF(Games!$A$2:$A$186,$A101,Games!$E$2:$E$186)+SUMIF(Games!$B$2:$B$186,$A101,Games!$F$2:$F$186)</f>
        <v>423</v>
      </c>
      <c r="J101" s="0" t="n">
        <f aca="false">IFERROR(I101/(B101+C101),0)</f>
        <v>211.5</v>
      </c>
      <c r="K101" s="0" t="n">
        <f aca="false">SUMIF(Games!$A$2:$A$186,$A101,Games!$F$2:$F$186)+SUMIF(Games!$B$2:$B$186,$A101,Games!$E$2:$E$186)</f>
        <v>257</v>
      </c>
      <c r="L101" s="0" t="n">
        <f aca="false">SUMIF(Games!$A$2:$A$186,$A101,Games!$G$2:$G$186)+SUMIF(Games!$B$2:$B$186,$A101,Games!$H$2:$H$186)</f>
        <v>450</v>
      </c>
      <c r="M101" s="0" t="n">
        <f aca="false">IFERROR(L101/(B101+C101),0)</f>
        <v>225</v>
      </c>
      <c r="N101" s="0" t="n">
        <f aca="false">SUMIF(Games!$A$2:$A$186,$A101,Games!$H$2:$H$186)+SUMIF(Games!$B$2:$B$186,$A101,Games!$G$2:$G$186)</f>
        <v>398</v>
      </c>
      <c r="O101" s="0" t="n">
        <f aca="false">SUMIF(Games!$A$2:$A$186,$A101,Games!$I$2:$I$186)+SUMIF(Games!$B$2:$B$186,$A101,Games!$J$2:$J$186)</f>
        <v>0</v>
      </c>
      <c r="P101" s="0" t="n">
        <f aca="false">SUMIF(Games!$A$2:$A$186,$A101,Games!$J$2:$J$186)+SUMIF(Games!$B$2:$B$186,$A101,Games!$I$2:$I$186)</f>
        <v>2</v>
      </c>
      <c r="R101" s="0" t="n">
        <f aca="false">IFERROR((K101+N101)/(B101+C101),0)</f>
        <v>327.5</v>
      </c>
      <c r="S101" s="0" t="n">
        <f aca="false">P101-O101</f>
        <v>2</v>
      </c>
      <c r="T101" s="0" t="n">
        <f aca="false">IFERROR((D101/(D101+E101))*(F101/(F101+G101)),0)</f>
        <v>0.0449438202247191</v>
      </c>
      <c r="U101" s="0" t="n">
        <f aca="false">RANK(T101,T$2:T$139)</f>
        <v>71</v>
      </c>
      <c r="V101" s="0" t="n">
        <f aca="false">IFERROR((B101/(B101+C101))*25,0)+IFERROR((D101/(D101+E101))*25,0)+IFERROR((F101/(F101+G101))*10,0)+H101+((J101-RMEAN)/RDEV)*5+((M101-PMEAN)/PDEV)*5+((DMEAN-R101)/DDEV)*7+((S101-TOMEAN)/TODEV)*3</f>
        <v>24.9790060363247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SUMIF(Games!$A$2:$A$186,$A102,Games!$K$2:$K$186)+SUMIF(Games!$B$2:$B$186,$A102,Games!$L$2:$L$186)</f>
        <v>2</v>
      </c>
      <c r="C102" s="0" t="n">
        <f aca="false">SUMIF(Games!$A$2:$A$186,$A102,Games!$L$2:$L$186)+SUMIF(Games!$B$2:$B$186,$A102,Games!$K$2:$K$186)</f>
        <v>0</v>
      </c>
      <c r="D102" s="0" t="n">
        <f aca="false">SUMIF(Games!$A$2:$A$186,$A102,Games!$O$2:$O$186)+SUMIF(Games!$B$2:$B$186,$A102,Games!$M$2:$M$186)</f>
        <v>6</v>
      </c>
      <c r="E102" s="0" t="n">
        <f aca="false">SUMIF(Games!$A$2:$A$186,$A102,Games!$P$2:$P$186)+SUMIF(Games!$B$2:$B$186,$A102,Games!$N$2:$N$186)</f>
        <v>81</v>
      </c>
      <c r="F102" s="0" t="n">
        <f aca="false">SUMIF(Games!$A$2:$A$186,$A102,Games!$S$2:$S$186)+SUMIF(Games!$B$2:$B$186,$A102,Games!$Q$2:$Q$186)</f>
        <v>120</v>
      </c>
      <c r="G102" s="0" t="n">
        <f aca="false">SUMIF(Games!$A$2:$A$186,$A102,Games!$T$2:$T$186)+SUMIF(Games!$B$2:$B$186,$A102,Games!$R$2:$R$186)</f>
        <v>141</v>
      </c>
      <c r="H102" s="0" t="n">
        <f aca="false">SUMIF(Games!$A$2:$A$186,$A102,Games!$U$2:$U$186)+SUMIF(Games!$B$2:$B$186,$A102,Games!$V$2:$V$186)</f>
        <v>2.74509803921569</v>
      </c>
      <c r="I102" s="0" t="n">
        <f aca="false">SUMIF(Games!$A$2:$A$186,$A102,Games!$E$2:$E$186)+SUMIF(Games!$B$2:$B$186,$A102,Games!$F$2:$F$186)</f>
        <v>683</v>
      </c>
      <c r="J102" s="0" t="n">
        <f aca="false">IFERROR(I102/(B102+C102),0)</f>
        <v>341.5</v>
      </c>
      <c r="K102" s="0" t="n">
        <f aca="false">SUMIF(Games!$A$2:$A$186,$A102,Games!$F$2:$F$186)+SUMIF(Games!$B$2:$B$186,$A102,Games!$E$2:$E$186)</f>
        <v>121</v>
      </c>
      <c r="L102" s="0" t="n">
        <f aca="false">SUMIF(Games!$A$2:$A$186,$A102,Games!$G$2:$G$186)+SUMIF(Games!$B$2:$B$186,$A102,Games!$H$2:$H$186)</f>
        <v>464</v>
      </c>
      <c r="M102" s="0" t="n">
        <f aca="false">IFERROR(L102/(B102+C102),0)</f>
        <v>232</v>
      </c>
      <c r="N102" s="0" t="n">
        <f aca="false">SUMIF(Games!$A$2:$A$186,$A102,Games!$H$2:$H$186)+SUMIF(Games!$B$2:$B$186,$A102,Games!$G$2:$G$186)</f>
        <v>261</v>
      </c>
      <c r="O102" s="0" t="n">
        <f aca="false">SUMIF(Games!$A$2:$A$186,$A102,Games!$I$2:$I$186)+SUMIF(Games!$B$2:$B$186,$A102,Games!$J$2:$J$186)</f>
        <v>2</v>
      </c>
      <c r="P102" s="0" t="n">
        <f aca="false">SUMIF(Games!$A$2:$A$186,$A102,Games!$J$2:$J$186)+SUMIF(Games!$B$2:$B$186,$A102,Games!$I$2:$I$186)</f>
        <v>1</v>
      </c>
      <c r="R102" s="0" t="n">
        <f aca="false">IFERROR((K102+N102)/(B102+C102),0)</f>
        <v>191</v>
      </c>
      <c r="S102" s="0" t="n">
        <f aca="false">P102-O102</f>
        <v>-1</v>
      </c>
      <c r="T102" s="0" t="n">
        <f aca="false">IFERROR((D102/(D102+E102))*(F102/(F102+G102)),0)</f>
        <v>0.0317082837891399</v>
      </c>
      <c r="U102" s="0" t="n">
        <f aca="false">RANK(T102,T$2:T$139)</f>
        <v>118</v>
      </c>
      <c r="V102" s="0" t="n">
        <f aca="false">IFERROR((B102/(B102+C102))*25,0)+IFERROR((D102/(D102+E102))*25,0)+IFERROR((F102/(F102+G102))*10,0)+H102+((J102-RMEAN)/RDEV)*5+((M102-PMEAN)/PDEV)*5+((DMEAN-R102)/DDEV)*7+((S102-TOMEAN)/TODEV)*3</f>
        <v>55.4298173127944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SUMIF(Games!$A$2:$A$186,$A103,Games!$K$2:$K$186)+SUMIF(Games!$B$2:$B$186,$A103,Games!$L$2:$L$186)</f>
        <v>1</v>
      </c>
      <c r="C103" s="0" t="n">
        <f aca="false">SUMIF(Games!$A$2:$A$186,$A103,Games!$L$2:$L$186)+SUMIF(Games!$B$2:$B$186,$A103,Games!$K$2:$K$186)</f>
        <v>1</v>
      </c>
      <c r="D103" s="0" t="n">
        <f aca="false">SUMIF(Games!$A$2:$A$186,$A103,Games!$O$2:$O$186)+SUMIF(Games!$B$2:$B$186,$A103,Games!$M$2:$M$186)</f>
        <v>7</v>
      </c>
      <c r="E103" s="0" t="n">
        <f aca="false">SUMIF(Games!$A$2:$A$186,$A103,Games!$P$2:$P$186)+SUMIF(Games!$B$2:$B$186,$A103,Games!$N$2:$N$186)</f>
        <v>80</v>
      </c>
      <c r="F103" s="0" t="n">
        <f aca="false">SUMIF(Games!$A$2:$A$186,$A103,Games!$S$2:$S$186)+SUMIF(Games!$B$2:$B$186,$A103,Games!$Q$2:$Q$186)</f>
        <v>115</v>
      </c>
      <c r="G103" s="0" t="n">
        <f aca="false">SUMIF(Games!$A$2:$A$186,$A103,Games!$T$2:$T$186)+SUMIF(Games!$B$2:$B$186,$A103,Games!$R$2:$R$186)</f>
        <v>63</v>
      </c>
      <c r="H103" s="0" t="n">
        <f aca="false">SUMIF(Games!$A$2:$A$186,$A103,Games!$U$2:$U$186)+SUMIF(Games!$B$2:$B$186,$A103,Games!$V$2:$V$186)</f>
        <v>-0.412947937795808</v>
      </c>
      <c r="I103" s="0" t="n">
        <f aca="false">SUMIF(Games!$A$2:$A$186,$A103,Games!$E$2:$E$186)+SUMIF(Games!$B$2:$B$186,$A103,Games!$F$2:$F$186)</f>
        <v>367</v>
      </c>
      <c r="J103" s="0" t="n">
        <f aca="false">IFERROR(I103/(B103+C103),0)</f>
        <v>183.5</v>
      </c>
      <c r="K103" s="0" t="n">
        <f aca="false">SUMIF(Games!$A$2:$A$186,$A103,Games!$F$2:$F$186)+SUMIF(Games!$B$2:$B$186,$A103,Games!$E$2:$E$186)</f>
        <v>447</v>
      </c>
      <c r="L103" s="0" t="n">
        <f aca="false">SUMIF(Games!$A$2:$A$186,$A103,Games!$G$2:$G$186)+SUMIF(Games!$B$2:$B$186,$A103,Games!$H$2:$H$186)</f>
        <v>397</v>
      </c>
      <c r="M103" s="0" t="n">
        <f aca="false">IFERROR(L103/(B103+C103),0)</f>
        <v>198.5</v>
      </c>
      <c r="N103" s="0" t="n">
        <f aca="false">SUMIF(Games!$A$2:$A$186,$A103,Games!$H$2:$H$186)+SUMIF(Games!$B$2:$B$186,$A103,Games!$G$2:$G$186)</f>
        <v>386</v>
      </c>
      <c r="O103" s="0" t="n">
        <f aca="false">SUMIF(Games!$A$2:$A$186,$A103,Games!$I$2:$I$186)+SUMIF(Games!$B$2:$B$186,$A103,Games!$J$2:$J$186)</f>
        <v>3</v>
      </c>
      <c r="P103" s="0" t="n">
        <f aca="false">SUMIF(Games!$A$2:$A$186,$A103,Games!$J$2:$J$186)+SUMIF(Games!$B$2:$B$186,$A103,Games!$I$2:$I$186)</f>
        <v>6</v>
      </c>
      <c r="R103" s="0" t="n">
        <f aca="false">IFERROR((K103+N103)/(B103+C103),0)</f>
        <v>416.5</v>
      </c>
      <c r="S103" s="0" t="n">
        <f aca="false">P103-O103</f>
        <v>3</v>
      </c>
      <c r="T103" s="0" t="n">
        <f aca="false">IFERROR((D103/(D103+E103))*(F103/(F103+G103)),0)</f>
        <v>0.0519824357484179</v>
      </c>
      <c r="U103" s="0" t="n">
        <f aca="false">RANK(T103,T$2:T$139)</f>
        <v>39</v>
      </c>
      <c r="V103" s="0" t="n">
        <f aca="false">IFERROR((B103/(B103+C103))*25,0)+IFERROR((D103/(D103+E103))*25,0)+IFERROR((F103/(F103+G103))*10,0)+H103+((J103-RMEAN)/RDEV)*5+((M103-PMEAN)/PDEV)*5+((DMEAN-R103)/DDEV)*7+((S103-TOMEAN)/TODEV)*3</f>
        <v>14.5084449905236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SUMIF(Games!$A$2:$A$186,$A104,Games!$K$2:$K$186)+SUMIF(Games!$B$2:$B$186,$A104,Games!$L$2:$L$186)</f>
        <v>1</v>
      </c>
      <c r="C104" s="0" t="n">
        <f aca="false">SUMIF(Games!$A$2:$A$186,$A104,Games!$L$2:$L$186)+SUMIF(Games!$B$2:$B$186,$A104,Games!$K$2:$K$186)</f>
        <v>1</v>
      </c>
      <c r="D104" s="0" t="n">
        <f aca="false">SUMIF(Games!$A$2:$A$186,$A104,Games!$O$2:$O$186)+SUMIF(Games!$B$2:$B$186,$A104,Games!$M$2:$M$186)</f>
        <v>3</v>
      </c>
      <c r="E104" s="0" t="n">
        <f aca="false">SUMIF(Games!$A$2:$A$186,$A104,Games!$P$2:$P$186)+SUMIF(Games!$B$2:$B$186,$A104,Games!$N$2:$N$186)</f>
        <v>2</v>
      </c>
      <c r="F104" s="0" t="n">
        <f aca="false">SUMIF(Games!$A$2:$A$186,$A104,Games!$S$2:$S$186)+SUMIF(Games!$B$2:$B$186,$A104,Games!$Q$2:$Q$186)</f>
        <v>9</v>
      </c>
      <c r="G104" s="0" t="n">
        <f aca="false">SUMIF(Games!$A$2:$A$186,$A104,Games!$T$2:$T$186)+SUMIF(Games!$B$2:$B$186,$A104,Games!$R$2:$R$186)</f>
        <v>86</v>
      </c>
      <c r="H104" s="0" t="n">
        <f aca="false">SUMIF(Games!$A$2:$A$186,$A104,Games!$U$2:$U$186)+SUMIF(Games!$B$2:$B$186,$A104,Games!$V$2:$V$186)</f>
        <v>-2.00862068965517</v>
      </c>
      <c r="I104" s="0" t="n">
        <f aca="false">SUMIF(Games!$A$2:$A$186,$A104,Games!$E$2:$E$186)+SUMIF(Games!$B$2:$B$186,$A104,Games!$F$2:$F$186)</f>
        <v>251</v>
      </c>
      <c r="J104" s="0" t="n">
        <f aca="false">IFERROR(I104/(B104+C104),0)</f>
        <v>125.5</v>
      </c>
      <c r="K104" s="0" t="n">
        <f aca="false">SUMIF(Games!$A$2:$A$186,$A104,Games!$F$2:$F$186)+SUMIF(Games!$B$2:$B$186,$A104,Games!$E$2:$E$186)</f>
        <v>167</v>
      </c>
      <c r="L104" s="0" t="n">
        <f aca="false">SUMIF(Games!$A$2:$A$186,$A104,Games!$G$2:$G$186)+SUMIF(Games!$B$2:$B$186,$A104,Games!$H$2:$H$186)</f>
        <v>531</v>
      </c>
      <c r="M104" s="0" t="n">
        <f aca="false">IFERROR(L104/(B104+C104),0)</f>
        <v>265.5</v>
      </c>
      <c r="N104" s="0" t="n">
        <f aca="false">SUMIF(Games!$A$2:$A$186,$A104,Games!$H$2:$H$186)+SUMIF(Games!$B$2:$B$186,$A104,Games!$G$2:$G$186)</f>
        <v>704</v>
      </c>
      <c r="O104" s="0" t="n">
        <f aca="false">SUMIF(Games!$A$2:$A$186,$A104,Games!$I$2:$I$186)+SUMIF(Games!$B$2:$B$186,$A104,Games!$J$2:$J$186)</f>
        <v>0</v>
      </c>
      <c r="P104" s="0" t="n">
        <f aca="false">SUMIF(Games!$A$2:$A$186,$A104,Games!$J$2:$J$186)+SUMIF(Games!$B$2:$B$186,$A104,Games!$I$2:$I$186)</f>
        <v>3</v>
      </c>
      <c r="R104" s="0" t="n">
        <f aca="false">IFERROR((K104+N104)/(B104+C104),0)</f>
        <v>435.5</v>
      </c>
      <c r="S104" s="0" t="n">
        <f aca="false">P104-O104</f>
        <v>3</v>
      </c>
      <c r="T104" s="0" t="n">
        <f aca="false">IFERROR((D104/(D104+E104))*(F104/(F104+G104)),0)</f>
        <v>0.0568421052631579</v>
      </c>
      <c r="U104" s="0" t="n">
        <f aca="false">RANK(T104,T$2:T$139)</f>
        <v>32</v>
      </c>
      <c r="V104" s="0" t="n">
        <f aca="false">IFERROR((B104/(B104+C104))*25,0)+IFERROR((D104/(D104+E104))*25,0)+IFERROR((F104/(F104+G104))*10,0)+H104+((J104-RMEAN)/RDEV)*5+((M104-PMEAN)/PDEV)*5+((DMEAN-R104)/DDEV)*7+((S104-TOMEAN)/TODEV)*3</f>
        <v>19.1079567673738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SUMIF(Games!$A$2:$A$186,$A105,Games!$K$2:$K$186)+SUMIF(Games!$B$2:$B$186,$A105,Games!$L$2:$L$186)</f>
        <v>1</v>
      </c>
      <c r="C105" s="0" t="n">
        <f aca="false">SUMIF(Games!$A$2:$A$186,$A105,Games!$L$2:$L$186)+SUMIF(Games!$B$2:$B$186,$A105,Games!$K$2:$K$186)</f>
        <v>1</v>
      </c>
      <c r="D105" s="0" t="n">
        <f aca="false">SUMIF(Games!$A$2:$A$186,$A105,Games!$O$2:$O$186)+SUMIF(Games!$B$2:$B$186,$A105,Games!$M$2:$M$186)</f>
        <v>6</v>
      </c>
      <c r="E105" s="0" t="n">
        <f aca="false">SUMIF(Games!$A$2:$A$186,$A105,Games!$P$2:$P$186)+SUMIF(Games!$B$2:$B$186,$A105,Games!$N$2:$N$186)</f>
        <v>81</v>
      </c>
      <c r="F105" s="0" t="n">
        <f aca="false">SUMIF(Games!$A$2:$A$186,$A105,Games!$S$2:$S$186)+SUMIF(Games!$B$2:$B$186,$A105,Games!$Q$2:$Q$186)</f>
        <v>116</v>
      </c>
      <c r="G105" s="0" t="n">
        <f aca="false">SUMIF(Games!$A$2:$A$186,$A105,Games!$T$2:$T$186)+SUMIF(Games!$B$2:$B$186,$A105,Games!$R$2:$R$186)</f>
        <v>62</v>
      </c>
      <c r="H105" s="0" t="n">
        <f aca="false">SUMIF(Games!$A$2:$A$186,$A105,Games!$U$2:$U$186)+SUMIF(Games!$B$2:$B$186,$A105,Games!$V$2:$V$186)</f>
        <v>0.962052062204192</v>
      </c>
      <c r="I105" s="0" t="n">
        <f aca="false">SUMIF(Games!$A$2:$A$186,$A105,Games!$E$2:$E$186)+SUMIF(Games!$B$2:$B$186,$A105,Games!$F$2:$F$186)</f>
        <v>356</v>
      </c>
      <c r="J105" s="0" t="n">
        <f aca="false">IFERROR(I105/(B105+C105),0)</f>
        <v>178</v>
      </c>
      <c r="K105" s="0" t="n">
        <f aca="false">SUMIF(Games!$A$2:$A$186,$A105,Games!$F$2:$F$186)+SUMIF(Games!$B$2:$B$186,$A105,Games!$E$2:$E$186)</f>
        <v>127</v>
      </c>
      <c r="L105" s="0" t="n">
        <f aca="false">SUMIF(Games!$A$2:$A$186,$A105,Games!$G$2:$G$186)+SUMIF(Games!$B$2:$B$186,$A105,Games!$H$2:$H$186)</f>
        <v>593</v>
      </c>
      <c r="M105" s="0" t="n">
        <f aca="false">IFERROR(L105/(B105+C105),0)</f>
        <v>296.5</v>
      </c>
      <c r="N105" s="0" t="n">
        <f aca="false">SUMIF(Games!$A$2:$A$186,$A105,Games!$H$2:$H$186)+SUMIF(Games!$B$2:$B$186,$A105,Games!$G$2:$G$186)</f>
        <v>281</v>
      </c>
      <c r="O105" s="0" t="n">
        <f aca="false">SUMIF(Games!$A$2:$A$186,$A105,Games!$I$2:$I$186)+SUMIF(Games!$B$2:$B$186,$A105,Games!$J$2:$J$186)</f>
        <v>3</v>
      </c>
      <c r="P105" s="0" t="n">
        <f aca="false">SUMIF(Games!$A$2:$A$186,$A105,Games!$J$2:$J$186)+SUMIF(Games!$B$2:$B$186,$A105,Games!$I$2:$I$186)</f>
        <v>3</v>
      </c>
      <c r="R105" s="0" t="n">
        <f aca="false">IFERROR((K105+N105)/(B105+C105),0)</f>
        <v>204</v>
      </c>
      <c r="S105" s="0" t="n">
        <f aca="false">P105-O105</f>
        <v>0</v>
      </c>
      <c r="T105" s="0" t="n">
        <f aca="false">IFERROR((D105/(D105+E105))*(F105/(F105+G105)),0)</f>
        <v>0.0449438202247191</v>
      </c>
      <c r="U105" s="0" t="n">
        <f aca="false">RANK(T105,T$2:T$139)</f>
        <v>71</v>
      </c>
      <c r="V105" s="0" t="n">
        <f aca="false">IFERROR((B105/(B105+C105))*25,0)+IFERROR((D105/(D105+E105))*25,0)+IFERROR((F105/(F105+G105))*10,0)+H105+((J105-RMEAN)/RDEV)*5+((M105-PMEAN)/PDEV)*5+((DMEAN-R105)/DDEV)*7+((S105-TOMEAN)/TODEV)*3</f>
        <v>35.3259802583203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SUMIF(Games!$A$2:$A$186,$A106,Games!$K$2:$K$186)+SUMIF(Games!$B$2:$B$186,$A106,Games!$L$2:$L$186)</f>
        <v>1</v>
      </c>
      <c r="C106" s="0" t="n">
        <f aca="false">SUMIF(Games!$A$2:$A$186,$A106,Games!$L$2:$L$186)+SUMIF(Games!$B$2:$B$186,$A106,Games!$K$2:$K$186)</f>
        <v>1</v>
      </c>
      <c r="D106" s="0" t="n">
        <f aca="false">SUMIF(Games!$A$2:$A$186,$A106,Games!$O$2:$O$186)+SUMIF(Games!$B$2:$B$186,$A106,Games!$M$2:$M$186)</f>
        <v>7</v>
      </c>
      <c r="E106" s="0" t="n">
        <f aca="false">SUMIF(Games!$A$2:$A$186,$A106,Games!$P$2:$P$186)+SUMIF(Games!$B$2:$B$186,$A106,Games!$N$2:$N$186)</f>
        <v>80</v>
      </c>
      <c r="F106" s="0" t="n">
        <f aca="false">SUMIF(Games!$A$2:$A$186,$A106,Games!$S$2:$S$186)+SUMIF(Games!$B$2:$B$186,$A106,Games!$Q$2:$Q$186)</f>
        <v>119</v>
      </c>
      <c r="G106" s="0" t="n">
        <f aca="false">SUMIF(Games!$A$2:$A$186,$A106,Games!$T$2:$T$186)+SUMIF(Games!$B$2:$B$186,$A106,Games!$R$2:$R$186)</f>
        <v>142</v>
      </c>
      <c r="H106" s="0" t="n">
        <f aca="false">SUMIF(Games!$A$2:$A$186,$A106,Games!$U$2:$U$186)+SUMIF(Games!$B$2:$B$186,$A106,Games!$V$2:$V$186)</f>
        <v>0.871534820824882</v>
      </c>
      <c r="I106" s="0" t="n">
        <f aca="false">SUMIF(Games!$A$2:$A$186,$A106,Games!$E$2:$E$186)+SUMIF(Games!$B$2:$B$186,$A106,Games!$F$2:$F$186)</f>
        <v>391</v>
      </c>
      <c r="J106" s="0" t="n">
        <f aca="false">IFERROR(I106/(B106+C106),0)</f>
        <v>195.5</v>
      </c>
      <c r="K106" s="0" t="n">
        <f aca="false">SUMIF(Games!$A$2:$A$186,$A106,Games!$F$2:$F$186)+SUMIF(Games!$B$2:$B$186,$A106,Games!$E$2:$E$186)</f>
        <v>110</v>
      </c>
      <c r="L106" s="0" t="n">
        <f aca="false">SUMIF(Games!$A$2:$A$186,$A106,Games!$G$2:$G$186)+SUMIF(Games!$B$2:$B$186,$A106,Games!$H$2:$H$186)</f>
        <v>566</v>
      </c>
      <c r="M106" s="0" t="n">
        <f aca="false">IFERROR(L106/(B106+C106),0)</f>
        <v>283</v>
      </c>
      <c r="N106" s="0" t="n">
        <f aca="false">SUMIF(Games!$A$2:$A$186,$A106,Games!$H$2:$H$186)+SUMIF(Games!$B$2:$B$186,$A106,Games!$G$2:$G$186)</f>
        <v>422</v>
      </c>
      <c r="O106" s="0" t="n">
        <f aca="false">SUMIF(Games!$A$2:$A$186,$A106,Games!$I$2:$I$186)+SUMIF(Games!$B$2:$B$186,$A106,Games!$J$2:$J$186)</f>
        <v>2</v>
      </c>
      <c r="P106" s="0" t="n">
        <f aca="false">SUMIF(Games!$A$2:$A$186,$A106,Games!$J$2:$J$186)+SUMIF(Games!$B$2:$B$186,$A106,Games!$I$2:$I$186)</f>
        <v>4</v>
      </c>
      <c r="R106" s="0" t="n">
        <f aca="false">IFERROR((K106+N106)/(B106+C106),0)</f>
        <v>266</v>
      </c>
      <c r="S106" s="0" t="n">
        <f aca="false">P106-O106</f>
        <v>2</v>
      </c>
      <c r="T106" s="0" t="n">
        <f aca="false">IFERROR((D106/(D106+E106))*(F106/(F106+G106)),0)</f>
        <v>0.0366847227727133</v>
      </c>
      <c r="U106" s="0" t="n">
        <f aca="false">RANK(T106,T$2:T$139)</f>
        <v>104</v>
      </c>
      <c r="V106" s="0" t="n">
        <f aca="false">IFERROR((B106/(B106+C106))*25,0)+IFERROR((D106/(D106+E106))*25,0)+IFERROR((F106/(F106+G106))*10,0)+H106+((J106-RMEAN)/RDEV)*5+((M106-PMEAN)/PDEV)*5+((DMEAN-R106)/DDEV)*7+((S106-TOMEAN)/TODEV)*3</f>
        <v>31.4133035804413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SUMIF(Games!$A$2:$A$186,$A107,Games!$K$2:$K$186)+SUMIF(Games!$B$2:$B$186,$A107,Games!$L$2:$L$186)</f>
        <v>1</v>
      </c>
      <c r="C107" s="0" t="n">
        <f aca="false">SUMIF(Games!$A$2:$A$186,$A107,Games!$L$2:$L$186)+SUMIF(Games!$B$2:$B$186,$A107,Games!$K$2:$K$186)</f>
        <v>1</v>
      </c>
      <c r="D107" s="0" t="n">
        <f aca="false">SUMIF(Games!$A$2:$A$186,$A107,Games!$O$2:$O$186)+SUMIF(Games!$B$2:$B$186,$A107,Games!$M$2:$M$186)</f>
        <v>7</v>
      </c>
      <c r="E107" s="0" t="n">
        <f aca="false">SUMIF(Games!$A$2:$A$186,$A107,Games!$P$2:$P$186)+SUMIF(Games!$B$2:$B$186,$A107,Games!$N$2:$N$186)</f>
        <v>80</v>
      </c>
      <c r="F107" s="0" t="n">
        <f aca="false">SUMIF(Games!$A$2:$A$186,$A107,Games!$S$2:$S$186)+SUMIF(Games!$B$2:$B$186,$A107,Games!$Q$2:$Q$186)</f>
        <v>115</v>
      </c>
      <c r="G107" s="0" t="n">
        <f aca="false">SUMIF(Games!$A$2:$A$186,$A107,Games!$T$2:$T$186)+SUMIF(Games!$B$2:$B$186,$A107,Games!$R$2:$R$186)</f>
        <v>63</v>
      </c>
      <c r="H107" s="0" t="n">
        <f aca="false">SUMIF(Games!$A$2:$A$186,$A107,Games!$U$2:$U$186)+SUMIF(Games!$B$2:$B$186,$A107,Games!$V$2:$V$186)</f>
        <v>0.0168356997971602</v>
      </c>
      <c r="I107" s="0" t="n">
        <f aca="false">SUMIF(Games!$A$2:$A$186,$A107,Games!$E$2:$E$186)+SUMIF(Games!$B$2:$B$186,$A107,Games!$F$2:$F$186)</f>
        <v>403</v>
      </c>
      <c r="J107" s="0" t="n">
        <f aca="false">IFERROR(I107/(B107+C107),0)</f>
        <v>201.5</v>
      </c>
      <c r="K107" s="0" t="n">
        <f aca="false">SUMIF(Games!$A$2:$A$186,$A107,Games!$F$2:$F$186)+SUMIF(Games!$B$2:$B$186,$A107,Games!$E$2:$E$186)</f>
        <v>245</v>
      </c>
      <c r="L107" s="0" t="n">
        <f aca="false">SUMIF(Games!$A$2:$A$186,$A107,Games!$G$2:$G$186)+SUMIF(Games!$B$2:$B$186,$A107,Games!$H$2:$H$186)</f>
        <v>249</v>
      </c>
      <c r="M107" s="0" t="n">
        <f aca="false">IFERROR(L107/(B107+C107),0)</f>
        <v>124.5</v>
      </c>
      <c r="N107" s="0" t="n">
        <f aca="false">SUMIF(Games!$A$2:$A$186,$A107,Games!$H$2:$H$186)+SUMIF(Games!$B$2:$B$186,$A107,Games!$G$2:$G$186)</f>
        <v>463</v>
      </c>
      <c r="O107" s="0" t="n">
        <f aca="false">SUMIF(Games!$A$2:$A$186,$A107,Games!$I$2:$I$186)+SUMIF(Games!$B$2:$B$186,$A107,Games!$J$2:$J$186)</f>
        <v>2</v>
      </c>
      <c r="P107" s="0" t="n">
        <f aca="false">SUMIF(Games!$A$2:$A$186,$A107,Games!$J$2:$J$186)+SUMIF(Games!$B$2:$B$186,$A107,Games!$I$2:$I$186)</f>
        <v>3</v>
      </c>
      <c r="R107" s="0" t="n">
        <f aca="false">IFERROR((K107+N107)/(B107+C107),0)</f>
        <v>354</v>
      </c>
      <c r="S107" s="0" t="n">
        <f aca="false">P107-O107</f>
        <v>1</v>
      </c>
      <c r="T107" s="0" t="n">
        <f aca="false">IFERROR((D107/(D107+E107))*(F107/(F107+G107)),0)</f>
        <v>0.0519824357484179</v>
      </c>
      <c r="U107" s="0" t="n">
        <f aca="false">RANK(T107,T$2:T$139)</f>
        <v>39</v>
      </c>
      <c r="V107" s="0" t="n">
        <f aca="false">IFERROR((B107/(B107+C107))*25,0)+IFERROR((D107/(D107+E107))*25,0)+IFERROR((F107/(F107+G107))*10,0)+H107+((J107-RMEAN)/RDEV)*5+((M107-PMEAN)/PDEV)*5+((DMEAN-R107)/DDEV)*7+((S107-TOMEAN)/TODEV)*3</f>
        <v>13.7853388788626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SUMIF(Games!$A$2:$A$186,$A108,Games!$K$2:$K$186)+SUMIF(Games!$B$2:$B$186,$A108,Games!$L$2:$L$186)</f>
        <v>2</v>
      </c>
      <c r="C108" s="0" t="n">
        <f aca="false">SUMIF(Games!$A$2:$A$186,$A108,Games!$L$2:$L$186)+SUMIF(Games!$B$2:$B$186,$A108,Games!$K$2:$K$186)</f>
        <v>0</v>
      </c>
      <c r="D108" s="0" t="n">
        <f aca="false">SUMIF(Games!$A$2:$A$186,$A108,Games!$O$2:$O$186)+SUMIF(Games!$B$2:$B$186,$A108,Games!$M$2:$M$186)</f>
        <v>5</v>
      </c>
      <c r="E108" s="0" t="n">
        <f aca="false">SUMIF(Games!$A$2:$A$186,$A108,Games!$P$2:$P$186)+SUMIF(Games!$B$2:$B$186,$A108,Games!$N$2:$N$186)</f>
        <v>82</v>
      </c>
      <c r="F108" s="0" t="n">
        <f aca="false">SUMIF(Games!$A$2:$A$186,$A108,Games!$S$2:$S$186)+SUMIF(Games!$B$2:$B$186,$A108,Games!$Q$2:$Q$186)</f>
        <v>117</v>
      </c>
      <c r="G108" s="0" t="n">
        <f aca="false">SUMIF(Games!$A$2:$A$186,$A108,Games!$T$2:$T$186)+SUMIF(Games!$B$2:$B$186,$A108,Games!$R$2:$R$186)</f>
        <v>61</v>
      </c>
      <c r="H108" s="0" t="n">
        <f aca="false">SUMIF(Games!$A$2:$A$186,$A108,Games!$U$2:$U$186)+SUMIF(Games!$B$2:$B$186,$A108,Games!$V$2:$V$186)</f>
        <v>1.33705206220419</v>
      </c>
      <c r="I108" s="0" t="n">
        <f aca="false">SUMIF(Games!$A$2:$A$186,$A108,Games!$E$2:$E$186)+SUMIF(Games!$B$2:$B$186,$A108,Games!$F$2:$F$186)</f>
        <v>628</v>
      </c>
      <c r="J108" s="0" t="n">
        <f aca="false">IFERROR(I108/(B108+C108),0)</f>
        <v>314</v>
      </c>
      <c r="K108" s="0" t="n">
        <f aca="false">SUMIF(Games!$A$2:$A$186,$A108,Games!$F$2:$F$186)+SUMIF(Games!$B$2:$B$186,$A108,Games!$E$2:$E$186)</f>
        <v>313</v>
      </c>
      <c r="L108" s="0" t="n">
        <f aca="false">SUMIF(Games!$A$2:$A$186,$A108,Games!$G$2:$G$186)+SUMIF(Games!$B$2:$B$186,$A108,Games!$H$2:$H$186)</f>
        <v>457</v>
      </c>
      <c r="M108" s="0" t="n">
        <f aca="false">IFERROR(L108/(B108+C108),0)</f>
        <v>228.5</v>
      </c>
      <c r="N108" s="0" t="n">
        <f aca="false">SUMIF(Games!$A$2:$A$186,$A108,Games!$H$2:$H$186)+SUMIF(Games!$B$2:$B$186,$A108,Games!$G$2:$G$186)</f>
        <v>264</v>
      </c>
      <c r="O108" s="0" t="n">
        <f aca="false">SUMIF(Games!$A$2:$A$186,$A108,Games!$I$2:$I$186)+SUMIF(Games!$B$2:$B$186,$A108,Games!$J$2:$J$186)</f>
        <v>2</v>
      </c>
      <c r="P108" s="0" t="n">
        <f aca="false">SUMIF(Games!$A$2:$A$186,$A108,Games!$J$2:$J$186)+SUMIF(Games!$B$2:$B$186,$A108,Games!$I$2:$I$186)</f>
        <v>2</v>
      </c>
      <c r="R108" s="0" t="n">
        <f aca="false">IFERROR((K108+N108)/(B108+C108),0)</f>
        <v>288.5</v>
      </c>
      <c r="S108" s="0" t="n">
        <f aca="false">P108-O108</f>
        <v>0</v>
      </c>
      <c r="T108" s="0" t="n">
        <f aca="false">IFERROR((D108/(D108+E108))*(F108/(F108+G108)),0)</f>
        <v>0.0377760557923286</v>
      </c>
      <c r="U108" s="0" t="n">
        <f aca="false">RANK(T108,T$2:T$139)</f>
        <v>93</v>
      </c>
      <c r="V108" s="0" t="n">
        <f aca="false">IFERROR((B108/(B108+C108))*25,0)+IFERROR((D108/(D108+E108))*25,0)+IFERROR((F108/(F108+G108))*10,0)+H108+((J108-RMEAN)/RDEV)*5+((M108-PMEAN)/PDEV)*5+((DMEAN-R108)/DDEV)*7+((S108-TOMEAN)/TODEV)*3</f>
        <v>46.8199304500216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SUMIF(Games!$A$2:$A$186,$A109,Games!$K$2:$K$186)+SUMIF(Games!$B$2:$B$186,$A109,Games!$L$2:$L$186)</f>
        <v>2</v>
      </c>
      <c r="C109" s="0" t="n">
        <f aca="false">SUMIF(Games!$A$2:$A$186,$A109,Games!$L$2:$L$186)+SUMIF(Games!$B$2:$B$186,$A109,Games!$K$2:$K$186)</f>
        <v>0</v>
      </c>
      <c r="D109" s="0" t="n">
        <f aca="false">SUMIF(Games!$A$2:$A$186,$A109,Games!$O$2:$O$186)+SUMIF(Games!$B$2:$B$186,$A109,Games!$M$2:$M$186)</f>
        <v>1</v>
      </c>
      <c r="E109" s="0" t="n">
        <f aca="false">SUMIF(Games!$A$2:$A$186,$A109,Games!$P$2:$P$186)+SUMIF(Games!$B$2:$B$186,$A109,Games!$N$2:$N$186)</f>
        <v>3</v>
      </c>
      <c r="F109" s="0" t="n">
        <f aca="false">SUMIF(Games!$A$2:$A$186,$A109,Games!$S$2:$S$186)+SUMIF(Games!$B$2:$B$186,$A109,Games!$Q$2:$Q$186)</f>
        <v>7</v>
      </c>
      <c r="G109" s="0" t="n">
        <f aca="false">SUMIF(Games!$A$2:$A$186,$A109,Games!$T$2:$T$186)+SUMIF(Games!$B$2:$B$186,$A109,Games!$R$2:$R$186)</f>
        <v>1</v>
      </c>
      <c r="H109" s="0" t="n">
        <f aca="false">SUMIF(Games!$A$2:$A$186,$A109,Games!$U$2:$U$186)+SUMIF(Games!$B$2:$B$186,$A109,Games!$V$2:$V$186)</f>
        <v>0.375</v>
      </c>
      <c r="I109" s="0" t="n">
        <f aca="false">SUMIF(Games!$A$2:$A$186,$A109,Games!$E$2:$E$186)+SUMIF(Games!$B$2:$B$186,$A109,Games!$F$2:$F$186)</f>
        <v>297</v>
      </c>
      <c r="J109" s="0" t="n">
        <f aca="false">IFERROR(I109/(B109+C109),0)</f>
        <v>148.5</v>
      </c>
      <c r="K109" s="0" t="n">
        <f aca="false">SUMIF(Games!$A$2:$A$186,$A109,Games!$F$2:$F$186)+SUMIF(Games!$B$2:$B$186,$A109,Games!$E$2:$E$186)</f>
        <v>255</v>
      </c>
      <c r="L109" s="0" t="n">
        <f aca="false">SUMIF(Games!$A$2:$A$186,$A109,Games!$G$2:$G$186)+SUMIF(Games!$B$2:$B$186,$A109,Games!$H$2:$H$186)</f>
        <v>555</v>
      </c>
      <c r="M109" s="0" t="n">
        <f aca="false">IFERROR(L109/(B109+C109),0)</f>
        <v>277.5</v>
      </c>
      <c r="N109" s="0" t="n">
        <f aca="false">SUMIF(Games!$A$2:$A$186,$A109,Games!$H$2:$H$186)+SUMIF(Games!$B$2:$B$186,$A109,Games!$G$2:$G$186)</f>
        <v>466</v>
      </c>
      <c r="O109" s="0" t="n">
        <f aca="false">SUMIF(Games!$A$2:$A$186,$A109,Games!$I$2:$I$186)+SUMIF(Games!$B$2:$B$186,$A109,Games!$J$2:$J$186)</f>
        <v>3</v>
      </c>
      <c r="P109" s="0" t="n">
        <f aca="false">SUMIF(Games!$A$2:$A$186,$A109,Games!$J$2:$J$186)+SUMIF(Games!$B$2:$B$186,$A109,Games!$I$2:$I$186)</f>
        <v>4</v>
      </c>
      <c r="R109" s="0" t="n">
        <f aca="false">IFERROR((K109+N109)/(B109+C109),0)</f>
        <v>360.5</v>
      </c>
      <c r="S109" s="0" t="n">
        <f aca="false">P109-O109</f>
        <v>1</v>
      </c>
      <c r="T109" s="0" t="n">
        <f aca="false">IFERROR((D109/(D109+E109))*(F109/(F109+G109)),0)</f>
        <v>0.21875</v>
      </c>
      <c r="U109" s="0" t="n">
        <f aca="false">RANK(T109,T$2:T$139)</f>
        <v>7</v>
      </c>
      <c r="V109" s="0" t="n">
        <f aca="false">IFERROR((B109/(B109+C109))*25,0)+IFERROR((D109/(D109+E109))*25,0)+IFERROR((F109/(F109+G109))*10,0)+H109+((J109-RMEAN)/RDEV)*5+((M109-PMEAN)/PDEV)*5+((DMEAN-R109)/DDEV)*7+((S109-TOMEAN)/TODEV)*3</f>
        <v>39.1869340009113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SUMIF(Games!$A$2:$A$186,$A110,Games!$K$2:$K$186)+SUMIF(Games!$B$2:$B$186,$A110,Games!$L$2:$L$186)</f>
        <v>2</v>
      </c>
      <c r="C110" s="0" t="n">
        <f aca="false">SUMIF(Games!$A$2:$A$186,$A110,Games!$L$2:$L$186)+SUMIF(Games!$B$2:$B$186,$A110,Games!$K$2:$K$186)</f>
        <v>0</v>
      </c>
      <c r="D110" s="0" t="n">
        <f aca="false">SUMIF(Games!$A$2:$A$186,$A110,Games!$O$2:$O$186)+SUMIF(Games!$B$2:$B$186,$A110,Games!$M$2:$M$186)</f>
        <v>2</v>
      </c>
      <c r="E110" s="0" t="n">
        <f aca="false">SUMIF(Games!$A$2:$A$186,$A110,Games!$P$2:$P$186)+SUMIF(Games!$B$2:$B$186,$A110,Games!$N$2:$N$186)</f>
        <v>2</v>
      </c>
      <c r="F110" s="0" t="n">
        <f aca="false">SUMIF(Games!$A$2:$A$186,$A110,Games!$S$2:$S$186)+SUMIF(Games!$B$2:$B$186,$A110,Games!$Q$2:$Q$186)</f>
        <v>14</v>
      </c>
      <c r="G110" s="0" t="n">
        <f aca="false">SUMIF(Games!$A$2:$A$186,$A110,Games!$T$2:$T$186)+SUMIF(Games!$B$2:$B$186,$A110,Games!$R$2:$R$186)</f>
        <v>160</v>
      </c>
      <c r="H110" s="0" t="n">
        <f aca="false">SUMIF(Games!$A$2:$A$186,$A110,Games!$U$2:$U$186)+SUMIF(Games!$B$2:$B$186,$A110,Games!$V$2:$V$186)</f>
        <v>2.53448275862069</v>
      </c>
      <c r="I110" s="0" t="n">
        <f aca="false">SUMIF(Games!$A$2:$A$186,$A110,Games!$E$2:$E$186)+SUMIF(Games!$B$2:$B$186,$A110,Games!$F$2:$F$186)</f>
        <v>328</v>
      </c>
      <c r="J110" s="0" t="n">
        <f aca="false">IFERROR(I110/(B110+C110),0)</f>
        <v>164</v>
      </c>
      <c r="K110" s="0" t="n">
        <f aca="false">SUMIF(Games!$A$2:$A$186,$A110,Games!$F$2:$F$186)+SUMIF(Games!$B$2:$B$186,$A110,Games!$E$2:$E$186)</f>
        <v>152</v>
      </c>
      <c r="L110" s="0" t="n">
        <f aca="false">SUMIF(Games!$A$2:$A$186,$A110,Games!$G$2:$G$186)+SUMIF(Games!$B$2:$B$186,$A110,Games!$H$2:$H$186)</f>
        <v>432</v>
      </c>
      <c r="M110" s="0" t="n">
        <f aca="false">IFERROR(L110/(B110+C110),0)</f>
        <v>216</v>
      </c>
      <c r="N110" s="0" t="n">
        <f aca="false">SUMIF(Games!$A$2:$A$186,$A110,Games!$H$2:$H$186)+SUMIF(Games!$B$2:$B$186,$A110,Games!$G$2:$G$186)</f>
        <v>284</v>
      </c>
      <c r="O110" s="0" t="n">
        <f aca="false">SUMIF(Games!$A$2:$A$186,$A110,Games!$I$2:$I$186)+SUMIF(Games!$B$2:$B$186,$A110,Games!$J$2:$J$186)</f>
        <v>2</v>
      </c>
      <c r="P110" s="0" t="n">
        <f aca="false">SUMIF(Games!$A$2:$A$186,$A110,Games!$J$2:$J$186)+SUMIF(Games!$B$2:$B$186,$A110,Games!$I$2:$I$186)</f>
        <v>7</v>
      </c>
      <c r="R110" s="0" t="n">
        <f aca="false">IFERROR((K110+N110)/(B110+C110),0)</f>
        <v>218</v>
      </c>
      <c r="S110" s="0" t="n">
        <f aca="false">P110-O110</f>
        <v>5</v>
      </c>
      <c r="T110" s="0" t="n">
        <f aca="false">IFERROR((D110/(D110+E110))*(F110/(F110+G110)),0)</f>
        <v>0.0402298850574713</v>
      </c>
      <c r="U110" s="0" t="n">
        <f aca="false">RANK(T110,T$2:T$139)</f>
        <v>87</v>
      </c>
      <c r="V110" s="0" t="n">
        <f aca="false">IFERROR((B110/(B110+C110))*25,0)+IFERROR((D110/(D110+E110))*25,0)+IFERROR((F110/(F110+G110))*10,0)+H110+((J110-RMEAN)/RDEV)*5+((M110-PMEAN)/PDEV)*5+((DMEAN-R110)/DDEV)*7+((S110-TOMEAN)/TODEV)*3</f>
        <v>52.7418343519076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SUMIF(Games!$A$2:$A$186,$A111,Games!$K$2:$K$186)+SUMIF(Games!$B$2:$B$186,$A111,Games!$L$2:$L$186)</f>
        <v>0</v>
      </c>
      <c r="C111" s="0" t="n">
        <f aca="false">SUMIF(Games!$A$2:$A$186,$A111,Games!$L$2:$L$186)+SUMIF(Games!$B$2:$B$186,$A111,Games!$K$2:$K$186)</f>
        <v>2</v>
      </c>
      <c r="D111" s="0" t="n">
        <f aca="false">SUMIF(Games!$A$2:$A$186,$A111,Games!$O$2:$O$186)+SUMIF(Games!$B$2:$B$186,$A111,Games!$M$2:$M$186)</f>
        <v>4</v>
      </c>
      <c r="E111" s="0" t="n">
        <f aca="false">SUMIF(Games!$A$2:$A$186,$A111,Games!$P$2:$P$186)+SUMIF(Games!$B$2:$B$186,$A111,Games!$N$2:$N$186)</f>
        <v>0</v>
      </c>
      <c r="F111" s="0" t="n">
        <f aca="false">SUMIF(Games!$A$2:$A$186,$A111,Games!$S$2:$S$186)+SUMIF(Games!$B$2:$B$186,$A111,Games!$Q$2:$Q$186)</f>
        <v>6</v>
      </c>
      <c r="G111" s="0" t="n">
        <f aca="false">SUMIF(Games!$A$2:$A$186,$A111,Games!$T$2:$T$186)+SUMIF(Games!$B$2:$B$186,$A111,Games!$R$2:$R$186)</f>
        <v>85</v>
      </c>
      <c r="H111" s="0" t="n">
        <f aca="false">SUMIF(Games!$A$2:$A$186,$A111,Games!$U$2:$U$186)+SUMIF(Games!$B$2:$B$186,$A111,Games!$V$2:$V$186)</f>
        <v>-3.09626436781609</v>
      </c>
      <c r="I111" s="0" t="n">
        <f aca="false">SUMIF(Games!$A$2:$A$186,$A111,Games!$E$2:$E$186)+SUMIF(Games!$B$2:$B$186,$A111,Games!$F$2:$F$186)</f>
        <v>450</v>
      </c>
      <c r="J111" s="0" t="n">
        <f aca="false">IFERROR(I111/(B111+C111),0)</f>
        <v>225</v>
      </c>
      <c r="K111" s="0" t="n">
        <f aca="false">SUMIF(Games!$A$2:$A$186,$A111,Games!$F$2:$F$186)+SUMIF(Games!$B$2:$B$186,$A111,Games!$E$2:$E$186)</f>
        <v>296</v>
      </c>
      <c r="L111" s="0" t="n">
        <f aca="false">SUMIF(Games!$A$2:$A$186,$A111,Games!$G$2:$G$186)+SUMIF(Games!$B$2:$B$186,$A111,Games!$H$2:$H$186)</f>
        <v>380</v>
      </c>
      <c r="M111" s="0" t="n">
        <f aca="false">IFERROR(L111/(B111+C111),0)</f>
        <v>190</v>
      </c>
      <c r="N111" s="0" t="n">
        <f aca="false">SUMIF(Games!$A$2:$A$186,$A111,Games!$H$2:$H$186)+SUMIF(Games!$B$2:$B$186,$A111,Games!$G$2:$G$186)</f>
        <v>618</v>
      </c>
      <c r="O111" s="0" t="n">
        <f aca="false">SUMIF(Games!$A$2:$A$186,$A111,Games!$I$2:$I$186)+SUMIF(Games!$B$2:$B$186,$A111,Games!$J$2:$J$186)</f>
        <v>6</v>
      </c>
      <c r="P111" s="0" t="n">
        <f aca="false">SUMIF(Games!$A$2:$A$186,$A111,Games!$J$2:$J$186)+SUMIF(Games!$B$2:$B$186,$A111,Games!$I$2:$I$186)</f>
        <v>1</v>
      </c>
      <c r="R111" s="0" t="n">
        <f aca="false">IFERROR((K111+N111)/(B111+C111),0)</f>
        <v>457</v>
      </c>
      <c r="S111" s="0" t="n">
        <f aca="false">P111-O111</f>
        <v>-5</v>
      </c>
      <c r="T111" s="0" t="n">
        <f aca="false">IFERROR((D111/(D111+E111))*(F111/(F111+G111)),0)</f>
        <v>0.0659340659340659</v>
      </c>
      <c r="U111" s="0" t="n">
        <f aca="false">RANK(T111,T$2:T$139)</f>
        <v>12</v>
      </c>
      <c r="V111" s="0" t="n">
        <f aca="false">IFERROR((B111/(B111+C111))*25,0)+IFERROR((D111/(D111+E111))*25,0)+IFERROR((F111/(F111+G111))*10,0)+H111+((J111-RMEAN)/RDEV)*5+((M111-PMEAN)/PDEV)*5+((DMEAN-R111)/DDEV)*7+((S111-TOMEAN)/TODEV)*3</f>
        <v>6.23874066006651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SUMIF(Games!$A$2:$A$186,$A112,Games!$K$2:$K$186)+SUMIF(Games!$B$2:$B$186,$A112,Games!$L$2:$L$186)</f>
        <v>2</v>
      </c>
      <c r="C112" s="0" t="n">
        <f aca="false">SUMIF(Games!$A$2:$A$186,$A112,Games!$L$2:$L$186)+SUMIF(Games!$B$2:$B$186,$A112,Games!$K$2:$K$186)</f>
        <v>0</v>
      </c>
      <c r="D112" s="0" t="n">
        <f aca="false">SUMIF(Games!$A$2:$A$186,$A112,Games!$O$2:$O$186)+SUMIF(Games!$B$2:$B$186,$A112,Games!$M$2:$M$186)</f>
        <v>5</v>
      </c>
      <c r="E112" s="0" t="n">
        <f aca="false">SUMIF(Games!$A$2:$A$186,$A112,Games!$P$2:$P$186)+SUMIF(Games!$B$2:$B$186,$A112,Games!$N$2:$N$186)</f>
        <v>82</v>
      </c>
      <c r="F112" s="0" t="n">
        <f aca="false">SUMIF(Games!$A$2:$A$186,$A112,Games!$S$2:$S$186)+SUMIF(Games!$B$2:$B$186,$A112,Games!$Q$2:$Q$186)</f>
        <v>117</v>
      </c>
      <c r="G112" s="0" t="n">
        <f aca="false">SUMIF(Games!$A$2:$A$186,$A112,Games!$T$2:$T$186)+SUMIF(Games!$B$2:$B$186,$A112,Games!$R$2:$R$186)</f>
        <v>61</v>
      </c>
      <c r="H112" s="0" t="n">
        <f aca="false">SUMIF(Games!$A$2:$A$186,$A112,Games!$U$2:$U$186)+SUMIF(Games!$B$2:$B$186,$A112,Games!$V$2:$V$186)</f>
        <v>0.878634212305612</v>
      </c>
      <c r="I112" s="0" t="n">
        <f aca="false">SUMIF(Games!$A$2:$A$186,$A112,Games!$E$2:$E$186)+SUMIF(Games!$B$2:$B$186,$A112,Games!$F$2:$F$186)</f>
        <v>328</v>
      </c>
      <c r="J112" s="0" t="n">
        <f aca="false">IFERROR(I112/(B112+C112),0)</f>
        <v>164</v>
      </c>
      <c r="K112" s="0" t="n">
        <f aca="false">SUMIF(Games!$A$2:$A$186,$A112,Games!$F$2:$F$186)+SUMIF(Games!$B$2:$B$186,$A112,Games!$E$2:$E$186)</f>
        <v>130</v>
      </c>
      <c r="L112" s="0" t="n">
        <f aca="false">SUMIF(Games!$A$2:$A$186,$A112,Games!$G$2:$G$186)+SUMIF(Games!$B$2:$B$186,$A112,Games!$H$2:$H$186)</f>
        <v>495</v>
      </c>
      <c r="M112" s="0" t="n">
        <f aca="false">IFERROR(L112/(B112+C112),0)</f>
        <v>247.5</v>
      </c>
      <c r="N112" s="0" t="n">
        <f aca="false">SUMIF(Games!$A$2:$A$186,$A112,Games!$H$2:$H$186)+SUMIF(Games!$B$2:$B$186,$A112,Games!$G$2:$G$186)</f>
        <v>536</v>
      </c>
      <c r="O112" s="0" t="n">
        <f aca="false">SUMIF(Games!$A$2:$A$186,$A112,Games!$I$2:$I$186)+SUMIF(Games!$B$2:$B$186,$A112,Games!$J$2:$J$186)</f>
        <v>2</v>
      </c>
      <c r="P112" s="0" t="n">
        <f aca="false">SUMIF(Games!$A$2:$A$186,$A112,Games!$J$2:$J$186)+SUMIF(Games!$B$2:$B$186,$A112,Games!$I$2:$I$186)</f>
        <v>2</v>
      </c>
      <c r="R112" s="0" t="n">
        <f aca="false">IFERROR((K112+N112)/(B112+C112),0)</f>
        <v>333</v>
      </c>
      <c r="S112" s="0" t="n">
        <f aca="false">P112-O112</f>
        <v>0</v>
      </c>
      <c r="T112" s="0" t="n">
        <f aca="false">IFERROR((D112/(D112+E112))*(F112/(F112+G112)),0)</f>
        <v>0.0377760557923286</v>
      </c>
      <c r="U112" s="0" t="n">
        <f aca="false">RANK(T112,T$2:T$139)</f>
        <v>93</v>
      </c>
      <c r="V112" s="0" t="n">
        <f aca="false">IFERROR((B112/(B112+C112))*25,0)+IFERROR((D112/(D112+E112))*25,0)+IFERROR((F112/(F112+G112))*10,0)+H112+((J112-RMEAN)/RDEV)*5+((M112-PMEAN)/PDEV)*5+((DMEAN-R112)/DDEV)*7+((S112-TOMEAN)/TODEV)*3</f>
        <v>32.7977749264036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SUMIF(Games!$A$2:$A$186,$A113,Games!$K$2:$K$186)+SUMIF(Games!$B$2:$B$186,$A113,Games!$L$2:$L$186)</f>
        <v>1</v>
      </c>
      <c r="C113" s="0" t="n">
        <f aca="false">SUMIF(Games!$A$2:$A$186,$A113,Games!$L$2:$L$186)+SUMIF(Games!$B$2:$B$186,$A113,Games!$K$2:$K$186)</f>
        <v>1</v>
      </c>
      <c r="D113" s="0" t="n">
        <f aca="false">SUMIF(Games!$A$2:$A$186,$A113,Games!$O$2:$O$186)+SUMIF(Games!$B$2:$B$186,$A113,Games!$M$2:$M$186)</f>
        <v>7</v>
      </c>
      <c r="E113" s="0" t="n">
        <f aca="false">SUMIF(Games!$A$2:$A$186,$A113,Games!$P$2:$P$186)+SUMIF(Games!$B$2:$B$186,$A113,Games!$N$2:$N$186)</f>
        <v>80</v>
      </c>
      <c r="F113" s="0" t="n">
        <f aca="false">SUMIF(Games!$A$2:$A$186,$A113,Games!$S$2:$S$186)+SUMIF(Games!$B$2:$B$186,$A113,Games!$Q$2:$Q$186)</f>
        <v>115</v>
      </c>
      <c r="G113" s="0" t="n">
        <f aca="false">SUMIF(Games!$A$2:$A$186,$A113,Games!$T$2:$T$186)+SUMIF(Games!$B$2:$B$186,$A113,Games!$R$2:$R$186)</f>
        <v>64</v>
      </c>
      <c r="H113" s="0" t="n">
        <f aca="false">SUMIF(Games!$A$2:$A$186,$A113,Games!$U$2:$U$186)+SUMIF(Games!$B$2:$B$186,$A113,Games!$V$2:$V$186)</f>
        <v>0.737052062204192</v>
      </c>
      <c r="I113" s="0" t="n">
        <f aca="false">SUMIF(Games!$A$2:$A$186,$A113,Games!$E$2:$E$186)+SUMIF(Games!$B$2:$B$186,$A113,Games!$F$2:$F$186)</f>
        <v>333</v>
      </c>
      <c r="J113" s="0" t="n">
        <f aca="false">IFERROR(I113/(B113+C113),0)</f>
        <v>166.5</v>
      </c>
      <c r="K113" s="0" t="n">
        <f aca="false">SUMIF(Games!$A$2:$A$186,$A113,Games!$F$2:$F$186)+SUMIF(Games!$B$2:$B$186,$A113,Games!$E$2:$E$186)</f>
        <v>223</v>
      </c>
      <c r="L113" s="0" t="n">
        <f aca="false">SUMIF(Games!$A$2:$A$186,$A113,Games!$G$2:$G$186)+SUMIF(Games!$B$2:$B$186,$A113,Games!$H$2:$H$186)</f>
        <v>509</v>
      </c>
      <c r="M113" s="0" t="n">
        <f aca="false">IFERROR(L113/(B113+C113),0)</f>
        <v>254.5</v>
      </c>
      <c r="N113" s="0" t="n">
        <f aca="false">SUMIF(Games!$A$2:$A$186,$A113,Games!$H$2:$H$186)+SUMIF(Games!$B$2:$B$186,$A113,Games!$G$2:$G$186)</f>
        <v>313</v>
      </c>
      <c r="O113" s="0" t="n">
        <f aca="false">SUMIF(Games!$A$2:$A$186,$A113,Games!$I$2:$I$186)+SUMIF(Games!$B$2:$B$186,$A113,Games!$J$2:$J$186)</f>
        <v>3</v>
      </c>
      <c r="P113" s="0" t="n">
        <f aca="false">SUMIF(Games!$A$2:$A$186,$A113,Games!$J$2:$J$186)+SUMIF(Games!$B$2:$B$186,$A113,Games!$I$2:$I$186)</f>
        <v>1</v>
      </c>
      <c r="R113" s="0" t="n">
        <f aca="false">IFERROR((K113+N113)/(B113+C113),0)</f>
        <v>268</v>
      </c>
      <c r="S113" s="0" t="n">
        <f aca="false">P113-O113</f>
        <v>-2</v>
      </c>
      <c r="T113" s="0" t="n">
        <f aca="false">IFERROR((D113/(D113+E113))*(F113/(F113+G113)),0)</f>
        <v>0.0516920310794324</v>
      </c>
      <c r="U113" s="0" t="n">
        <f aca="false">RANK(T113,T$2:T$139)</f>
        <v>55</v>
      </c>
      <c r="V113" s="0" t="n">
        <f aca="false">IFERROR((B113/(B113+C113))*25,0)+IFERROR((D113/(D113+E113))*25,0)+IFERROR((F113/(F113+G113))*10,0)+H113+((J113-RMEAN)/RDEV)*5+((M113-PMEAN)/PDEV)*5+((DMEAN-R113)/DDEV)*7+((S113-TOMEAN)/TODEV)*3</f>
        <v>24.0360490340242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SUMIF(Games!$A$2:$A$186,$A114,Games!$K$2:$K$186)+SUMIF(Games!$B$2:$B$186,$A114,Games!$L$2:$L$186)</f>
        <v>2</v>
      </c>
      <c r="C114" s="0" t="n">
        <f aca="false">SUMIF(Games!$A$2:$A$186,$A114,Games!$L$2:$L$186)+SUMIF(Games!$B$2:$B$186,$A114,Games!$K$2:$K$186)</f>
        <v>0</v>
      </c>
      <c r="D114" s="0" t="n">
        <f aca="false">SUMIF(Games!$A$2:$A$186,$A114,Games!$O$2:$O$186)+SUMIF(Games!$B$2:$B$186,$A114,Games!$M$2:$M$186)</f>
        <v>5</v>
      </c>
      <c r="E114" s="0" t="n">
        <f aca="false">SUMIF(Games!$A$2:$A$186,$A114,Games!$P$2:$P$186)+SUMIF(Games!$B$2:$B$186,$A114,Games!$N$2:$N$186)</f>
        <v>82</v>
      </c>
      <c r="F114" s="0" t="n">
        <f aca="false">SUMIF(Games!$A$2:$A$186,$A114,Games!$S$2:$S$186)+SUMIF(Games!$B$2:$B$186,$A114,Games!$Q$2:$Q$186)</f>
        <v>117</v>
      </c>
      <c r="G114" s="0" t="n">
        <f aca="false">SUMIF(Games!$A$2:$A$186,$A114,Games!$T$2:$T$186)+SUMIF(Games!$B$2:$B$186,$A114,Games!$R$2:$R$186)</f>
        <v>61</v>
      </c>
      <c r="H114" s="0" t="n">
        <f aca="false">SUMIF(Games!$A$2:$A$186,$A114,Games!$U$2:$U$186)+SUMIF(Games!$B$2:$B$186,$A114,Games!$V$2:$V$186)</f>
        <v>0.649425287356322</v>
      </c>
      <c r="I114" s="0" t="n">
        <f aca="false">SUMIF(Games!$A$2:$A$186,$A114,Games!$E$2:$E$186)+SUMIF(Games!$B$2:$B$186,$A114,Games!$F$2:$F$186)</f>
        <v>403</v>
      </c>
      <c r="J114" s="0" t="n">
        <f aca="false">IFERROR(I114/(B114+C114),0)</f>
        <v>201.5</v>
      </c>
      <c r="K114" s="0" t="n">
        <f aca="false">SUMIF(Games!$A$2:$A$186,$A114,Games!$F$2:$F$186)+SUMIF(Games!$B$2:$B$186,$A114,Games!$E$2:$E$186)</f>
        <v>154</v>
      </c>
      <c r="L114" s="0" t="n">
        <f aca="false">SUMIF(Games!$A$2:$A$186,$A114,Games!$G$2:$G$186)+SUMIF(Games!$B$2:$B$186,$A114,Games!$H$2:$H$186)</f>
        <v>366</v>
      </c>
      <c r="M114" s="0" t="n">
        <f aca="false">IFERROR(L114/(B114+C114),0)</f>
        <v>183</v>
      </c>
      <c r="N114" s="0" t="n">
        <f aca="false">SUMIF(Games!$A$2:$A$186,$A114,Games!$H$2:$H$186)+SUMIF(Games!$B$2:$B$186,$A114,Games!$G$2:$G$186)</f>
        <v>440</v>
      </c>
      <c r="O114" s="0" t="n">
        <f aca="false">SUMIF(Games!$A$2:$A$186,$A114,Games!$I$2:$I$186)+SUMIF(Games!$B$2:$B$186,$A114,Games!$J$2:$J$186)</f>
        <v>0</v>
      </c>
      <c r="P114" s="0" t="n">
        <f aca="false">SUMIF(Games!$A$2:$A$186,$A114,Games!$J$2:$J$186)+SUMIF(Games!$B$2:$B$186,$A114,Games!$I$2:$I$186)</f>
        <v>2</v>
      </c>
      <c r="R114" s="0" t="n">
        <f aca="false">IFERROR((K114+N114)/(B114+C114),0)</f>
        <v>297</v>
      </c>
      <c r="S114" s="0" t="n">
        <f aca="false">P114-O114</f>
        <v>2</v>
      </c>
      <c r="T114" s="0" t="n">
        <f aca="false">IFERROR((D114/(D114+E114))*(F114/(F114+G114)),0)</f>
        <v>0.0377760557923286</v>
      </c>
      <c r="U114" s="0" t="n">
        <f aca="false">RANK(T114,T$2:T$139)</f>
        <v>93</v>
      </c>
      <c r="V114" s="0" t="n">
        <f aca="false">IFERROR((B114/(B114+C114))*25,0)+IFERROR((D114/(D114+E114))*25,0)+IFERROR((F114/(F114+G114))*10,0)+H114+((J114-RMEAN)/RDEV)*5+((M114-PMEAN)/PDEV)*5+((DMEAN-R114)/DDEV)*7+((S114-TOMEAN)/TODEV)*3</f>
        <v>36.2263671974067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SUMIF(Games!$A$2:$A$186,$A115,Games!$K$2:$K$186)+SUMIF(Games!$B$2:$B$186,$A115,Games!$L$2:$L$186)</f>
        <v>1</v>
      </c>
      <c r="C115" s="0" t="n">
        <f aca="false">SUMIF(Games!$A$2:$A$186,$A115,Games!$L$2:$L$186)+SUMIF(Games!$B$2:$B$186,$A115,Games!$K$2:$K$186)</f>
        <v>1</v>
      </c>
      <c r="D115" s="0" t="n">
        <f aca="false">SUMIF(Games!$A$2:$A$186,$A115,Games!$O$2:$O$186)+SUMIF(Games!$B$2:$B$186,$A115,Games!$M$2:$M$186)</f>
        <v>3</v>
      </c>
      <c r="E115" s="0" t="n">
        <f aca="false">SUMIF(Games!$A$2:$A$186,$A115,Games!$P$2:$P$186)+SUMIF(Games!$B$2:$B$186,$A115,Games!$N$2:$N$186)</f>
        <v>1</v>
      </c>
      <c r="F115" s="0" t="n">
        <f aca="false">SUMIF(Games!$A$2:$A$186,$A115,Games!$S$2:$S$186)+SUMIF(Games!$B$2:$B$186,$A115,Games!$Q$2:$Q$186)</f>
        <v>8</v>
      </c>
      <c r="G115" s="0" t="n">
        <f aca="false">SUMIF(Games!$A$2:$A$186,$A115,Games!$T$2:$T$186)+SUMIF(Games!$B$2:$B$186,$A115,Games!$R$2:$R$186)</f>
        <v>83</v>
      </c>
      <c r="H115" s="0" t="n">
        <f aca="false">SUMIF(Games!$A$2:$A$186,$A115,Games!$U$2:$U$186)+SUMIF(Games!$B$2:$B$186,$A115,Games!$V$2:$V$186)</f>
        <v>-0.562068965517242</v>
      </c>
      <c r="I115" s="0" t="n">
        <f aca="false">SUMIF(Games!$A$2:$A$186,$A115,Games!$E$2:$E$186)+SUMIF(Games!$B$2:$B$186,$A115,Games!$F$2:$F$186)</f>
        <v>266</v>
      </c>
      <c r="J115" s="0" t="n">
        <f aca="false">IFERROR(I115/(B115+C115),0)</f>
        <v>133</v>
      </c>
      <c r="K115" s="0" t="n">
        <f aca="false">SUMIF(Games!$A$2:$A$186,$A115,Games!$F$2:$F$186)+SUMIF(Games!$B$2:$B$186,$A115,Games!$E$2:$E$186)</f>
        <v>432</v>
      </c>
      <c r="L115" s="0" t="n">
        <f aca="false">SUMIF(Games!$A$2:$A$186,$A115,Games!$G$2:$G$186)+SUMIF(Games!$B$2:$B$186,$A115,Games!$H$2:$H$186)</f>
        <v>416</v>
      </c>
      <c r="M115" s="0" t="n">
        <f aca="false">IFERROR(L115/(B115+C115),0)</f>
        <v>208</v>
      </c>
      <c r="N115" s="0" t="n">
        <f aca="false">SUMIF(Games!$A$2:$A$186,$A115,Games!$H$2:$H$186)+SUMIF(Games!$B$2:$B$186,$A115,Games!$G$2:$G$186)</f>
        <v>427</v>
      </c>
      <c r="O115" s="0" t="n">
        <f aca="false">SUMIF(Games!$A$2:$A$186,$A115,Games!$I$2:$I$186)+SUMIF(Games!$B$2:$B$186,$A115,Games!$J$2:$J$186)</f>
        <v>1</v>
      </c>
      <c r="P115" s="0" t="n">
        <f aca="false">SUMIF(Games!$A$2:$A$186,$A115,Games!$J$2:$J$186)+SUMIF(Games!$B$2:$B$186,$A115,Games!$I$2:$I$186)</f>
        <v>1</v>
      </c>
      <c r="R115" s="0" t="n">
        <f aca="false">IFERROR((K115+N115)/(B115+C115),0)</f>
        <v>429.5</v>
      </c>
      <c r="S115" s="0" t="n">
        <f aca="false">P115-O115</f>
        <v>0</v>
      </c>
      <c r="T115" s="0" t="n">
        <f aca="false">IFERROR((D115/(D115+E115))*(F115/(F115+G115)),0)</f>
        <v>0.0659340659340659</v>
      </c>
      <c r="U115" s="0" t="n">
        <f aca="false">RANK(T115,T$2:T$139)</f>
        <v>12</v>
      </c>
      <c r="V115" s="0" t="n">
        <f aca="false">IFERROR((B115/(B115+C115))*25,0)+IFERROR((D115/(D115+E115))*25,0)+IFERROR((F115/(F115+G115))*10,0)+H115+((J115-RMEAN)/RDEV)*5+((M115-PMEAN)/PDEV)*5+((DMEAN-R115)/DDEV)*7+((S115-TOMEAN)/TODEV)*3</f>
        <v>17.7239982067584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SUMIF(Games!$A$2:$A$186,$A116,Games!$K$2:$K$186)+SUMIF(Games!$B$2:$B$186,$A116,Games!$L$2:$L$186)</f>
        <v>2</v>
      </c>
      <c r="C116" s="0" t="n">
        <f aca="false">SUMIF(Games!$A$2:$A$186,$A116,Games!$L$2:$L$186)+SUMIF(Games!$B$2:$B$186,$A116,Games!$K$2:$K$186)</f>
        <v>0</v>
      </c>
      <c r="D116" s="0" t="n">
        <f aca="false">SUMIF(Games!$A$2:$A$186,$A116,Games!$O$2:$O$186)+SUMIF(Games!$B$2:$B$186,$A116,Games!$M$2:$M$186)</f>
        <v>1</v>
      </c>
      <c r="E116" s="0" t="n">
        <f aca="false">SUMIF(Games!$A$2:$A$186,$A116,Games!$P$2:$P$186)+SUMIF(Games!$B$2:$B$186,$A116,Games!$N$2:$N$186)</f>
        <v>3</v>
      </c>
      <c r="F116" s="0" t="n">
        <f aca="false">SUMIF(Games!$A$2:$A$186,$A116,Games!$S$2:$S$186)+SUMIF(Games!$B$2:$B$186,$A116,Games!$Q$2:$Q$186)</f>
        <v>7</v>
      </c>
      <c r="G116" s="0" t="n">
        <f aca="false">SUMIF(Games!$A$2:$A$186,$A116,Games!$T$2:$T$186)+SUMIF(Games!$B$2:$B$186,$A116,Games!$R$2:$R$186)</f>
        <v>1</v>
      </c>
      <c r="H116" s="0" t="n">
        <f aca="false">SUMIF(Games!$A$2:$A$186,$A116,Games!$U$2:$U$186)+SUMIF(Games!$B$2:$B$186,$A116,Games!$V$2:$V$186)</f>
        <v>5.25</v>
      </c>
      <c r="I116" s="0" t="n">
        <f aca="false">SUMIF(Games!$A$2:$A$186,$A116,Games!$E$2:$E$186)+SUMIF(Games!$B$2:$B$186,$A116,Games!$F$2:$F$186)</f>
        <v>375</v>
      </c>
      <c r="J116" s="0" t="n">
        <f aca="false">IFERROR(I116/(B116+C116),0)</f>
        <v>187.5</v>
      </c>
      <c r="K116" s="0" t="n">
        <f aca="false">SUMIF(Games!$A$2:$A$186,$A116,Games!$F$2:$F$186)+SUMIF(Games!$B$2:$B$186,$A116,Games!$E$2:$E$186)</f>
        <v>182</v>
      </c>
      <c r="L116" s="0" t="n">
        <f aca="false">SUMIF(Games!$A$2:$A$186,$A116,Games!$G$2:$G$186)+SUMIF(Games!$B$2:$B$186,$A116,Games!$H$2:$H$186)</f>
        <v>353</v>
      </c>
      <c r="M116" s="0" t="n">
        <f aca="false">IFERROR(L116/(B116+C116),0)</f>
        <v>176.5</v>
      </c>
      <c r="N116" s="0" t="n">
        <f aca="false">SUMIF(Games!$A$2:$A$186,$A116,Games!$H$2:$H$186)+SUMIF(Games!$B$2:$B$186,$A116,Games!$G$2:$G$186)</f>
        <v>557</v>
      </c>
      <c r="O116" s="0" t="n">
        <f aca="false">SUMIF(Games!$A$2:$A$186,$A116,Games!$I$2:$I$186)+SUMIF(Games!$B$2:$B$186,$A116,Games!$J$2:$J$186)</f>
        <v>1</v>
      </c>
      <c r="P116" s="0" t="n">
        <f aca="false">SUMIF(Games!$A$2:$A$186,$A116,Games!$J$2:$J$186)+SUMIF(Games!$B$2:$B$186,$A116,Games!$I$2:$I$186)</f>
        <v>5</v>
      </c>
      <c r="R116" s="0" t="n">
        <f aca="false">IFERROR((K116+N116)/(B116+C116),0)</f>
        <v>369.5</v>
      </c>
      <c r="S116" s="0" t="n">
        <f aca="false">P116-O116</f>
        <v>4</v>
      </c>
      <c r="T116" s="0" t="n">
        <f aca="false">IFERROR((D116/(D116+E116))*(F116/(F116+G116)),0)</f>
        <v>0.21875</v>
      </c>
      <c r="U116" s="0" t="n">
        <f aca="false">RANK(T116,T$2:T$139)</f>
        <v>7</v>
      </c>
      <c r="V116" s="0" t="n">
        <f aca="false">IFERROR((B116/(B116+C116))*25,0)+IFERROR((D116/(D116+E116))*25,0)+IFERROR((F116/(F116+G116))*10,0)+H116+((J116-RMEAN)/RDEV)*5+((M116-PMEAN)/PDEV)*5+((DMEAN-R116)/DDEV)*7+((S116-TOMEAN)/TODEV)*3</f>
        <v>42.9318886520003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SUMIF(Games!$A$2:$A$186,$A117,Games!$K$2:$K$186)+SUMIF(Games!$B$2:$B$186,$A117,Games!$L$2:$L$186)</f>
        <v>1</v>
      </c>
      <c r="C117" s="0" t="n">
        <f aca="false">SUMIF(Games!$A$2:$A$186,$A117,Games!$L$2:$L$186)+SUMIF(Games!$B$2:$B$186,$A117,Games!$K$2:$K$186)</f>
        <v>1</v>
      </c>
      <c r="D117" s="0" t="n">
        <f aca="false">SUMIF(Games!$A$2:$A$186,$A117,Games!$O$2:$O$186)+SUMIF(Games!$B$2:$B$186,$A117,Games!$M$2:$M$186)</f>
        <v>1</v>
      </c>
      <c r="E117" s="0" t="n">
        <f aca="false">SUMIF(Games!$A$2:$A$186,$A117,Games!$P$2:$P$186)+SUMIF(Games!$B$2:$B$186,$A117,Games!$N$2:$N$186)</f>
        <v>3</v>
      </c>
      <c r="F117" s="0" t="n">
        <f aca="false">SUMIF(Games!$A$2:$A$186,$A117,Games!$S$2:$S$186)+SUMIF(Games!$B$2:$B$186,$A117,Games!$Q$2:$Q$186)</f>
        <v>6</v>
      </c>
      <c r="G117" s="0" t="n">
        <f aca="false">SUMIF(Games!$A$2:$A$186,$A117,Games!$T$2:$T$186)+SUMIF(Games!$B$2:$B$186,$A117,Games!$R$2:$R$186)</f>
        <v>2</v>
      </c>
      <c r="H117" s="0" t="n">
        <f aca="false">SUMIF(Games!$A$2:$A$186,$A117,Games!$U$2:$U$186)+SUMIF(Games!$B$2:$B$186,$A117,Games!$V$2:$V$186)</f>
        <v>-2.375</v>
      </c>
      <c r="I117" s="0" t="n">
        <f aca="false">SUMIF(Games!$A$2:$A$186,$A117,Games!$E$2:$E$186)+SUMIF(Games!$B$2:$B$186,$A117,Games!$F$2:$F$186)</f>
        <v>460</v>
      </c>
      <c r="J117" s="0" t="n">
        <f aca="false">IFERROR(I117/(B117+C117),0)</f>
        <v>230</v>
      </c>
      <c r="K117" s="0" t="n">
        <f aca="false">SUMIF(Games!$A$2:$A$186,$A117,Games!$F$2:$F$186)+SUMIF(Games!$B$2:$B$186,$A117,Games!$E$2:$E$186)</f>
        <v>351</v>
      </c>
      <c r="L117" s="0" t="n">
        <f aca="false">SUMIF(Games!$A$2:$A$186,$A117,Games!$G$2:$G$186)+SUMIF(Games!$B$2:$B$186,$A117,Games!$H$2:$H$186)</f>
        <v>334</v>
      </c>
      <c r="M117" s="0" t="n">
        <f aca="false">IFERROR(L117/(B117+C117),0)</f>
        <v>167</v>
      </c>
      <c r="N117" s="0" t="n">
        <f aca="false">SUMIF(Games!$A$2:$A$186,$A117,Games!$H$2:$H$186)+SUMIF(Games!$B$2:$B$186,$A117,Games!$G$2:$G$186)</f>
        <v>238</v>
      </c>
      <c r="O117" s="0" t="n">
        <f aca="false">SUMIF(Games!$A$2:$A$186,$A117,Games!$I$2:$I$186)+SUMIF(Games!$B$2:$B$186,$A117,Games!$J$2:$J$186)</f>
        <v>3</v>
      </c>
      <c r="P117" s="0" t="n">
        <f aca="false">SUMIF(Games!$A$2:$A$186,$A117,Games!$J$2:$J$186)+SUMIF(Games!$B$2:$B$186,$A117,Games!$I$2:$I$186)</f>
        <v>1</v>
      </c>
      <c r="R117" s="0" t="n">
        <f aca="false">IFERROR((K117+N117)/(B117+C117),0)</f>
        <v>294.5</v>
      </c>
      <c r="S117" s="0" t="n">
        <f aca="false">P117-O117</f>
        <v>-2</v>
      </c>
      <c r="T117" s="0" t="n">
        <f aca="false">IFERROR((D117/(D117+E117))*(F117/(F117+G117)),0)</f>
        <v>0.1875</v>
      </c>
      <c r="U117" s="0" t="n">
        <f aca="false">RANK(T117,T$2:T$139)</f>
        <v>9</v>
      </c>
      <c r="V117" s="0" t="n">
        <f aca="false">IFERROR((B117/(B117+C117))*25,0)+IFERROR((D117/(D117+E117))*25,0)+IFERROR((F117/(F117+G117))*10,0)+H117+((J117-RMEAN)/RDEV)*5+((M117-PMEAN)/PDEV)*5+((DMEAN-R117)/DDEV)*7+((S117-TOMEAN)/TODEV)*3</f>
        <v>22.894797518126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SUMIF(Games!$A$2:$A$186,$A118,Games!$K$2:$K$186)+SUMIF(Games!$B$2:$B$186,$A118,Games!$L$2:$L$186)</f>
        <v>1</v>
      </c>
      <c r="C118" s="0" t="n">
        <f aca="false">SUMIF(Games!$A$2:$A$186,$A118,Games!$L$2:$L$186)+SUMIF(Games!$B$2:$B$186,$A118,Games!$K$2:$K$186)</f>
        <v>1</v>
      </c>
      <c r="D118" s="0" t="n">
        <f aca="false">SUMIF(Games!$A$2:$A$186,$A118,Games!$O$2:$O$186)+SUMIF(Games!$B$2:$B$186,$A118,Games!$M$2:$M$186)</f>
        <v>7</v>
      </c>
      <c r="E118" s="0" t="n">
        <f aca="false">SUMIF(Games!$A$2:$A$186,$A118,Games!$P$2:$P$186)+SUMIF(Games!$B$2:$B$186,$A118,Games!$N$2:$N$186)</f>
        <v>80</v>
      </c>
      <c r="F118" s="0" t="n">
        <f aca="false">SUMIF(Games!$A$2:$A$186,$A118,Games!$S$2:$S$186)+SUMIF(Games!$B$2:$B$186,$A118,Games!$Q$2:$Q$186)</f>
        <v>115</v>
      </c>
      <c r="G118" s="0" t="n">
        <f aca="false">SUMIF(Games!$A$2:$A$186,$A118,Games!$T$2:$T$186)+SUMIF(Games!$B$2:$B$186,$A118,Games!$R$2:$R$186)</f>
        <v>63</v>
      </c>
      <c r="H118" s="0" t="n">
        <f aca="false">SUMIF(Games!$A$2:$A$186,$A118,Games!$U$2:$U$186)+SUMIF(Games!$B$2:$B$186,$A118,Games!$V$2:$V$186)</f>
        <v>1.08705206220419</v>
      </c>
      <c r="I118" s="0" t="n">
        <f aca="false">SUMIF(Games!$A$2:$A$186,$A118,Games!$E$2:$E$186)+SUMIF(Games!$B$2:$B$186,$A118,Games!$F$2:$F$186)</f>
        <v>380</v>
      </c>
      <c r="J118" s="0" t="n">
        <f aca="false">IFERROR(I118/(B118+C118),0)</f>
        <v>190</v>
      </c>
      <c r="K118" s="0" t="n">
        <f aca="false">SUMIF(Games!$A$2:$A$186,$A118,Games!$F$2:$F$186)+SUMIF(Games!$B$2:$B$186,$A118,Games!$E$2:$E$186)</f>
        <v>210</v>
      </c>
      <c r="L118" s="0" t="n">
        <f aca="false">SUMIF(Games!$A$2:$A$186,$A118,Games!$G$2:$G$186)+SUMIF(Games!$B$2:$B$186,$A118,Games!$H$2:$H$186)</f>
        <v>386</v>
      </c>
      <c r="M118" s="0" t="n">
        <f aca="false">IFERROR(L118/(B118+C118),0)</f>
        <v>193</v>
      </c>
      <c r="N118" s="0" t="n">
        <f aca="false">SUMIF(Games!$A$2:$A$186,$A118,Games!$H$2:$H$186)+SUMIF(Games!$B$2:$B$186,$A118,Games!$G$2:$G$186)</f>
        <v>286</v>
      </c>
      <c r="O118" s="0" t="n">
        <f aca="false">SUMIF(Games!$A$2:$A$186,$A118,Games!$I$2:$I$186)+SUMIF(Games!$B$2:$B$186,$A118,Games!$J$2:$J$186)</f>
        <v>1</v>
      </c>
      <c r="P118" s="0" t="n">
        <f aca="false">SUMIF(Games!$A$2:$A$186,$A118,Games!$J$2:$J$186)+SUMIF(Games!$B$2:$B$186,$A118,Games!$I$2:$I$186)</f>
        <v>2</v>
      </c>
      <c r="R118" s="0" t="n">
        <f aca="false">IFERROR((K118+N118)/(B118+C118),0)</f>
        <v>248</v>
      </c>
      <c r="S118" s="0" t="n">
        <f aca="false">P118-O118</f>
        <v>1</v>
      </c>
      <c r="T118" s="0" t="n">
        <f aca="false">IFERROR((D118/(D118+E118))*(F118/(F118+G118)),0)</f>
        <v>0.0519824357484179</v>
      </c>
      <c r="U118" s="0" t="n">
        <f aca="false">RANK(T118,T$2:T$139)</f>
        <v>39</v>
      </c>
      <c r="V118" s="0" t="n">
        <f aca="false">IFERROR((B118/(B118+C118))*25,0)+IFERROR((D118/(D118+E118))*25,0)+IFERROR((F118/(F118+G118))*10,0)+H118+((J118-RMEAN)/RDEV)*5+((M118-PMEAN)/PDEV)*5+((DMEAN-R118)/DDEV)*7+((S118-TOMEAN)/TODEV)*3</f>
        <v>27.1533161870566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SUMIF(Games!$A$2:$A$186,$A119,Games!$K$2:$K$186)+SUMIF(Games!$B$2:$B$186,$A119,Games!$L$2:$L$186)</f>
        <v>2</v>
      </c>
      <c r="C119" s="0" t="n">
        <f aca="false">SUMIF(Games!$A$2:$A$186,$A119,Games!$L$2:$L$186)+SUMIF(Games!$B$2:$B$186,$A119,Games!$K$2:$K$186)</f>
        <v>0</v>
      </c>
      <c r="D119" s="0" t="n">
        <f aca="false">SUMIF(Games!$A$2:$A$186,$A119,Games!$O$2:$O$186)+SUMIF(Games!$B$2:$B$186,$A119,Games!$M$2:$M$186)</f>
        <v>2</v>
      </c>
      <c r="E119" s="0" t="n">
        <f aca="false">SUMIF(Games!$A$2:$A$186,$A119,Games!$P$2:$P$186)+SUMIF(Games!$B$2:$B$186,$A119,Games!$N$2:$N$186)</f>
        <v>2</v>
      </c>
      <c r="F119" s="0" t="n">
        <f aca="false">SUMIF(Games!$A$2:$A$186,$A119,Games!$S$2:$S$186)+SUMIF(Games!$B$2:$B$186,$A119,Games!$Q$2:$Q$186)</f>
        <v>10</v>
      </c>
      <c r="G119" s="0" t="n">
        <f aca="false">SUMIF(Games!$A$2:$A$186,$A119,Games!$T$2:$T$186)+SUMIF(Games!$B$2:$B$186,$A119,Games!$R$2:$R$186)</f>
        <v>81</v>
      </c>
      <c r="H119" s="0" t="n">
        <f aca="false">SUMIF(Games!$A$2:$A$186,$A119,Games!$U$2:$U$186)+SUMIF(Games!$B$2:$B$186,$A119,Games!$V$2:$V$186)</f>
        <v>8.59913793103448</v>
      </c>
      <c r="I119" s="0" t="n">
        <f aca="false">SUMIF(Games!$A$2:$A$186,$A119,Games!$E$2:$E$186)+SUMIF(Games!$B$2:$B$186,$A119,Games!$F$2:$F$186)</f>
        <v>491</v>
      </c>
      <c r="J119" s="0" t="n">
        <f aca="false">IFERROR(I119/(B119+C119),0)</f>
        <v>245.5</v>
      </c>
      <c r="K119" s="0" t="n">
        <f aca="false">SUMIF(Games!$A$2:$A$186,$A119,Games!$F$2:$F$186)+SUMIF(Games!$B$2:$B$186,$A119,Games!$E$2:$E$186)</f>
        <v>263</v>
      </c>
      <c r="L119" s="0" t="n">
        <f aca="false">SUMIF(Games!$A$2:$A$186,$A119,Games!$G$2:$G$186)+SUMIF(Games!$B$2:$B$186,$A119,Games!$H$2:$H$186)</f>
        <v>335</v>
      </c>
      <c r="M119" s="0" t="n">
        <f aca="false">IFERROR(L119/(B119+C119),0)</f>
        <v>167.5</v>
      </c>
      <c r="N119" s="0" t="n">
        <f aca="false">SUMIF(Games!$A$2:$A$186,$A119,Games!$H$2:$H$186)+SUMIF(Games!$B$2:$B$186,$A119,Games!$G$2:$G$186)</f>
        <v>336</v>
      </c>
      <c r="O119" s="0" t="n">
        <f aca="false">SUMIF(Games!$A$2:$A$186,$A119,Games!$I$2:$I$186)+SUMIF(Games!$B$2:$B$186,$A119,Games!$J$2:$J$186)</f>
        <v>2</v>
      </c>
      <c r="P119" s="0" t="n">
        <f aca="false">SUMIF(Games!$A$2:$A$186,$A119,Games!$J$2:$J$186)+SUMIF(Games!$B$2:$B$186,$A119,Games!$I$2:$I$186)</f>
        <v>4</v>
      </c>
      <c r="R119" s="0" t="n">
        <f aca="false">IFERROR((K119+N119)/(B119+C119),0)</f>
        <v>299.5</v>
      </c>
      <c r="S119" s="0" t="n">
        <f aca="false">P119-O119</f>
        <v>2</v>
      </c>
      <c r="T119" s="0" t="n">
        <f aca="false">IFERROR((D119/(D119+E119))*(F119/(F119+G119)),0)</f>
        <v>0.0549450549450549</v>
      </c>
      <c r="U119" s="0" t="n">
        <f aca="false">RANK(T119,T$2:T$139)</f>
        <v>33</v>
      </c>
      <c r="V119" s="0" t="n">
        <f aca="false">IFERROR((B119/(B119+C119))*25,0)+IFERROR((D119/(D119+E119))*25,0)+IFERROR((F119/(F119+G119))*10,0)+H119+((J119-RMEAN)/RDEV)*5+((M119-PMEAN)/PDEV)*5+((DMEAN-R119)/DDEV)*7+((S119-TOMEAN)/TODEV)*3</f>
        <v>51.8205793491483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SUMIF(Games!$A$2:$A$186,$A120,Games!$K$2:$K$186)+SUMIF(Games!$B$2:$B$186,$A120,Games!$L$2:$L$186)</f>
        <v>1</v>
      </c>
      <c r="C120" s="0" t="n">
        <f aca="false">SUMIF(Games!$A$2:$A$186,$A120,Games!$L$2:$L$186)+SUMIF(Games!$B$2:$B$186,$A120,Games!$K$2:$K$186)</f>
        <v>1</v>
      </c>
      <c r="D120" s="0" t="n">
        <f aca="false">SUMIF(Games!$A$2:$A$186,$A120,Games!$O$2:$O$186)+SUMIF(Games!$B$2:$B$186,$A120,Games!$M$2:$M$186)</f>
        <v>7</v>
      </c>
      <c r="E120" s="0" t="n">
        <f aca="false">SUMIF(Games!$A$2:$A$186,$A120,Games!$P$2:$P$186)+SUMIF(Games!$B$2:$B$186,$A120,Games!$N$2:$N$186)</f>
        <v>80</v>
      </c>
      <c r="F120" s="0" t="n">
        <f aca="false">SUMIF(Games!$A$2:$A$186,$A120,Games!$S$2:$S$186)+SUMIF(Games!$B$2:$B$186,$A120,Games!$Q$2:$Q$186)</f>
        <v>119</v>
      </c>
      <c r="G120" s="0" t="n">
        <f aca="false">SUMIF(Games!$A$2:$A$186,$A120,Games!$T$2:$T$186)+SUMIF(Games!$B$2:$B$186,$A120,Games!$R$2:$R$186)</f>
        <v>142</v>
      </c>
      <c r="H120" s="0" t="n">
        <f aca="false">SUMIF(Games!$A$2:$A$186,$A120,Games!$U$2:$U$186)+SUMIF(Games!$B$2:$B$186,$A120,Games!$V$2:$V$186)</f>
        <v>-0.897430696416498</v>
      </c>
      <c r="I120" s="0" t="n">
        <f aca="false">SUMIF(Games!$A$2:$A$186,$A120,Games!$E$2:$E$186)+SUMIF(Games!$B$2:$B$186,$A120,Games!$F$2:$F$186)</f>
        <v>368</v>
      </c>
      <c r="J120" s="0" t="n">
        <f aca="false">IFERROR(I120/(B120+C120),0)</f>
        <v>184</v>
      </c>
      <c r="K120" s="0" t="n">
        <f aca="false">SUMIF(Games!$A$2:$A$186,$A120,Games!$F$2:$F$186)+SUMIF(Games!$B$2:$B$186,$A120,Games!$E$2:$E$186)</f>
        <v>189</v>
      </c>
      <c r="L120" s="0" t="n">
        <f aca="false">SUMIF(Games!$A$2:$A$186,$A120,Games!$G$2:$G$186)+SUMIF(Games!$B$2:$B$186,$A120,Games!$H$2:$H$186)</f>
        <v>526</v>
      </c>
      <c r="M120" s="0" t="n">
        <f aca="false">IFERROR(L120/(B120+C120),0)</f>
        <v>263</v>
      </c>
      <c r="N120" s="0" t="n">
        <f aca="false">SUMIF(Games!$A$2:$A$186,$A120,Games!$H$2:$H$186)+SUMIF(Games!$B$2:$B$186,$A120,Games!$G$2:$G$186)</f>
        <v>495</v>
      </c>
      <c r="O120" s="0" t="n">
        <f aca="false">SUMIF(Games!$A$2:$A$186,$A120,Games!$I$2:$I$186)+SUMIF(Games!$B$2:$B$186,$A120,Games!$J$2:$J$186)</f>
        <v>3</v>
      </c>
      <c r="P120" s="0" t="n">
        <f aca="false">SUMIF(Games!$A$2:$A$186,$A120,Games!$J$2:$J$186)+SUMIF(Games!$B$2:$B$186,$A120,Games!$I$2:$I$186)</f>
        <v>0</v>
      </c>
      <c r="R120" s="0" t="n">
        <f aca="false">IFERROR((K120+N120)/(B120+C120),0)</f>
        <v>342</v>
      </c>
      <c r="S120" s="0" t="n">
        <f aca="false">P120-O120</f>
        <v>-3</v>
      </c>
      <c r="T120" s="0" t="n">
        <f aca="false">IFERROR((D120/(D120+E120))*(F120/(F120+G120)),0)</f>
        <v>0.0366847227727133</v>
      </c>
      <c r="U120" s="0" t="n">
        <f aca="false">RANK(T120,T$2:T$139)</f>
        <v>104</v>
      </c>
      <c r="V120" s="0" t="n">
        <f aca="false">IFERROR((B120/(B120+C120))*25,0)+IFERROR((D120/(D120+E120))*25,0)+IFERROR((F120/(F120+G120))*10,0)+H120+((J120-RMEAN)/RDEV)*5+((M120-PMEAN)/PDEV)*5+((DMEAN-R120)/DDEV)*7+((S120-TOMEAN)/TODEV)*3</f>
        <v>15.3451998963396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SUMIF(Games!$A$2:$A$186,$A121,Games!$K$2:$K$186)+SUMIF(Games!$B$2:$B$186,$A121,Games!$L$2:$L$186)</f>
        <v>2</v>
      </c>
      <c r="C121" s="0" t="n">
        <f aca="false">SUMIF(Games!$A$2:$A$186,$A121,Games!$L$2:$L$186)+SUMIF(Games!$B$2:$B$186,$A121,Games!$K$2:$K$186)</f>
        <v>0</v>
      </c>
      <c r="D121" s="0" t="n">
        <f aca="false">SUMIF(Games!$A$2:$A$186,$A121,Games!$O$2:$O$186)+SUMIF(Games!$B$2:$B$186,$A121,Games!$M$2:$M$186)</f>
        <v>5</v>
      </c>
      <c r="E121" s="0" t="n">
        <f aca="false">SUMIF(Games!$A$2:$A$186,$A121,Games!$P$2:$P$186)+SUMIF(Games!$B$2:$B$186,$A121,Games!$N$2:$N$186)</f>
        <v>82</v>
      </c>
      <c r="F121" s="0" t="n">
        <f aca="false">SUMIF(Games!$A$2:$A$186,$A121,Games!$S$2:$S$186)+SUMIF(Games!$B$2:$B$186,$A121,Games!$Q$2:$Q$186)</f>
        <v>116</v>
      </c>
      <c r="G121" s="0" t="n">
        <f aca="false">SUMIF(Games!$A$2:$A$186,$A121,Games!$T$2:$T$186)+SUMIF(Games!$B$2:$B$186,$A121,Games!$R$2:$R$186)</f>
        <v>62</v>
      </c>
      <c r="H121" s="0" t="n">
        <f aca="false">SUMIF(Games!$A$2:$A$186,$A121,Games!$U$2:$U$186)+SUMIF(Games!$B$2:$B$186,$A121,Games!$V$2:$V$186)</f>
        <v>1.03144016227181</v>
      </c>
      <c r="I121" s="0" t="n">
        <f aca="false">SUMIF(Games!$A$2:$A$186,$A121,Games!$E$2:$E$186)+SUMIF(Games!$B$2:$B$186,$A121,Games!$F$2:$F$186)</f>
        <v>352</v>
      </c>
      <c r="J121" s="0" t="n">
        <f aca="false">IFERROR(I121/(B121+C121),0)</f>
        <v>176</v>
      </c>
      <c r="K121" s="0" t="n">
        <f aca="false">SUMIF(Games!$A$2:$A$186,$A121,Games!$F$2:$F$186)+SUMIF(Games!$B$2:$B$186,$A121,Games!$E$2:$E$186)</f>
        <v>173</v>
      </c>
      <c r="L121" s="0" t="n">
        <f aca="false">SUMIF(Games!$A$2:$A$186,$A121,Games!$G$2:$G$186)+SUMIF(Games!$B$2:$B$186,$A121,Games!$H$2:$H$186)</f>
        <v>360</v>
      </c>
      <c r="M121" s="0" t="n">
        <f aca="false">IFERROR(L121/(B121+C121),0)</f>
        <v>180</v>
      </c>
      <c r="N121" s="0" t="n">
        <f aca="false">SUMIF(Games!$A$2:$A$186,$A121,Games!$H$2:$H$186)+SUMIF(Games!$B$2:$B$186,$A121,Games!$G$2:$G$186)</f>
        <v>479</v>
      </c>
      <c r="O121" s="0" t="n">
        <f aca="false">SUMIF(Games!$A$2:$A$186,$A121,Games!$I$2:$I$186)+SUMIF(Games!$B$2:$B$186,$A121,Games!$J$2:$J$186)</f>
        <v>0</v>
      </c>
      <c r="P121" s="0" t="n">
        <f aca="false">SUMIF(Games!$A$2:$A$186,$A121,Games!$J$2:$J$186)+SUMIF(Games!$B$2:$B$186,$A121,Games!$I$2:$I$186)</f>
        <v>5</v>
      </c>
      <c r="R121" s="0" t="n">
        <f aca="false">IFERROR((K121+N121)/(B121+C121),0)</f>
        <v>326</v>
      </c>
      <c r="S121" s="0" t="n">
        <f aca="false">P121-O121</f>
        <v>5</v>
      </c>
      <c r="T121" s="0" t="n">
        <f aca="false">IFERROR((D121/(D121+E121))*(F121/(F121+G121)),0)</f>
        <v>0.0374531835205993</v>
      </c>
      <c r="U121" s="0" t="n">
        <f aca="false">RANK(T121,T$2:T$139)</f>
        <v>101</v>
      </c>
      <c r="V121" s="0" t="n">
        <f aca="false">IFERROR((B121/(B121+C121))*25,0)+IFERROR((D121/(D121+E121))*25,0)+IFERROR((F121/(F121+G121))*10,0)+H121+((J121-RMEAN)/RDEV)*5+((M121-PMEAN)/PDEV)*5+((DMEAN-R121)/DDEV)*7+((S121-TOMEAN)/TODEV)*3</f>
        <v>35.7062654085179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SUMIF(Games!$A$2:$A$186,$A122,Games!$K$2:$K$186)+SUMIF(Games!$B$2:$B$186,$A122,Games!$L$2:$L$186)</f>
        <v>1</v>
      </c>
      <c r="C122" s="0" t="n">
        <f aca="false">SUMIF(Games!$A$2:$A$186,$A122,Games!$L$2:$L$186)+SUMIF(Games!$B$2:$B$186,$A122,Games!$K$2:$K$186)</f>
        <v>2</v>
      </c>
      <c r="D122" s="0" t="n">
        <f aca="false">SUMIF(Games!$A$2:$A$186,$A122,Games!$O$2:$O$186)+SUMIF(Games!$B$2:$B$186,$A122,Games!$M$2:$M$186)</f>
        <v>4</v>
      </c>
      <c r="E122" s="0" t="n">
        <f aca="false">SUMIF(Games!$A$2:$A$186,$A122,Games!$P$2:$P$186)+SUMIF(Games!$B$2:$B$186,$A122,Games!$N$2:$N$186)</f>
        <v>4</v>
      </c>
      <c r="F122" s="0" t="n">
        <f aca="false">SUMIF(Games!$A$2:$A$186,$A122,Games!$S$2:$S$186)+SUMIF(Games!$B$2:$B$186,$A122,Games!$Q$2:$Q$186)</f>
        <v>9</v>
      </c>
      <c r="G122" s="0" t="n">
        <f aca="false">SUMIF(Games!$A$2:$A$186,$A122,Games!$T$2:$T$186)+SUMIF(Games!$B$2:$B$186,$A122,Games!$R$2:$R$186)</f>
        <v>11</v>
      </c>
      <c r="H122" s="0" t="n">
        <f aca="false">SUMIF(Games!$A$2:$A$186,$A122,Games!$U$2:$U$186)+SUMIF(Games!$B$2:$B$186,$A122,Games!$V$2:$V$186)</f>
        <v>-6.26785714285714</v>
      </c>
      <c r="I122" s="0" t="n">
        <f aca="false">SUMIF(Games!$A$2:$A$186,$A122,Games!$E$2:$E$186)+SUMIF(Games!$B$2:$B$186,$A122,Games!$F$2:$F$186)</f>
        <v>515</v>
      </c>
      <c r="J122" s="0" t="n">
        <f aca="false">IFERROR(I122/(B122+C122),0)</f>
        <v>171.666666666667</v>
      </c>
      <c r="K122" s="0" t="n">
        <f aca="false">SUMIF(Games!$A$2:$A$186,$A122,Games!$F$2:$F$186)+SUMIF(Games!$B$2:$B$186,$A122,Games!$E$2:$E$186)</f>
        <v>496</v>
      </c>
      <c r="L122" s="0" t="n">
        <f aca="false">SUMIF(Games!$A$2:$A$186,$A122,Games!$G$2:$G$186)+SUMIF(Games!$B$2:$B$186,$A122,Games!$H$2:$H$186)</f>
        <v>610</v>
      </c>
      <c r="M122" s="0" t="n">
        <f aca="false">IFERROR(L122/(B122+C122),0)</f>
        <v>203.333333333333</v>
      </c>
      <c r="N122" s="0" t="n">
        <f aca="false">SUMIF(Games!$A$2:$A$186,$A122,Games!$H$2:$H$186)+SUMIF(Games!$B$2:$B$186,$A122,Games!$G$2:$G$186)</f>
        <v>660</v>
      </c>
      <c r="O122" s="0" t="n">
        <f aca="false">SUMIF(Games!$A$2:$A$186,$A122,Games!$I$2:$I$186)+SUMIF(Games!$B$2:$B$186,$A122,Games!$J$2:$J$186)</f>
        <v>4</v>
      </c>
      <c r="P122" s="0" t="n">
        <f aca="false">SUMIF(Games!$A$2:$A$186,$A122,Games!$J$2:$J$186)+SUMIF(Games!$B$2:$B$186,$A122,Games!$I$2:$I$186)</f>
        <v>2</v>
      </c>
      <c r="R122" s="0" t="n">
        <f aca="false">IFERROR((K122+N122)/(B122+C122),0)</f>
        <v>385.333333333333</v>
      </c>
      <c r="S122" s="0" t="n">
        <f aca="false">P122-O122</f>
        <v>-2</v>
      </c>
      <c r="T122" s="0" t="n">
        <f aca="false">IFERROR((D122/(D122+E122))*(F122/(F122+G122)),0)</f>
        <v>0.225</v>
      </c>
      <c r="U122" s="0" t="n">
        <f aca="false">RANK(T122,T$2:T$139)</f>
        <v>6</v>
      </c>
      <c r="V122" s="0" t="n">
        <f aca="false">IFERROR((B122/(B122+C122))*25,0)+IFERROR((D122/(D122+E122))*25,0)+IFERROR((F122/(F122+G122))*10,0)+H122+((J122-RMEAN)/RDEV)*5+((M122-PMEAN)/PDEV)*5+((DMEAN-R122)/DDEV)*7+((S122-TOMEAN)/TODEV)*3</f>
        <v>8.94262132746217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SUMIF(Games!$A$2:$A$186,$A123,Games!$K$2:$K$186)+SUMIF(Games!$B$2:$B$186,$A123,Games!$L$2:$L$186)</f>
        <v>3</v>
      </c>
      <c r="C123" s="0" t="n">
        <f aca="false">SUMIF(Games!$A$2:$A$186,$A123,Games!$L$2:$L$186)+SUMIF(Games!$B$2:$B$186,$A123,Games!$K$2:$K$186)</f>
        <v>0</v>
      </c>
      <c r="D123" s="0" t="n">
        <f aca="false">SUMIF(Games!$A$2:$A$186,$A123,Games!$O$2:$O$186)+SUMIF(Games!$B$2:$B$186,$A123,Games!$M$2:$M$186)</f>
        <v>4</v>
      </c>
      <c r="E123" s="0" t="n">
        <f aca="false">SUMIF(Games!$A$2:$A$186,$A123,Games!$P$2:$P$186)+SUMIF(Games!$B$2:$B$186,$A123,Games!$N$2:$N$186)</f>
        <v>3</v>
      </c>
      <c r="F123" s="0" t="n">
        <f aca="false">SUMIF(Games!$A$2:$A$186,$A123,Games!$S$2:$S$186)+SUMIF(Games!$B$2:$B$186,$A123,Games!$Q$2:$Q$186)</f>
        <v>21</v>
      </c>
      <c r="G123" s="0" t="n">
        <f aca="false">SUMIF(Games!$A$2:$A$186,$A123,Games!$T$2:$T$186)+SUMIF(Games!$B$2:$B$186,$A123,Games!$R$2:$R$186)</f>
        <v>164</v>
      </c>
      <c r="H123" s="0" t="n">
        <f aca="false">SUMIF(Games!$A$2:$A$186,$A123,Games!$U$2:$U$186)+SUMIF(Games!$B$2:$B$186,$A123,Games!$V$2:$V$186)</f>
        <v>13.5852480852481</v>
      </c>
      <c r="I123" s="0" t="n">
        <f aca="false">SUMIF(Games!$A$2:$A$186,$A123,Games!$E$2:$E$186)+SUMIF(Games!$B$2:$B$186,$A123,Games!$F$2:$F$186)</f>
        <v>518</v>
      </c>
      <c r="J123" s="0" t="n">
        <f aca="false">IFERROR(I123/(B123+C123),0)</f>
        <v>172.666666666667</v>
      </c>
      <c r="K123" s="0" t="n">
        <f aca="false">SUMIF(Games!$A$2:$A$186,$A123,Games!$F$2:$F$186)+SUMIF(Games!$B$2:$B$186,$A123,Games!$E$2:$E$186)</f>
        <v>287</v>
      </c>
      <c r="L123" s="0" t="n">
        <f aca="false">SUMIF(Games!$A$2:$A$186,$A123,Games!$G$2:$G$186)+SUMIF(Games!$B$2:$B$186,$A123,Games!$H$2:$H$186)</f>
        <v>1022</v>
      </c>
      <c r="M123" s="0" t="n">
        <f aca="false">IFERROR(L123/(B123+C123),0)</f>
        <v>340.666666666667</v>
      </c>
      <c r="N123" s="0" t="n">
        <f aca="false">SUMIF(Games!$A$2:$A$186,$A123,Games!$H$2:$H$186)+SUMIF(Games!$B$2:$B$186,$A123,Games!$G$2:$G$186)</f>
        <v>523</v>
      </c>
      <c r="O123" s="0" t="n">
        <f aca="false">SUMIF(Games!$A$2:$A$186,$A123,Games!$I$2:$I$186)+SUMIF(Games!$B$2:$B$186,$A123,Games!$J$2:$J$186)</f>
        <v>4</v>
      </c>
      <c r="P123" s="0" t="n">
        <f aca="false">SUMIF(Games!$A$2:$A$186,$A123,Games!$J$2:$J$186)+SUMIF(Games!$B$2:$B$186,$A123,Games!$I$2:$I$186)</f>
        <v>2</v>
      </c>
      <c r="R123" s="0" t="n">
        <f aca="false">IFERROR((K123+N123)/(B123+C123),0)</f>
        <v>270</v>
      </c>
      <c r="S123" s="0" t="n">
        <f aca="false">P123-O123</f>
        <v>-2</v>
      </c>
      <c r="T123" s="0" t="n">
        <f aca="false">IFERROR((D123/(D123+E123))*(F123/(F123+G123)),0)</f>
        <v>0.0648648648648649</v>
      </c>
      <c r="U123" s="0" t="n">
        <f aca="false">RANK(T123,T$2:T$139)</f>
        <v>21</v>
      </c>
      <c r="V123" s="0" t="n">
        <f aca="false">IFERROR((B123/(B123+C123))*25,0)+IFERROR((D123/(D123+E123))*25,0)+IFERROR((F123/(F123+G123))*10,0)+H123+((J123-RMEAN)/RDEV)*5+((M123-PMEAN)/PDEV)*5+((DMEAN-R123)/DDEV)*7+((S123-TOMEAN)/TODEV)*3</f>
        <v>62.608396578416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SUMIF(Games!$A$2:$A$186,$A124,Games!$K$2:$K$186)+SUMIF(Games!$B$2:$B$186,$A124,Games!$L$2:$L$186)</f>
        <v>2</v>
      </c>
      <c r="C124" s="0" t="n">
        <f aca="false">SUMIF(Games!$A$2:$A$186,$A124,Games!$L$2:$L$186)+SUMIF(Games!$B$2:$B$186,$A124,Games!$K$2:$K$186)</f>
        <v>0</v>
      </c>
      <c r="D124" s="0" t="n">
        <f aca="false">SUMIF(Games!$A$2:$A$186,$A124,Games!$O$2:$O$186)+SUMIF(Games!$B$2:$B$186,$A124,Games!$M$2:$M$186)</f>
        <v>2</v>
      </c>
      <c r="E124" s="0" t="n">
        <f aca="false">SUMIF(Games!$A$2:$A$186,$A124,Games!$P$2:$P$186)+SUMIF(Games!$B$2:$B$186,$A124,Games!$N$2:$N$186)</f>
        <v>2</v>
      </c>
      <c r="F124" s="0" t="n">
        <f aca="false">SUMIF(Games!$A$2:$A$186,$A124,Games!$S$2:$S$186)+SUMIF(Games!$B$2:$B$186,$A124,Games!$Q$2:$Q$186)</f>
        <v>10</v>
      </c>
      <c r="G124" s="0" t="n">
        <f aca="false">SUMIF(Games!$A$2:$A$186,$A124,Games!$T$2:$T$186)+SUMIF(Games!$B$2:$B$186,$A124,Games!$R$2:$R$186)</f>
        <v>81</v>
      </c>
      <c r="H124" s="0" t="n">
        <f aca="false">SUMIF(Games!$A$2:$A$186,$A124,Games!$U$2:$U$186)+SUMIF(Games!$B$2:$B$186,$A124,Games!$V$2:$V$186)</f>
        <v>3.91091954022989</v>
      </c>
      <c r="I124" s="0" t="n">
        <f aca="false">SUMIF(Games!$A$2:$A$186,$A124,Games!$E$2:$E$186)+SUMIF(Games!$B$2:$B$186,$A124,Games!$F$2:$F$186)</f>
        <v>238</v>
      </c>
      <c r="J124" s="0" t="n">
        <f aca="false">IFERROR(I124/(B124+C124),0)</f>
        <v>119</v>
      </c>
      <c r="K124" s="0" t="n">
        <f aca="false">SUMIF(Games!$A$2:$A$186,$A124,Games!$F$2:$F$186)+SUMIF(Games!$B$2:$B$186,$A124,Games!$E$2:$E$186)</f>
        <v>299</v>
      </c>
      <c r="L124" s="0" t="n">
        <f aca="false">SUMIF(Games!$A$2:$A$186,$A124,Games!$G$2:$G$186)+SUMIF(Games!$B$2:$B$186,$A124,Games!$H$2:$H$186)</f>
        <v>339</v>
      </c>
      <c r="M124" s="0" t="n">
        <f aca="false">IFERROR(L124/(B124+C124),0)</f>
        <v>169.5</v>
      </c>
      <c r="N124" s="0" t="n">
        <f aca="false">SUMIF(Games!$A$2:$A$186,$A124,Games!$H$2:$H$186)+SUMIF(Games!$B$2:$B$186,$A124,Games!$G$2:$G$186)</f>
        <v>429</v>
      </c>
      <c r="O124" s="0" t="n">
        <f aca="false">SUMIF(Games!$A$2:$A$186,$A124,Games!$I$2:$I$186)+SUMIF(Games!$B$2:$B$186,$A124,Games!$J$2:$J$186)</f>
        <v>0</v>
      </c>
      <c r="P124" s="0" t="n">
        <f aca="false">SUMIF(Games!$A$2:$A$186,$A124,Games!$J$2:$J$186)+SUMIF(Games!$B$2:$B$186,$A124,Games!$I$2:$I$186)</f>
        <v>4</v>
      </c>
      <c r="R124" s="0" t="n">
        <f aca="false">IFERROR((K124+N124)/(B124+C124),0)</f>
        <v>364</v>
      </c>
      <c r="S124" s="0" t="n">
        <f aca="false">P124-O124</f>
        <v>4</v>
      </c>
      <c r="T124" s="0" t="n">
        <f aca="false">IFERROR((D124/(D124+E124))*(F124/(F124+G124)),0)</f>
        <v>0.0549450549450549</v>
      </c>
      <c r="U124" s="0" t="n">
        <f aca="false">RANK(T124,T$2:T$139)</f>
        <v>33</v>
      </c>
      <c r="V124" s="0" t="n">
        <f aca="false">IFERROR((B124/(B124+C124))*25,0)+IFERROR((D124/(D124+E124))*25,0)+IFERROR((F124/(F124+G124))*10,0)+H124+((J124-RMEAN)/RDEV)*5+((M124-PMEAN)/PDEV)*5+((DMEAN-R124)/DDEV)*7+((S124-TOMEAN)/TODEV)*3</f>
        <v>34.9763946195586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SUMIF(Games!$A$2:$A$186,$A125,Games!$K$2:$K$186)+SUMIF(Games!$B$2:$B$186,$A125,Games!$L$2:$L$186)</f>
        <v>1</v>
      </c>
      <c r="C125" s="0" t="n">
        <f aca="false">SUMIF(Games!$A$2:$A$186,$A125,Games!$L$2:$L$186)+SUMIF(Games!$B$2:$B$186,$A125,Games!$K$2:$K$186)</f>
        <v>1</v>
      </c>
      <c r="D125" s="0" t="n">
        <f aca="false">SUMIF(Games!$A$2:$A$186,$A125,Games!$O$2:$O$186)+SUMIF(Games!$B$2:$B$186,$A125,Games!$M$2:$M$186)</f>
        <v>6</v>
      </c>
      <c r="E125" s="0" t="n">
        <f aca="false">SUMIF(Games!$A$2:$A$186,$A125,Games!$P$2:$P$186)+SUMIF(Games!$B$2:$B$186,$A125,Games!$N$2:$N$186)</f>
        <v>81</v>
      </c>
      <c r="F125" s="0" t="n">
        <f aca="false">SUMIF(Games!$A$2:$A$186,$A125,Games!$S$2:$S$186)+SUMIF(Games!$B$2:$B$186,$A125,Games!$Q$2:$Q$186)</f>
        <v>116</v>
      </c>
      <c r="G125" s="0" t="n">
        <f aca="false">SUMIF(Games!$A$2:$A$186,$A125,Games!$T$2:$T$186)+SUMIF(Games!$B$2:$B$186,$A125,Games!$R$2:$R$186)</f>
        <v>62</v>
      </c>
      <c r="H125" s="0" t="n">
        <f aca="false">SUMIF(Games!$A$2:$A$186,$A125,Games!$U$2:$U$186)+SUMIF(Games!$B$2:$B$186,$A125,Games!$V$2:$V$186)</f>
        <v>-3.03794793779581</v>
      </c>
      <c r="I125" s="0" t="n">
        <f aca="false">SUMIF(Games!$A$2:$A$186,$A125,Games!$E$2:$E$186)+SUMIF(Games!$B$2:$B$186,$A125,Games!$F$2:$F$186)</f>
        <v>364</v>
      </c>
      <c r="J125" s="0" t="n">
        <f aca="false">IFERROR(I125/(B125+C125),0)</f>
        <v>182</v>
      </c>
      <c r="K125" s="0" t="n">
        <f aca="false">SUMIF(Games!$A$2:$A$186,$A125,Games!$F$2:$F$186)+SUMIF(Games!$B$2:$B$186,$A125,Games!$E$2:$E$186)</f>
        <v>282</v>
      </c>
      <c r="L125" s="0" t="n">
        <f aca="false">SUMIF(Games!$A$2:$A$186,$A125,Games!$G$2:$G$186)+SUMIF(Games!$B$2:$B$186,$A125,Games!$H$2:$H$186)</f>
        <v>325</v>
      </c>
      <c r="M125" s="0" t="n">
        <f aca="false">IFERROR(L125/(B125+C125),0)</f>
        <v>162.5</v>
      </c>
      <c r="N125" s="0" t="n">
        <f aca="false">SUMIF(Games!$A$2:$A$186,$A125,Games!$H$2:$H$186)+SUMIF(Games!$B$2:$B$186,$A125,Games!$G$2:$G$186)</f>
        <v>330</v>
      </c>
      <c r="O125" s="0" t="n">
        <f aca="false">SUMIF(Games!$A$2:$A$186,$A125,Games!$I$2:$I$186)+SUMIF(Games!$B$2:$B$186,$A125,Games!$J$2:$J$186)</f>
        <v>3</v>
      </c>
      <c r="P125" s="0" t="n">
        <f aca="false">SUMIF(Games!$A$2:$A$186,$A125,Games!$J$2:$J$186)+SUMIF(Games!$B$2:$B$186,$A125,Games!$I$2:$I$186)</f>
        <v>3</v>
      </c>
      <c r="R125" s="0" t="n">
        <f aca="false">IFERROR((K125+N125)/(B125+C125),0)</f>
        <v>306</v>
      </c>
      <c r="S125" s="0" t="n">
        <f aca="false">P125-O125</f>
        <v>0</v>
      </c>
      <c r="T125" s="0" t="n">
        <f aca="false">IFERROR((D125/(D125+E125))*(F125/(F125+G125)),0)</f>
        <v>0.0449438202247191</v>
      </c>
      <c r="U125" s="0" t="n">
        <f aca="false">RANK(T125,T$2:T$139)</f>
        <v>71</v>
      </c>
      <c r="V125" s="0" t="n">
        <f aca="false">IFERROR((B125/(B125+C125))*25,0)+IFERROR((D125/(D125+E125))*25,0)+IFERROR((F125/(F125+G125))*10,0)+H125+((J125-RMEAN)/RDEV)*5+((M125-PMEAN)/PDEV)*5+((DMEAN-R125)/DDEV)*7+((S125-TOMEAN)/TODEV)*3</f>
        <v>14.270650103597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SUMIF(Games!$A$2:$A$186,$A126,Games!$K$2:$K$186)+SUMIF(Games!$B$2:$B$186,$A126,Games!$L$2:$L$186)</f>
        <v>2</v>
      </c>
      <c r="C126" s="0" t="n">
        <f aca="false">SUMIF(Games!$A$2:$A$186,$A126,Games!$L$2:$L$186)+SUMIF(Games!$B$2:$B$186,$A126,Games!$K$2:$K$186)</f>
        <v>0</v>
      </c>
      <c r="D126" s="0" t="n">
        <f aca="false">SUMIF(Games!$A$2:$A$186,$A126,Games!$O$2:$O$186)+SUMIF(Games!$B$2:$B$186,$A126,Games!$M$2:$M$186)</f>
        <v>5</v>
      </c>
      <c r="E126" s="0" t="n">
        <f aca="false">SUMIF(Games!$A$2:$A$186,$A126,Games!$P$2:$P$186)+SUMIF(Games!$B$2:$B$186,$A126,Games!$N$2:$N$186)</f>
        <v>82</v>
      </c>
      <c r="F126" s="0" t="n">
        <f aca="false">SUMIF(Games!$A$2:$A$186,$A126,Games!$S$2:$S$186)+SUMIF(Games!$B$2:$B$186,$A126,Games!$Q$2:$Q$186)</f>
        <v>117</v>
      </c>
      <c r="G126" s="0" t="n">
        <f aca="false">SUMIF(Games!$A$2:$A$186,$A126,Games!$T$2:$T$186)+SUMIF(Games!$B$2:$B$186,$A126,Games!$R$2:$R$186)</f>
        <v>61</v>
      </c>
      <c r="H126" s="0" t="n">
        <f aca="false">SUMIF(Games!$A$2:$A$186,$A126,Games!$U$2:$U$186)+SUMIF(Games!$B$2:$B$186,$A126,Games!$V$2:$V$186)</f>
        <v>1.1078431372549</v>
      </c>
      <c r="I126" s="0" t="n">
        <f aca="false">SUMIF(Games!$A$2:$A$186,$A126,Games!$E$2:$E$186)+SUMIF(Games!$B$2:$B$186,$A126,Games!$F$2:$F$186)</f>
        <v>390</v>
      </c>
      <c r="J126" s="0" t="n">
        <f aca="false">IFERROR(I126/(B126+C126),0)</f>
        <v>195</v>
      </c>
      <c r="K126" s="0" t="n">
        <f aca="false">SUMIF(Games!$A$2:$A$186,$A126,Games!$F$2:$F$186)+SUMIF(Games!$B$2:$B$186,$A126,Games!$E$2:$E$186)</f>
        <v>466</v>
      </c>
      <c r="L126" s="0" t="n">
        <f aca="false">SUMIF(Games!$A$2:$A$186,$A126,Games!$G$2:$G$186)+SUMIF(Games!$B$2:$B$186,$A126,Games!$H$2:$H$186)</f>
        <v>533</v>
      </c>
      <c r="M126" s="0" t="n">
        <f aca="false">IFERROR(L126/(B126+C126),0)</f>
        <v>266.5</v>
      </c>
      <c r="N126" s="0" t="n">
        <f aca="false">SUMIF(Games!$A$2:$A$186,$A126,Games!$H$2:$H$186)+SUMIF(Games!$B$2:$B$186,$A126,Games!$G$2:$G$186)</f>
        <v>437</v>
      </c>
      <c r="O126" s="0" t="n">
        <f aca="false">SUMIF(Games!$A$2:$A$186,$A126,Games!$I$2:$I$186)+SUMIF(Games!$B$2:$B$186,$A126,Games!$J$2:$J$186)</f>
        <v>0</v>
      </c>
      <c r="P126" s="0" t="n">
        <f aca="false">SUMIF(Games!$A$2:$A$186,$A126,Games!$J$2:$J$186)+SUMIF(Games!$B$2:$B$186,$A126,Games!$I$2:$I$186)</f>
        <v>5</v>
      </c>
      <c r="R126" s="0" t="n">
        <f aca="false">IFERROR((K126+N126)/(B126+C126),0)</f>
        <v>451.5</v>
      </c>
      <c r="S126" s="0" t="n">
        <f aca="false">P126-O126</f>
        <v>5</v>
      </c>
      <c r="T126" s="0" t="n">
        <f aca="false">IFERROR((D126/(D126+E126))*(F126/(F126+G126)),0)</f>
        <v>0.0377760557923286</v>
      </c>
      <c r="U126" s="0" t="n">
        <f aca="false">RANK(T126,T$2:T$139)</f>
        <v>93</v>
      </c>
      <c r="V126" s="0" t="n">
        <f aca="false">IFERROR((B126/(B126+C126))*25,0)+IFERROR((D126/(D126+E126))*25,0)+IFERROR((F126/(F126+G126))*10,0)+H126+((J126-RMEAN)/RDEV)*5+((M126-PMEAN)/PDEV)*5+((DMEAN-R126)/DDEV)*7+((S126-TOMEAN)/TODEV)*3</f>
        <v>33.2258918739196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SUMIF(Games!$A$2:$A$186,$A127,Games!$K$2:$K$186)+SUMIF(Games!$B$2:$B$186,$A127,Games!$L$2:$L$186)</f>
        <v>2</v>
      </c>
      <c r="C127" s="0" t="n">
        <f aca="false">SUMIF(Games!$A$2:$A$186,$A127,Games!$L$2:$L$186)+SUMIF(Games!$B$2:$B$186,$A127,Games!$K$2:$K$186)</f>
        <v>0</v>
      </c>
      <c r="D127" s="0" t="n">
        <f aca="false">SUMIF(Games!$A$2:$A$186,$A127,Games!$O$2:$O$186)+SUMIF(Games!$B$2:$B$186,$A127,Games!$M$2:$M$186)</f>
        <v>6</v>
      </c>
      <c r="E127" s="0" t="n">
        <f aca="false">SUMIF(Games!$A$2:$A$186,$A127,Games!$P$2:$P$186)+SUMIF(Games!$B$2:$B$186,$A127,Games!$N$2:$N$186)</f>
        <v>81</v>
      </c>
      <c r="F127" s="0" t="n">
        <f aca="false">SUMIF(Games!$A$2:$A$186,$A127,Games!$S$2:$S$186)+SUMIF(Games!$B$2:$B$186,$A127,Games!$Q$2:$Q$186)</f>
        <v>120</v>
      </c>
      <c r="G127" s="0" t="n">
        <f aca="false">SUMIF(Games!$A$2:$A$186,$A127,Games!$T$2:$T$186)+SUMIF(Games!$B$2:$B$186,$A127,Games!$R$2:$R$186)</f>
        <v>141</v>
      </c>
      <c r="H127" s="0" t="n">
        <f aca="false">SUMIF(Games!$A$2:$A$186,$A127,Games!$U$2:$U$186)+SUMIF(Games!$B$2:$B$186,$A127,Games!$V$2:$V$186)</f>
        <v>2.66463826910074</v>
      </c>
      <c r="I127" s="0" t="n">
        <f aca="false">SUMIF(Games!$A$2:$A$186,$A127,Games!$E$2:$E$186)+SUMIF(Games!$B$2:$B$186,$A127,Games!$F$2:$F$186)</f>
        <v>505</v>
      </c>
      <c r="J127" s="0" t="n">
        <f aca="false">IFERROR(I127/(B127+C127),0)</f>
        <v>252.5</v>
      </c>
      <c r="K127" s="0" t="n">
        <f aca="false">SUMIF(Games!$A$2:$A$186,$A127,Games!$F$2:$F$186)+SUMIF(Games!$B$2:$B$186,$A127,Games!$E$2:$E$186)</f>
        <v>167</v>
      </c>
      <c r="L127" s="0" t="n">
        <f aca="false">SUMIF(Games!$A$2:$A$186,$A127,Games!$G$2:$G$186)+SUMIF(Games!$B$2:$B$186,$A127,Games!$H$2:$H$186)</f>
        <v>570</v>
      </c>
      <c r="M127" s="0" t="n">
        <f aca="false">IFERROR(L127/(B127+C127),0)</f>
        <v>285</v>
      </c>
      <c r="N127" s="0" t="n">
        <f aca="false">SUMIF(Games!$A$2:$A$186,$A127,Games!$H$2:$H$186)+SUMIF(Games!$B$2:$B$186,$A127,Games!$G$2:$G$186)</f>
        <v>363</v>
      </c>
      <c r="O127" s="0" t="n">
        <f aca="false">SUMIF(Games!$A$2:$A$186,$A127,Games!$I$2:$I$186)+SUMIF(Games!$B$2:$B$186,$A127,Games!$J$2:$J$186)</f>
        <v>1</v>
      </c>
      <c r="P127" s="0" t="n">
        <f aca="false">SUMIF(Games!$A$2:$A$186,$A127,Games!$J$2:$J$186)+SUMIF(Games!$B$2:$B$186,$A127,Games!$I$2:$I$186)</f>
        <v>3</v>
      </c>
      <c r="R127" s="0" t="n">
        <f aca="false">IFERROR((K127+N127)/(B127+C127),0)</f>
        <v>265</v>
      </c>
      <c r="S127" s="0" t="n">
        <f aca="false">P127-O127</f>
        <v>2</v>
      </c>
      <c r="T127" s="0" t="n">
        <f aca="false">IFERROR((D127/(D127+E127))*(F127/(F127+G127)),0)</f>
        <v>0.0317082837891399</v>
      </c>
      <c r="U127" s="0" t="n">
        <f aca="false">RANK(T127,T$2:T$139)</f>
        <v>118</v>
      </c>
      <c r="V127" s="0" t="n">
        <f aca="false">IFERROR((B127/(B127+C127))*25,0)+IFERROR((D127/(D127+E127))*25,0)+IFERROR((F127/(F127+G127))*10,0)+H127+((J127-RMEAN)/RDEV)*5+((M127-PMEAN)/PDEV)*5+((DMEAN-R127)/DDEV)*7+((S127-TOMEAN)/TODEV)*3</f>
        <v>49.9782632835887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SUMIF(Games!$A$2:$A$186,$A128,Games!$K$2:$K$186)+SUMIF(Games!$B$2:$B$186,$A128,Games!$L$2:$L$186)</f>
        <v>0</v>
      </c>
      <c r="C128" s="0" t="n">
        <f aca="false">SUMIF(Games!$A$2:$A$186,$A128,Games!$L$2:$L$186)+SUMIF(Games!$B$2:$B$186,$A128,Games!$K$2:$K$186)</f>
        <v>2</v>
      </c>
      <c r="D128" s="0" t="n">
        <f aca="false">SUMIF(Games!$A$2:$A$186,$A128,Games!$O$2:$O$186)+SUMIF(Games!$B$2:$B$186,$A128,Games!$M$2:$M$186)</f>
        <v>7</v>
      </c>
      <c r="E128" s="0" t="n">
        <f aca="false">SUMIF(Games!$A$2:$A$186,$A128,Games!$P$2:$P$186)+SUMIF(Games!$B$2:$B$186,$A128,Games!$N$2:$N$186)</f>
        <v>80</v>
      </c>
      <c r="F128" s="0" t="n">
        <f aca="false">SUMIF(Games!$A$2:$A$186,$A128,Games!$S$2:$S$186)+SUMIF(Games!$B$2:$B$186,$A128,Games!$Q$2:$Q$186)</f>
        <v>113</v>
      </c>
      <c r="G128" s="0" t="n">
        <f aca="false">SUMIF(Games!$A$2:$A$186,$A128,Games!$T$2:$T$186)+SUMIF(Games!$B$2:$B$186,$A128,Games!$R$2:$R$186)</f>
        <v>65</v>
      </c>
      <c r="H128" s="0" t="n">
        <f aca="false">SUMIF(Games!$A$2:$A$186,$A128,Games!$U$2:$U$186)+SUMIF(Games!$B$2:$B$186,$A128,Games!$V$2:$V$186)</f>
        <v>-4.15943204868154</v>
      </c>
      <c r="I128" s="0" t="n">
        <f aca="false">SUMIF(Games!$A$2:$A$186,$A128,Games!$E$2:$E$186)+SUMIF(Games!$B$2:$B$186,$A128,Games!$F$2:$F$186)</f>
        <v>237</v>
      </c>
      <c r="J128" s="0" t="n">
        <f aca="false">IFERROR(I128/(B128+C128),0)</f>
        <v>118.5</v>
      </c>
      <c r="K128" s="0" t="n">
        <f aca="false">SUMIF(Games!$A$2:$A$186,$A128,Games!$F$2:$F$186)+SUMIF(Games!$B$2:$B$186,$A128,Games!$E$2:$E$186)</f>
        <v>196</v>
      </c>
      <c r="L128" s="0" t="n">
        <f aca="false">SUMIF(Games!$A$2:$A$186,$A128,Games!$G$2:$G$186)+SUMIF(Games!$B$2:$B$186,$A128,Games!$H$2:$H$186)</f>
        <v>441</v>
      </c>
      <c r="M128" s="0" t="n">
        <f aca="false">IFERROR(L128/(B128+C128),0)</f>
        <v>220.5</v>
      </c>
      <c r="N128" s="0" t="n">
        <f aca="false">SUMIF(Games!$A$2:$A$186,$A128,Games!$H$2:$H$186)+SUMIF(Games!$B$2:$B$186,$A128,Games!$G$2:$G$186)</f>
        <v>401</v>
      </c>
      <c r="O128" s="0" t="n">
        <f aca="false">SUMIF(Games!$A$2:$A$186,$A128,Games!$I$2:$I$186)+SUMIF(Games!$B$2:$B$186,$A128,Games!$J$2:$J$186)</f>
        <v>7</v>
      </c>
      <c r="P128" s="0" t="n">
        <f aca="false">SUMIF(Games!$A$2:$A$186,$A128,Games!$J$2:$J$186)+SUMIF(Games!$B$2:$B$186,$A128,Games!$I$2:$I$186)</f>
        <v>0</v>
      </c>
      <c r="R128" s="0" t="n">
        <f aca="false">IFERROR((K128+N128)/(B128+C128),0)</f>
        <v>298.5</v>
      </c>
      <c r="S128" s="0" t="n">
        <f aca="false">P128-O128</f>
        <v>-7</v>
      </c>
      <c r="T128" s="0" t="n">
        <f aca="false">IFERROR((D128/(D128+E128))*(F128/(F128+G128)),0)</f>
        <v>0.0510783933875759</v>
      </c>
      <c r="U128" s="0" t="n">
        <f aca="false">RANK(T128,T$2:T$139)</f>
        <v>63</v>
      </c>
      <c r="V128" s="0" t="n">
        <f aca="false">IFERROR((B128/(B128+C128))*25,0)+IFERROR((D128/(D128+E128))*25,0)+IFERROR((F128/(F128+G128))*10,0)+H128+((J128-RMEAN)/RDEV)*5+((M128-PMEAN)/PDEV)*5+((DMEAN-R128)/DDEV)*7+((S128-TOMEAN)/TODEV)*3</f>
        <v>-7.82876758539226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SUMIF(Games!$A$2:$A$186,$A129,Games!$K$2:$K$186)+SUMIF(Games!$B$2:$B$186,$A129,Games!$L$2:$L$186)</f>
        <v>2</v>
      </c>
      <c r="C129" s="0" t="n">
        <f aca="false">SUMIF(Games!$A$2:$A$186,$A129,Games!$L$2:$L$186)+SUMIF(Games!$B$2:$B$186,$A129,Games!$K$2:$K$186)</f>
        <v>0</v>
      </c>
      <c r="D129" s="0" t="n">
        <f aca="false">SUMIF(Games!$A$2:$A$186,$A129,Games!$O$2:$O$186)+SUMIF(Games!$B$2:$B$186,$A129,Games!$M$2:$M$186)</f>
        <v>6</v>
      </c>
      <c r="E129" s="0" t="n">
        <f aca="false">SUMIF(Games!$A$2:$A$186,$A129,Games!$P$2:$P$186)+SUMIF(Games!$B$2:$B$186,$A129,Games!$N$2:$N$186)</f>
        <v>81</v>
      </c>
      <c r="F129" s="0" t="n">
        <f aca="false">SUMIF(Games!$A$2:$A$186,$A129,Games!$S$2:$S$186)+SUMIF(Games!$B$2:$B$186,$A129,Games!$Q$2:$Q$186)</f>
        <v>120</v>
      </c>
      <c r="G129" s="0" t="n">
        <f aca="false">SUMIF(Games!$A$2:$A$186,$A129,Games!$T$2:$T$186)+SUMIF(Games!$B$2:$B$186,$A129,Games!$R$2:$R$186)</f>
        <v>141</v>
      </c>
      <c r="H129" s="0" t="n">
        <f aca="false">SUMIF(Games!$A$2:$A$186,$A129,Games!$U$2:$U$186)+SUMIF(Games!$B$2:$B$186,$A129,Games!$V$2:$V$186)</f>
        <v>1.08789722785666</v>
      </c>
      <c r="I129" s="0" t="n">
        <f aca="false">SUMIF(Games!$A$2:$A$186,$A129,Games!$E$2:$E$186)+SUMIF(Games!$B$2:$B$186,$A129,Games!$F$2:$F$186)</f>
        <v>287</v>
      </c>
      <c r="J129" s="0" t="n">
        <f aca="false">IFERROR(I129/(B129+C129),0)</f>
        <v>143.5</v>
      </c>
      <c r="K129" s="0" t="n">
        <f aca="false">SUMIF(Games!$A$2:$A$186,$A129,Games!$F$2:$F$186)+SUMIF(Games!$B$2:$B$186,$A129,Games!$E$2:$E$186)</f>
        <v>160</v>
      </c>
      <c r="L129" s="0" t="n">
        <f aca="false">SUMIF(Games!$A$2:$A$186,$A129,Games!$G$2:$G$186)+SUMIF(Games!$B$2:$B$186,$A129,Games!$H$2:$H$186)</f>
        <v>448</v>
      </c>
      <c r="M129" s="0" t="n">
        <f aca="false">IFERROR(L129/(B129+C129),0)</f>
        <v>224</v>
      </c>
      <c r="N129" s="0" t="n">
        <f aca="false">SUMIF(Games!$A$2:$A$186,$A129,Games!$H$2:$H$186)+SUMIF(Games!$B$2:$B$186,$A129,Games!$G$2:$G$186)</f>
        <v>356</v>
      </c>
      <c r="O129" s="0" t="n">
        <f aca="false">SUMIF(Games!$A$2:$A$186,$A129,Games!$I$2:$I$186)+SUMIF(Games!$B$2:$B$186,$A129,Games!$J$2:$J$186)</f>
        <v>1</v>
      </c>
      <c r="P129" s="0" t="n">
        <f aca="false">SUMIF(Games!$A$2:$A$186,$A129,Games!$J$2:$J$186)+SUMIF(Games!$B$2:$B$186,$A129,Games!$I$2:$I$186)</f>
        <v>2</v>
      </c>
      <c r="R129" s="0" t="n">
        <f aca="false">IFERROR((K129+N129)/(B129+C129),0)</f>
        <v>258</v>
      </c>
      <c r="S129" s="0" t="n">
        <f aca="false">P129-O129</f>
        <v>1</v>
      </c>
      <c r="T129" s="0" t="n">
        <f aca="false">IFERROR((D129/(D129+E129))*(F129/(F129+G129)),0)</f>
        <v>0.0317082837891399</v>
      </c>
      <c r="U129" s="0" t="n">
        <f aca="false">RANK(T129,T$2:T$139)</f>
        <v>118</v>
      </c>
      <c r="V129" s="0" t="n">
        <f aca="false">IFERROR((B129/(B129+C129))*25,0)+IFERROR((D129/(D129+E129))*25,0)+IFERROR((F129/(F129+G129))*10,0)+H129+((J129-RMEAN)/RDEV)*5+((M129-PMEAN)/PDEV)*5+((DMEAN-R129)/DDEV)*7+((S129-TOMEAN)/TODEV)*3</f>
        <v>35.330583770939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SUMIF(Games!$A$2:$A$186,$A130,Games!$K$2:$K$186)+SUMIF(Games!$B$2:$B$186,$A130,Games!$L$2:$L$186)</f>
        <v>2</v>
      </c>
      <c r="C130" s="0" t="n">
        <f aca="false">SUMIF(Games!$A$2:$A$186,$A130,Games!$L$2:$L$186)+SUMIF(Games!$B$2:$B$186,$A130,Games!$K$2:$K$186)</f>
        <v>0</v>
      </c>
      <c r="D130" s="0" t="n">
        <f aca="false">SUMIF(Games!$A$2:$A$186,$A130,Games!$O$2:$O$186)+SUMIF(Games!$B$2:$B$186,$A130,Games!$M$2:$M$186)</f>
        <v>6</v>
      </c>
      <c r="E130" s="0" t="n">
        <f aca="false">SUMIF(Games!$A$2:$A$186,$A130,Games!$P$2:$P$186)+SUMIF(Games!$B$2:$B$186,$A130,Games!$N$2:$N$186)</f>
        <v>81</v>
      </c>
      <c r="F130" s="0" t="n">
        <f aca="false">SUMIF(Games!$A$2:$A$186,$A130,Games!$S$2:$S$186)+SUMIF(Games!$B$2:$B$186,$A130,Games!$Q$2:$Q$186)</f>
        <v>120</v>
      </c>
      <c r="G130" s="0" t="n">
        <f aca="false">SUMIF(Games!$A$2:$A$186,$A130,Games!$T$2:$T$186)+SUMIF(Games!$B$2:$B$186,$A130,Games!$R$2:$R$186)</f>
        <v>141</v>
      </c>
      <c r="H130" s="0" t="n">
        <f aca="false">SUMIF(Games!$A$2:$A$186,$A130,Games!$U$2:$U$186)+SUMIF(Games!$B$2:$B$186,$A130,Games!$V$2:$V$186)</f>
        <v>2.38302907369844</v>
      </c>
      <c r="I130" s="0" t="n">
        <f aca="false">SUMIF(Games!$A$2:$A$186,$A130,Games!$E$2:$E$186)+SUMIF(Games!$B$2:$B$186,$A130,Games!$F$2:$F$186)</f>
        <v>495</v>
      </c>
      <c r="J130" s="0" t="n">
        <f aca="false">IFERROR(I130/(B130+C130),0)</f>
        <v>247.5</v>
      </c>
      <c r="K130" s="0" t="n">
        <f aca="false">SUMIF(Games!$A$2:$A$186,$A130,Games!$F$2:$F$186)+SUMIF(Games!$B$2:$B$186,$A130,Games!$E$2:$E$186)</f>
        <v>131</v>
      </c>
      <c r="L130" s="0" t="n">
        <f aca="false">SUMIF(Games!$A$2:$A$186,$A130,Games!$G$2:$G$186)+SUMIF(Games!$B$2:$B$186,$A130,Games!$H$2:$H$186)</f>
        <v>384</v>
      </c>
      <c r="M130" s="0" t="n">
        <f aca="false">IFERROR(L130/(B130+C130),0)</f>
        <v>192</v>
      </c>
      <c r="N130" s="0" t="n">
        <f aca="false">SUMIF(Games!$A$2:$A$186,$A130,Games!$H$2:$H$186)+SUMIF(Games!$B$2:$B$186,$A130,Games!$G$2:$G$186)</f>
        <v>260</v>
      </c>
      <c r="O130" s="0" t="n">
        <f aca="false">SUMIF(Games!$A$2:$A$186,$A130,Games!$I$2:$I$186)+SUMIF(Games!$B$2:$B$186,$A130,Games!$J$2:$J$186)</f>
        <v>1</v>
      </c>
      <c r="P130" s="0" t="n">
        <f aca="false">SUMIF(Games!$A$2:$A$186,$A130,Games!$J$2:$J$186)+SUMIF(Games!$B$2:$B$186,$A130,Games!$I$2:$I$186)</f>
        <v>5</v>
      </c>
      <c r="R130" s="0" t="n">
        <f aca="false">IFERROR((K130+N130)/(B130+C130),0)</f>
        <v>195.5</v>
      </c>
      <c r="S130" s="0" t="n">
        <f aca="false">P130-O130</f>
        <v>4</v>
      </c>
      <c r="T130" s="0" t="n">
        <f aca="false">IFERROR((D130/(D130+E130))*(F130/(F130+G130)),0)</f>
        <v>0.0317082837891399</v>
      </c>
      <c r="U130" s="0" t="n">
        <f aca="false">RANK(T130,T$2:T$139)</f>
        <v>118</v>
      </c>
      <c r="V130" s="0" t="n">
        <f aca="false">IFERROR((B130/(B130+C130))*25,0)+IFERROR((D130/(D130+E130))*25,0)+IFERROR((F130/(F130+G130))*10,0)+H130+((J130-RMEAN)/RDEV)*5+((M130-PMEAN)/PDEV)*5+((DMEAN-R130)/DDEV)*7+((S130-TOMEAN)/TODEV)*3</f>
        <v>50.8535759433398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SUMIF(Games!$A$2:$A$186,$A131,Games!$K$2:$K$186)+SUMIF(Games!$B$2:$B$186,$A131,Games!$L$2:$L$186)</f>
        <v>2</v>
      </c>
      <c r="C131" s="0" t="n">
        <f aca="false">SUMIF(Games!$A$2:$A$186,$A131,Games!$L$2:$L$186)+SUMIF(Games!$B$2:$B$186,$A131,Games!$K$2:$K$186)</f>
        <v>0</v>
      </c>
      <c r="D131" s="0" t="n">
        <f aca="false">SUMIF(Games!$A$2:$A$186,$A131,Games!$O$2:$O$186)+SUMIF(Games!$B$2:$B$186,$A131,Games!$M$2:$M$186)</f>
        <v>6</v>
      </c>
      <c r="E131" s="0" t="n">
        <f aca="false">SUMIF(Games!$A$2:$A$186,$A131,Games!$P$2:$P$186)+SUMIF(Games!$B$2:$B$186,$A131,Games!$N$2:$N$186)</f>
        <v>81</v>
      </c>
      <c r="F131" s="0" t="n">
        <f aca="false">SUMIF(Games!$A$2:$A$186,$A131,Games!$S$2:$S$186)+SUMIF(Games!$B$2:$B$186,$A131,Games!$Q$2:$Q$186)</f>
        <v>120</v>
      </c>
      <c r="G131" s="0" t="n">
        <f aca="false">SUMIF(Games!$A$2:$A$186,$A131,Games!$T$2:$T$186)+SUMIF(Games!$B$2:$B$186,$A131,Games!$R$2:$R$186)</f>
        <v>141</v>
      </c>
      <c r="H131" s="0" t="n">
        <f aca="false">SUMIF(Games!$A$2:$A$186,$A131,Games!$U$2:$U$186)+SUMIF(Games!$B$2:$B$186,$A131,Games!$V$2:$V$186)</f>
        <v>2.26233941852603</v>
      </c>
      <c r="I131" s="0" t="n">
        <f aca="false">SUMIF(Games!$A$2:$A$186,$A131,Games!$E$2:$E$186)+SUMIF(Games!$B$2:$B$186,$A131,Games!$F$2:$F$186)</f>
        <v>357</v>
      </c>
      <c r="J131" s="0" t="n">
        <f aca="false">IFERROR(I131/(B131+C131),0)</f>
        <v>178.5</v>
      </c>
      <c r="K131" s="0" t="n">
        <f aca="false">SUMIF(Games!$A$2:$A$186,$A131,Games!$F$2:$F$186)+SUMIF(Games!$B$2:$B$186,$A131,Games!$E$2:$E$186)</f>
        <v>119</v>
      </c>
      <c r="L131" s="0" t="n">
        <f aca="false">SUMIF(Games!$A$2:$A$186,$A131,Games!$G$2:$G$186)+SUMIF(Games!$B$2:$B$186,$A131,Games!$H$2:$H$186)</f>
        <v>678</v>
      </c>
      <c r="M131" s="0" t="n">
        <f aca="false">IFERROR(L131/(B131+C131),0)</f>
        <v>339</v>
      </c>
      <c r="N131" s="0" t="n">
        <f aca="false">SUMIF(Games!$A$2:$A$186,$A131,Games!$H$2:$H$186)+SUMIF(Games!$B$2:$B$186,$A131,Games!$G$2:$G$186)</f>
        <v>274</v>
      </c>
      <c r="O131" s="0" t="n">
        <f aca="false">SUMIF(Games!$A$2:$A$186,$A131,Games!$I$2:$I$186)+SUMIF(Games!$B$2:$B$186,$A131,Games!$J$2:$J$186)</f>
        <v>4</v>
      </c>
      <c r="P131" s="0" t="n">
        <f aca="false">SUMIF(Games!$A$2:$A$186,$A131,Games!$J$2:$J$186)+SUMIF(Games!$B$2:$B$186,$A131,Games!$I$2:$I$186)</f>
        <v>4</v>
      </c>
      <c r="R131" s="0" t="n">
        <f aca="false">IFERROR((K131+N131)/(B131+C131),0)</f>
        <v>196.5</v>
      </c>
      <c r="S131" s="0" t="n">
        <f aca="false">P131-O131</f>
        <v>0</v>
      </c>
      <c r="T131" s="0" t="n">
        <f aca="false">IFERROR((D131/(D131+E131))*(F131/(F131+G131)),0)</f>
        <v>0.0317082837891399</v>
      </c>
      <c r="U131" s="0" t="n">
        <f aca="false">RANK(T131,T$2:T$139)</f>
        <v>118</v>
      </c>
      <c r="V131" s="0" t="n">
        <f aca="false">IFERROR((B131/(B131+C131))*25,0)+IFERROR((D131/(D131+E131))*25,0)+IFERROR((F131/(F131+G131))*10,0)+H131+((J131-RMEAN)/RDEV)*5+((M131-PMEAN)/PDEV)*5+((DMEAN-R131)/DDEV)*7+((S131-TOMEAN)/TODEV)*3</f>
        <v>50.7691320154701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SUMIF(Games!$A$2:$A$186,$A132,Games!$K$2:$K$186)+SUMIF(Games!$B$2:$B$186,$A132,Games!$L$2:$L$186)</f>
        <v>2</v>
      </c>
      <c r="C132" s="0" t="n">
        <f aca="false">SUMIF(Games!$A$2:$A$186,$A132,Games!$L$2:$L$186)+SUMIF(Games!$B$2:$B$186,$A132,Games!$K$2:$K$186)</f>
        <v>0</v>
      </c>
      <c r="D132" s="0" t="n">
        <f aca="false">SUMIF(Games!$A$2:$A$186,$A132,Games!$O$2:$O$186)+SUMIF(Games!$B$2:$B$186,$A132,Games!$M$2:$M$186)</f>
        <v>2</v>
      </c>
      <c r="E132" s="0" t="n">
        <f aca="false">SUMIF(Games!$A$2:$A$186,$A132,Games!$P$2:$P$186)+SUMIF(Games!$B$2:$B$186,$A132,Games!$N$2:$N$186)</f>
        <v>2</v>
      </c>
      <c r="F132" s="0" t="n">
        <f aca="false">SUMIF(Games!$A$2:$A$186,$A132,Games!$S$2:$S$186)+SUMIF(Games!$B$2:$B$186,$A132,Games!$Q$2:$Q$186)</f>
        <v>14</v>
      </c>
      <c r="G132" s="0" t="n">
        <f aca="false">SUMIF(Games!$A$2:$A$186,$A132,Games!$T$2:$T$186)+SUMIF(Games!$B$2:$B$186,$A132,Games!$R$2:$R$186)</f>
        <v>160</v>
      </c>
      <c r="H132" s="0" t="n">
        <f aca="false">SUMIF(Games!$A$2:$A$186,$A132,Games!$U$2:$U$186)+SUMIF(Games!$B$2:$B$186,$A132,Games!$V$2:$V$186)</f>
        <v>0.96551724137931</v>
      </c>
      <c r="I132" s="0" t="n">
        <f aca="false">SUMIF(Games!$A$2:$A$186,$A132,Games!$E$2:$E$186)+SUMIF(Games!$B$2:$B$186,$A132,Games!$F$2:$F$186)</f>
        <v>389</v>
      </c>
      <c r="J132" s="0" t="n">
        <f aca="false">IFERROR(I132/(B132+C132),0)</f>
        <v>194.5</v>
      </c>
      <c r="K132" s="0" t="n">
        <f aca="false">SUMIF(Games!$A$2:$A$186,$A132,Games!$F$2:$F$186)+SUMIF(Games!$B$2:$B$186,$A132,Games!$E$2:$E$186)</f>
        <v>275</v>
      </c>
      <c r="L132" s="0" t="n">
        <f aca="false">SUMIF(Games!$A$2:$A$186,$A132,Games!$G$2:$G$186)+SUMIF(Games!$B$2:$B$186,$A132,Games!$H$2:$H$186)</f>
        <v>581</v>
      </c>
      <c r="M132" s="0" t="n">
        <f aca="false">IFERROR(L132/(B132+C132),0)</f>
        <v>290.5</v>
      </c>
      <c r="N132" s="0" t="n">
        <f aca="false">SUMIF(Games!$A$2:$A$186,$A132,Games!$H$2:$H$186)+SUMIF(Games!$B$2:$B$186,$A132,Games!$G$2:$G$186)</f>
        <v>485</v>
      </c>
      <c r="O132" s="0" t="n">
        <f aca="false">SUMIF(Games!$A$2:$A$186,$A132,Games!$I$2:$I$186)+SUMIF(Games!$B$2:$B$186,$A132,Games!$J$2:$J$186)</f>
        <v>0</v>
      </c>
      <c r="P132" s="0" t="n">
        <f aca="false">SUMIF(Games!$A$2:$A$186,$A132,Games!$J$2:$J$186)+SUMIF(Games!$B$2:$B$186,$A132,Games!$I$2:$I$186)</f>
        <v>1</v>
      </c>
      <c r="R132" s="0" t="n">
        <f aca="false">IFERROR((K132+N132)/(B132+C132),0)</f>
        <v>380</v>
      </c>
      <c r="S132" s="0" t="n">
        <f aca="false">P132-O132</f>
        <v>1</v>
      </c>
      <c r="T132" s="0" t="n">
        <f aca="false">IFERROR((D132/(D132+E132))*(F132/(F132+G132)),0)</f>
        <v>0.0402298850574713</v>
      </c>
      <c r="U132" s="0" t="n">
        <f aca="false">RANK(T132,T$2:T$139)</f>
        <v>87</v>
      </c>
      <c r="V132" s="0" t="n">
        <f aca="false">IFERROR((B132/(B132+C132))*25,0)+IFERROR((D132/(D132+E132))*25,0)+IFERROR((F132/(F132+G132))*10,0)+H132+((J132-RMEAN)/RDEV)*5+((M132-PMEAN)/PDEV)*5+((DMEAN-R132)/DDEV)*7+((S132-TOMEAN)/TODEV)*3</f>
        <v>40.8958274868162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SUMIF(Games!$A$2:$A$186,$A133,Games!$K$2:$K$186)+SUMIF(Games!$B$2:$B$186,$A133,Games!$L$2:$L$186)</f>
        <v>2</v>
      </c>
      <c r="C133" s="0" t="n">
        <f aca="false">SUMIF(Games!$A$2:$A$186,$A133,Games!$L$2:$L$186)+SUMIF(Games!$B$2:$B$186,$A133,Games!$K$2:$K$186)</f>
        <v>0</v>
      </c>
      <c r="D133" s="0" t="n">
        <f aca="false">SUMIF(Games!$A$2:$A$186,$A133,Games!$O$2:$O$186)+SUMIF(Games!$B$2:$B$186,$A133,Games!$M$2:$M$186)</f>
        <v>0</v>
      </c>
      <c r="E133" s="0" t="n">
        <f aca="false">SUMIF(Games!$A$2:$A$186,$A133,Games!$P$2:$P$186)+SUMIF(Games!$B$2:$B$186,$A133,Games!$N$2:$N$186)</f>
        <v>4</v>
      </c>
      <c r="F133" s="0" t="n">
        <f aca="false">SUMIF(Games!$A$2:$A$186,$A133,Games!$S$2:$S$186)+SUMIF(Games!$B$2:$B$186,$A133,Games!$Q$2:$Q$186)</f>
        <v>11</v>
      </c>
      <c r="G133" s="0" t="n">
        <f aca="false">SUMIF(Games!$A$2:$A$186,$A133,Games!$T$2:$T$186)+SUMIF(Games!$B$2:$B$186,$A133,Games!$R$2:$R$186)</f>
        <v>80</v>
      </c>
      <c r="H133" s="0" t="n">
        <f aca="false">SUMIF(Games!$A$2:$A$186,$A133,Games!$U$2:$U$186)+SUMIF(Games!$B$2:$B$186,$A133,Games!$V$2:$V$186)</f>
        <v>0</v>
      </c>
      <c r="I133" s="0" t="n">
        <f aca="false">SUMIF(Games!$A$2:$A$186,$A133,Games!$E$2:$E$186)+SUMIF(Games!$B$2:$B$186,$A133,Games!$F$2:$F$186)</f>
        <v>241</v>
      </c>
      <c r="J133" s="0" t="n">
        <f aca="false">IFERROR(I133/(B133+C133),0)</f>
        <v>120.5</v>
      </c>
      <c r="K133" s="0" t="n">
        <f aca="false">SUMIF(Games!$A$2:$A$186,$A133,Games!$F$2:$F$186)+SUMIF(Games!$B$2:$B$186,$A133,Games!$E$2:$E$186)</f>
        <v>175</v>
      </c>
      <c r="L133" s="0" t="n">
        <f aca="false">SUMIF(Games!$A$2:$A$186,$A133,Games!$G$2:$G$186)+SUMIF(Games!$B$2:$B$186,$A133,Games!$H$2:$H$186)</f>
        <v>517</v>
      </c>
      <c r="M133" s="0" t="n">
        <f aca="false">IFERROR(L133/(B133+C133),0)</f>
        <v>258.5</v>
      </c>
      <c r="N133" s="0" t="n">
        <f aca="false">SUMIF(Games!$A$2:$A$186,$A133,Games!$H$2:$H$186)+SUMIF(Games!$B$2:$B$186,$A133,Games!$G$2:$G$186)</f>
        <v>338</v>
      </c>
      <c r="O133" s="0" t="n">
        <f aca="false">SUMIF(Games!$A$2:$A$186,$A133,Games!$I$2:$I$186)+SUMIF(Games!$B$2:$B$186,$A133,Games!$J$2:$J$186)</f>
        <v>0</v>
      </c>
      <c r="P133" s="0" t="n">
        <f aca="false">SUMIF(Games!$A$2:$A$186,$A133,Games!$J$2:$J$186)+SUMIF(Games!$B$2:$B$186,$A133,Games!$I$2:$I$186)</f>
        <v>6</v>
      </c>
      <c r="R133" s="0" t="n">
        <f aca="false">IFERROR((K133+N133)/(B133+C133),0)</f>
        <v>256.5</v>
      </c>
      <c r="S133" s="0" t="n">
        <f aca="false">P133-O133</f>
        <v>6</v>
      </c>
      <c r="T133" s="0" t="n">
        <f aca="false">IFERROR((D133/(D133+E133))*(F133/(F133+G133)),0)</f>
        <v>0</v>
      </c>
      <c r="U133" s="0" t="n">
        <f aca="false">RANK(T133,T$2:T$139)</f>
        <v>138</v>
      </c>
      <c r="V133" s="0" t="n">
        <f aca="false">IFERROR((B133/(B133+C133))*25,0)+IFERROR((D133/(D133+E133))*25,0)+IFERROR((F133/(F133+G133))*10,0)+H133+((J133-RMEAN)/RDEV)*5+((M133-PMEAN)/PDEV)*5+((DMEAN-R133)/DDEV)*7+((S133-TOMEAN)/TODEV)*3</f>
        <v>35.884073866451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SUMIF(Games!$A$2:$A$186,$A134,Games!$K$2:$K$186)+SUMIF(Games!$B$2:$B$186,$A134,Games!$L$2:$L$186)</f>
        <v>0</v>
      </c>
      <c r="C134" s="0" t="n">
        <f aca="false">SUMIF(Games!$A$2:$A$186,$A134,Games!$L$2:$L$186)+SUMIF(Games!$B$2:$B$186,$A134,Games!$K$2:$K$186)</f>
        <v>2</v>
      </c>
      <c r="D134" s="0" t="n">
        <f aca="false">SUMIF(Games!$A$2:$A$186,$A134,Games!$O$2:$O$186)+SUMIF(Games!$B$2:$B$186,$A134,Games!$M$2:$M$186)</f>
        <v>4</v>
      </c>
      <c r="E134" s="0" t="n">
        <f aca="false">SUMIF(Games!$A$2:$A$186,$A134,Games!$P$2:$P$186)+SUMIF(Games!$B$2:$B$186,$A134,Games!$N$2:$N$186)</f>
        <v>0</v>
      </c>
      <c r="F134" s="0" t="n">
        <f aca="false">SUMIF(Games!$A$2:$A$186,$A134,Games!$S$2:$S$186)+SUMIF(Games!$B$2:$B$186,$A134,Games!$Q$2:$Q$186)</f>
        <v>5</v>
      </c>
      <c r="G134" s="0" t="n">
        <f aca="false">SUMIF(Games!$A$2:$A$186,$A134,Games!$T$2:$T$186)+SUMIF(Games!$B$2:$B$186,$A134,Games!$R$2:$R$186)</f>
        <v>86</v>
      </c>
      <c r="H134" s="0" t="n">
        <f aca="false">SUMIF(Games!$A$2:$A$186,$A134,Games!$U$2:$U$186)+SUMIF(Games!$B$2:$B$186,$A134,Games!$V$2:$V$186)</f>
        <v>-3.9448275862069</v>
      </c>
      <c r="I134" s="0" t="n">
        <f aca="false">SUMIF(Games!$A$2:$A$186,$A134,Games!$E$2:$E$186)+SUMIF(Games!$B$2:$B$186,$A134,Games!$F$2:$F$186)</f>
        <v>201</v>
      </c>
      <c r="J134" s="0" t="n">
        <f aca="false">IFERROR(I134/(B134+C134),0)</f>
        <v>100.5</v>
      </c>
      <c r="K134" s="0" t="n">
        <f aca="false">SUMIF(Games!$A$2:$A$186,$A134,Games!$F$2:$F$186)+SUMIF(Games!$B$2:$B$186,$A134,Games!$E$2:$E$186)</f>
        <v>429</v>
      </c>
      <c r="L134" s="0" t="n">
        <f aca="false">SUMIF(Games!$A$2:$A$186,$A134,Games!$G$2:$G$186)+SUMIF(Games!$B$2:$B$186,$A134,Games!$H$2:$H$186)</f>
        <v>207</v>
      </c>
      <c r="M134" s="0" t="n">
        <f aca="false">IFERROR(L134/(B134+C134),0)</f>
        <v>103.5</v>
      </c>
      <c r="N134" s="0" t="n">
        <f aca="false">SUMIF(Games!$A$2:$A$186,$A134,Games!$H$2:$H$186)+SUMIF(Games!$B$2:$B$186,$A134,Games!$G$2:$G$186)</f>
        <v>460</v>
      </c>
      <c r="O134" s="0" t="n">
        <f aca="false">SUMIF(Games!$A$2:$A$186,$A134,Games!$I$2:$I$186)+SUMIF(Games!$B$2:$B$186,$A134,Games!$J$2:$J$186)</f>
        <v>4</v>
      </c>
      <c r="P134" s="0" t="n">
        <f aca="false">SUMIF(Games!$A$2:$A$186,$A134,Games!$J$2:$J$186)+SUMIF(Games!$B$2:$B$186,$A134,Games!$I$2:$I$186)</f>
        <v>2</v>
      </c>
      <c r="R134" s="0" t="n">
        <f aca="false">IFERROR((K134+N134)/(B134+C134),0)</f>
        <v>444.5</v>
      </c>
      <c r="S134" s="0" t="n">
        <f aca="false">P134-O134</f>
        <v>-2</v>
      </c>
      <c r="T134" s="0" t="n">
        <f aca="false">IFERROR((D134/(D134+E134))*(F134/(F134+G134)),0)</f>
        <v>0.0549450549450549</v>
      </c>
      <c r="U134" s="0" t="n">
        <f aca="false">RANK(T134,T$2:T$139)</f>
        <v>33</v>
      </c>
      <c r="V134" s="0" t="n">
        <f aca="false">IFERROR((B134/(B134+C134))*25,0)+IFERROR((D134/(D134+E134))*25,0)+IFERROR((F134/(F134+G134))*10,0)+H134+((J134-RMEAN)/RDEV)*5+((M134-PMEAN)/PDEV)*5+((DMEAN-R134)/DDEV)*7+((S134-TOMEAN)/TODEV)*3</f>
        <v>-5.48173161495381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SUMIF(Games!$A$2:$A$186,$A135,Games!$K$2:$K$186)+SUMIF(Games!$B$2:$B$186,$A135,Games!$L$2:$L$186)</f>
        <v>2</v>
      </c>
      <c r="C135" s="0" t="n">
        <f aca="false">SUMIF(Games!$A$2:$A$186,$A135,Games!$L$2:$L$186)+SUMIF(Games!$B$2:$B$186,$A135,Games!$K$2:$K$186)</f>
        <v>0</v>
      </c>
      <c r="D135" s="0" t="n">
        <f aca="false">SUMIF(Games!$A$2:$A$186,$A135,Games!$O$2:$O$186)+SUMIF(Games!$B$2:$B$186,$A135,Games!$M$2:$M$186)</f>
        <v>6</v>
      </c>
      <c r="E135" s="0" t="n">
        <f aca="false">SUMIF(Games!$A$2:$A$186,$A135,Games!$P$2:$P$186)+SUMIF(Games!$B$2:$B$186,$A135,Games!$N$2:$N$186)</f>
        <v>81</v>
      </c>
      <c r="F135" s="0" t="n">
        <f aca="false">SUMIF(Games!$A$2:$A$186,$A135,Games!$S$2:$S$186)+SUMIF(Games!$B$2:$B$186,$A135,Games!$Q$2:$Q$186)</f>
        <v>120</v>
      </c>
      <c r="G135" s="0" t="n">
        <f aca="false">SUMIF(Games!$A$2:$A$186,$A135,Games!$T$2:$T$186)+SUMIF(Games!$B$2:$B$186,$A135,Games!$R$2:$R$186)</f>
        <v>141</v>
      </c>
      <c r="H135" s="0" t="n">
        <f aca="false">SUMIF(Games!$A$2:$A$186,$A135,Games!$U$2:$U$186)+SUMIF(Games!$B$2:$B$186,$A135,Games!$V$2:$V$186)</f>
        <v>1.61866125760649</v>
      </c>
      <c r="I135" s="0" t="n">
        <f aca="false">SUMIF(Games!$A$2:$A$186,$A135,Games!$E$2:$E$186)+SUMIF(Games!$B$2:$B$186,$A135,Games!$F$2:$F$186)</f>
        <v>597</v>
      </c>
      <c r="J135" s="0" t="n">
        <f aca="false">IFERROR(I135/(B135+C135),0)</f>
        <v>298.5</v>
      </c>
      <c r="K135" s="0" t="n">
        <f aca="false">SUMIF(Games!$A$2:$A$186,$A135,Games!$F$2:$F$186)+SUMIF(Games!$B$2:$B$186,$A135,Games!$E$2:$E$186)</f>
        <v>200</v>
      </c>
      <c r="L135" s="0" t="n">
        <f aca="false">SUMIF(Games!$A$2:$A$186,$A135,Games!$G$2:$G$186)+SUMIF(Games!$B$2:$B$186,$A135,Games!$H$2:$H$186)</f>
        <v>341</v>
      </c>
      <c r="M135" s="0" t="n">
        <f aca="false">IFERROR(L135/(B135+C135),0)</f>
        <v>170.5</v>
      </c>
      <c r="N135" s="0" t="n">
        <f aca="false">SUMIF(Games!$A$2:$A$186,$A135,Games!$H$2:$H$186)+SUMIF(Games!$B$2:$B$186,$A135,Games!$G$2:$G$186)</f>
        <v>543</v>
      </c>
      <c r="O135" s="0" t="n">
        <f aca="false">SUMIF(Games!$A$2:$A$186,$A135,Games!$I$2:$I$186)+SUMIF(Games!$B$2:$B$186,$A135,Games!$J$2:$J$186)</f>
        <v>2</v>
      </c>
      <c r="P135" s="0" t="n">
        <f aca="false">SUMIF(Games!$A$2:$A$186,$A135,Games!$J$2:$J$186)+SUMIF(Games!$B$2:$B$186,$A135,Games!$I$2:$I$186)</f>
        <v>4</v>
      </c>
      <c r="R135" s="0" t="n">
        <f aca="false">IFERROR((K135+N135)/(B135+C135),0)</f>
        <v>371.5</v>
      </c>
      <c r="S135" s="0" t="n">
        <f aca="false">P135-O135</f>
        <v>2</v>
      </c>
      <c r="T135" s="0" t="n">
        <f aca="false">IFERROR((D135/(D135+E135))*(F135/(F135+G135)),0)</f>
        <v>0.0317082837891399</v>
      </c>
      <c r="U135" s="0" t="n">
        <f aca="false">RANK(T135,T$2:T$139)</f>
        <v>118</v>
      </c>
      <c r="V135" s="0" t="n">
        <f aca="false">IFERROR((B135/(B135+C135))*25,0)+IFERROR((D135/(D135+E135))*25,0)+IFERROR((F135/(F135+G135))*10,0)+H135+((J135-RMEAN)/RDEV)*5+((M135-PMEAN)/PDEV)*5+((DMEAN-R135)/DDEV)*7+((S135-TOMEAN)/TODEV)*3</f>
        <v>36.0319613977514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SUMIF(Games!$A$2:$A$186,$A136,Games!$K$2:$K$186)+SUMIF(Games!$B$2:$B$186,$A136,Games!$L$2:$L$186)</f>
        <v>0</v>
      </c>
      <c r="C136" s="0" t="n">
        <f aca="false">SUMIF(Games!$A$2:$A$186,$A136,Games!$L$2:$L$186)+SUMIF(Games!$B$2:$B$186,$A136,Games!$K$2:$K$186)</f>
        <v>2</v>
      </c>
      <c r="D136" s="0" t="n">
        <f aca="false">SUMIF(Games!$A$2:$A$186,$A136,Games!$O$2:$O$186)+SUMIF(Games!$B$2:$B$186,$A136,Games!$M$2:$M$186)</f>
        <v>3</v>
      </c>
      <c r="E136" s="0" t="n">
        <f aca="false">SUMIF(Games!$A$2:$A$186,$A136,Games!$P$2:$P$186)+SUMIF(Games!$B$2:$B$186,$A136,Games!$N$2:$N$186)</f>
        <v>1</v>
      </c>
      <c r="F136" s="0" t="n">
        <f aca="false">SUMIF(Games!$A$2:$A$186,$A136,Games!$S$2:$S$186)+SUMIF(Games!$B$2:$B$186,$A136,Games!$Q$2:$Q$186)</f>
        <v>10</v>
      </c>
      <c r="G136" s="0" t="n">
        <f aca="false">SUMIF(Games!$A$2:$A$186,$A136,Games!$T$2:$T$186)+SUMIF(Games!$B$2:$B$186,$A136,Games!$R$2:$R$186)</f>
        <v>164</v>
      </c>
      <c r="H136" s="0" t="n">
        <f aca="false">SUMIF(Games!$A$2:$A$186,$A136,Games!$U$2:$U$186)+SUMIF(Games!$B$2:$B$186,$A136,Games!$V$2:$V$186)</f>
        <v>-19.7931034482759</v>
      </c>
      <c r="I136" s="0" t="n">
        <f aca="false">SUMIF(Games!$A$2:$A$186,$A136,Games!$E$2:$E$186)+SUMIF(Games!$B$2:$B$186,$A136,Games!$F$2:$F$186)</f>
        <v>274</v>
      </c>
      <c r="J136" s="0" t="n">
        <f aca="false">IFERROR(I136/(B136+C136),0)</f>
        <v>137</v>
      </c>
      <c r="K136" s="0" t="n">
        <f aca="false">SUMIF(Games!$A$2:$A$186,$A136,Games!$F$2:$F$186)+SUMIF(Games!$B$2:$B$186,$A136,Games!$E$2:$E$186)</f>
        <v>557</v>
      </c>
      <c r="L136" s="0" t="n">
        <f aca="false">SUMIF(Games!$A$2:$A$186,$A136,Games!$G$2:$G$186)+SUMIF(Games!$B$2:$B$186,$A136,Games!$H$2:$H$186)</f>
        <v>318</v>
      </c>
      <c r="M136" s="0" t="n">
        <f aca="false">IFERROR(L136/(B136+C136),0)</f>
        <v>159</v>
      </c>
      <c r="N136" s="0" t="n">
        <f aca="false">SUMIF(Games!$A$2:$A$186,$A136,Games!$H$2:$H$186)+SUMIF(Games!$B$2:$B$186,$A136,Games!$G$2:$G$186)</f>
        <v>422</v>
      </c>
      <c r="O136" s="0" t="n">
        <f aca="false">SUMIF(Games!$A$2:$A$186,$A136,Games!$I$2:$I$186)+SUMIF(Games!$B$2:$B$186,$A136,Games!$J$2:$J$186)</f>
        <v>6</v>
      </c>
      <c r="P136" s="0" t="n">
        <f aca="false">SUMIF(Games!$A$2:$A$186,$A136,Games!$J$2:$J$186)+SUMIF(Games!$B$2:$B$186,$A136,Games!$I$2:$I$186)</f>
        <v>3</v>
      </c>
      <c r="R136" s="0" t="n">
        <f aca="false">IFERROR((K136+N136)/(B136+C136),0)</f>
        <v>489.5</v>
      </c>
      <c r="S136" s="0" t="n">
        <f aca="false">P136-O136</f>
        <v>-3</v>
      </c>
      <c r="T136" s="0" t="n">
        <f aca="false">IFERROR((D136/(D136+E136))*(F136/(F136+G136)),0)</f>
        <v>0.0431034482758621</v>
      </c>
      <c r="U136" s="0" t="n">
        <f aca="false">RANK(T136,T$2:T$139)</f>
        <v>85</v>
      </c>
      <c r="V136" s="0" t="n">
        <f aca="false">IFERROR((B136/(B136+C136))*25,0)+IFERROR((D136/(D136+E136))*25,0)+IFERROR((F136/(F136+G136))*10,0)+H136+((J136-RMEAN)/RDEV)*5+((M136-PMEAN)/PDEV)*5+((DMEAN-R136)/DDEV)*7+((S136-TOMEAN)/TODEV)*3</f>
        <v>-25.7635335901255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SUMIF(Games!$A$2:$A$186,$A137,Games!$K$2:$K$186)+SUMIF(Games!$B$2:$B$186,$A137,Games!$L$2:$L$186)</f>
        <v>1</v>
      </c>
      <c r="C137" s="0" t="n">
        <f aca="false">SUMIF(Games!$A$2:$A$186,$A137,Games!$L$2:$L$186)+SUMIF(Games!$B$2:$B$186,$A137,Games!$K$2:$K$186)</f>
        <v>1</v>
      </c>
      <c r="D137" s="0" t="n">
        <f aca="false">SUMIF(Games!$A$2:$A$186,$A137,Games!$O$2:$O$186)+SUMIF(Games!$B$2:$B$186,$A137,Games!$M$2:$M$186)</f>
        <v>7</v>
      </c>
      <c r="E137" s="0" t="n">
        <f aca="false">SUMIF(Games!$A$2:$A$186,$A137,Games!$P$2:$P$186)+SUMIF(Games!$B$2:$B$186,$A137,Games!$N$2:$N$186)</f>
        <v>80</v>
      </c>
      <c r="F137" s="0" t="n">
        <f aca="false">SUMIF(Games!$A$2:$A$186,$A137,Games!$S$2:$S$186)+SUMIF(Games!$B$2:$B$186,$A137,Games!$Q$2:$Q$186)</f>
        <v>115</v>
      </c>
      <c r="G137" s="0" t="n">
        <f aca="false">SUMIF(Games!$A$2:$A$186,$A137,Games!$T$2:$T$186)+SUMIF(Games!$B$2:$B$186,$A137,Games!$R$2:$R$186)</f>
        <v>63</v>
      </c>
      <c r="H137" s="0" t="n">
        <f aca="false">SUMIF(Games!$A$2:$A$186,$A137,Games!$U$2:$U$186)+SUMIF(Games!$B$2:$B$186,$A137,Games!$V$2:$V$186)</f>
        <v>1.28705206220419</v>
      </c>
      <c r="I137" s="0" t="n">
        <f aca="false">SUMIF(Games!$A$2:$A$186,$A137,Games!$E$2:$E$186)+SUMIF(Games!$B$2:$B$186,$A137,Games!$F$2:$F$186)</f>
        <v>280</v>
      </c>
      <c r="J137" s="0" t="n">
        <f aca="false">IFERROR(I137/(B137+C137),0)</f>
        <v>140</v>
      </c>
      <c r="K137" s="0" t="n">
        <f aca="false">SUMIF(Games!$A$2:$A$186,$A137,Games!$F$2:$F$186)+SUMIF(Games!$B$2:$B$186,$A137,Games!$E$2:$E$186)</f>
        <v>264</v>
      </c>
      <c r="L137" s="0" t="n">
        <f aca="false">SUMIF(Games!$A$2:$A$186,$A137,Games!$G$2:$G$186)+SUMIF(Games!$B$2:$B$186,$A137,Games!$H$2:$H$186)</f>
        <v>355</v>
      </c>
      <c r="M137" s="0" t="n">
        <f aca="false">IFERROR(L137/(B137+C137),0)</f>
        <v>177.5</v>
      </c>
      <c r="N137" s="0" t="n">
        <f aca="false">SUMIF(Games!$A$2:$A$186,$A137,Games!$H$2:$H$186)+SUMIF(Games!$B$2:$B$186,$A137,Games!$G$2:$G$186)</f>
        <v>443</v>
      </c>
      <c r="O137" s="0" t="n">
        <f aca="false">SUMIF(Games!$A$2:$A$186,$A137,Games!$I$2:$I$186)+SUMIF(Games!$B$2:$B$186,$A137,Games!$J$2:$J$186)</f>
        <v>0</v>
      </c>
      <c r="P137" s="0" t="n">
        <f aca="false">SUMIF(Games!$A$2:$A$186,$A137,Games!$J$2:$J$186)+SUMIF(Games!$B$2:$B$186,$A137,Games!$I$2:$I$186)</f>
        <v>5</v>
      </c>
      <c r="R137" s="0" t="n">
        <f aca="false">IFERROR((K137+N137)/(B137+C137),0)</f>
        <v>353.5</v>
      </c>
      <c r="S137" s="0" t="n">
        <f aca="false">P137-O137</f>
        <v>5</v>
      </c>
      <c r="T137" s="0" t="n">
        <f aca="false">IFERROR((D137/(D137+E137))*(F137/(F137+G137)),0)</f>
        <v>0.0519824357484179</v>
      </c>
      <c r="U137" s="0" t="n">
        <f aca="false">RANK(T137,T$2:T$139)</f>
        <v>39</v>
      </c>
      <c r="V137" s="0" t="n">
        <f aca="false">IFERROR((B137/(B137+C137))*25,0)+IFERROR((D137/(D137+E137))*25,0)+IFERROR((F137/(F137+G137))*10,0)+H137+((J137-RMEAN)/RDEV)*5+((M137-PMEAN)/PDEV)*5+((DMEAN-R137)/DDEV)*7+((S137-TOMEAN)/TODEV)*3</f>
        <v>18.898255717751</v>
      </c>
    </row>
    <row r="138" customFormat="false" ht="15" hidden="false" customHeight="false" outlineLevel="0" collapsed="false">
      <c r="A138" s="0" t="s">
        <v>142</v>
      </c>
      <c r="B138" s="0" t="n">
        <f aca="false">SUMIF(Games!$A$2:$A$186,$A138,Games!$K$2:$K$186)+SUMIF(Games!$B$2:$B$186,$A138,Games!$L$2:$L$186)</f>
        <v>1</v>
      </c>
      <c r="C138" s="0" t="n">
        <f aca="false">SUMIF(Games!$A$2:$A$186,$A138,Games!$L$2:$L$186)+SUMIF(Games!$B$2:$B$186,$A138,Games!$K$2:$K$186)</f>
        <v>1</v>
      </c>
      <c r="D138" s="0" t="n">
        <f aca="false">SUMIF(Games!$A$2:$A$186,$A138,Games!$O$2:$O$186)+SUMIF(Games!$B$2:$B$186,$A138,Games!$M$2:$M$186)</f>
        <v>7</v>
      </c>
      <c r="E138" s="0" t="n">
        <f aca="false">SUMIF(Games!$A$2:$A$186,$A138,Games!$P$2:$P$186)+SUMIF(Games!$B$2:$B$186,$A138,Games!$N$2:$N$186)</f>
        <v>80</v>
      </c>
      <c r="F138" s="0" t="n">
        <f aca="false">SUMIF(Games!$A$2:$A$186,$A138,Games!$S$2:$S$186)+SUMIF(Games!$B$2:$B$186,$A138,Games!$Q$2:$Q$186)</f>
        <v>115</v>
      </c>
      <c r="G138" s="0" t="n">
        <f aca="false">SUMIF(Games!$A$2:$A$186,$A138,Games!$T$2:$T$186)+SUMIF(Games!$B$2:$B$186,$A138,Games!$R$2:$R$186)</f>
        <v>63</v>
      </c>
      <c r="H138" s="0" t="n">
        <f aca="false">SUMIF(Games!$A$2:$A$186,$A138,Games!$U$2:$U$186)+SUMIF(Games!$B$2:$B$186,$A138,Games!$V$2:$V$186)</f>
        <v>-0.368559837728195</v>
      </c>
      <c r="I138" s="0" t="n">
        <f aca="false">SUMIF(Games!$A$2:$A$186,$A138,Games!$E$2:$E$186)+SUMIF(Games!$B$2:$B$186,$A138,Games!$F$2:$F$186)</f>
        <v>300</v>
      </c>
      <c r="J138" s="0" t="n">
        <f aca="false">IFERROR(I138/(B138+C138),0)</f>
        <v>150</v>
      </c>
      <c r="K138" s="0" t="n">
        <f aca="false">SUMIF(Games!$A$2:$A$186,$A138,Games!$F$2:$F$186)+SUMIF(Games!$B$2:$B$186,$A138,Games!$E$2:$E$186)</f>
        <v>265</v>
      </c>
      <c r="L138" s="0" t="n">
        <f aca="false">SUMIF(Games!$A$2:$A$186,$A138,Games!$G$2:$G$186)+SUMIF(Games!$B$2:$B$186,$A138,Games!$H$2:$H$186)</f>
        <v>390</v>
      </c>
      <c r="M138" s="0" t="n">
        <f aca="false">IFERROR(L138/(B138+C138),0)</f>
        <v>195</v>
      </c>
      <c r="N138" s="0" t="n">
        <f aca="false">SUMIF(Games!$A$2:$A$186,$A138,Games!$H$2:$H$186)+SUMIF(Games!$B$2:$B$186,$A138,Games!$G$2:$G$186)</f>
        <v>387</v>
      </c>
      <c r="O138" s="0" t="n">
        <f aca="false">SUMIF(Games!$A$2:$A$186,$A138,Games!$I$2:$I$186)+SUMIF(Games!$B$2:$B$186,$A138,Games!$J$2:$J$186)</f>
        <v>2</v>
      </c>
      <c r="P138" s="0" t="n">
        <f aca="false">SUMIF(Games!$A$2:$A$186,$A138,Games!$J$2:$J$186)+SUMIF(Games!$B$2:$B$186,$A138,Games!$I$2:$I$186)</f>
        <v>0</v>
      </c>
      <c r="R138" s="0" t="n">
        <f aca="false">IFERROR((K138+N138)/(B138+C138),0)</f>
        <v>326</v>
      </c>
      <c r="S138" s="0" t="n">
        <f aca="false">P138-O138</f>
        <v>-2</v>
      </c>
      <c r="T138" s="0" t="n">
        <f aca="false">IFERROR((D138/(D138+E138))*(F138/(F138+G138)),0)</f>
        <v>0.0519824357484179</v>
      </c>
      <c r="U138" s="0" t="n">
        <f aca="false">RANK(T138,T$2:T$139)</f>
        <v>39</v>
      </c>
      <c r="V138" s="0" t="n">
        <f aca="false">IFERROR((B138/(B138+C138))*25,0)+IFERROR((D138/(D138+E138))*25,0)+IFERROR((F138/(F138+G138))*10,0)+H138+((J138-RMEAN)/RDEV)*5+((M138-PMEAN)/PDEV)*5+((DMEAN-R138)/DDEV)*7+((S138-TOMEAN)/TODEV)*3</f>
        <v>13.0005840604923</v>
      </c>
    </row>
    <row r="139" customFormat="false" ht="15" hidden="false" customHeight="false" outlineLevel="0" collapsed="false">
      <c r="A139" s="0" t="s">
        <v>143</v>
      </c>
      <c r="B139" s="0" t="n">
        <f aca="false">SUMIF(Games!$A$2:$A$186,$A139,Games!$K$2:$K$186)+SUMIF(Games!$B$2:$B$186,$A139,Games!$L$2:$L$186)</f>
        <v>1</v>
      </c>
      <c r="C139" s="0" t="n">
        <f aca="false">SUMIF(Games!$A$2:$A$186,$A139,Games!$L$2:$L$186)+SUMIF(Games!$B$2:$B$186,$A139,Games!$K$2:$K$186)</f>
        <v>1</v>
      </c>
      <c r="D139" s="0" t="n">
        <f aca="false">SUMIF(Games!$A$2:$A$186,$A139,Games!$O$2:$O$186)+SUMIF(Games!$B$2:$B$186,$A139,Games!$M$2:$M$186)</f>
        <v>7</v>
      </c>
      <c r="E139" s="0" t="n">
        <f aca="false">SUMIF(Games!$A$2:$A$186,$A139,Games!$P$2:$P$186)+SUMIF(Games!$B$2:$B$186,$A139,Games!$N$2:$N$186)</f>
        <v>80</v>
      </c>
      <c r="F139" s="0" t="n">
        <f aca="false">SUMIF(Games!$A$2:$A$186,$A139,Games!$S$2:$S$186)+SUMIF(Games!$B$2:$B$186,$A139,Games!$Q$2:$Q$186)</f>
        <v>119</v>
      </c>
      <c r="G139" s="0" t="n">
        <f aca="false">SUMIF(Games!$A$2:$A$186,$A139,Games!$T$2:$T$186)+SUMIF(Games!$B$2:$B$186,$A139,Games!$R$2:$R$186)</f>
        <v>142</v>
      </c>
      <c r="H139" s="0" t="n">
        <f aca="false">SUMIF(Games!$A$2:$A$186,$A139,Games!$U$2:$U$186)+SUMIF(Games!$B$2:$B$186,$A139,Games!$V$2:$V$186)</f>
        <v>-1.74266396213658</v>
      </c>
      <c r="I139" s="0" t="n">
        <f aca="false">SUMIF(Games!$A$2:$A$186,$A139,Games!$E$2:$E$186)+SUMIF(Games!$B$2:$B$186,$A139,Games!$F$2:$F$186)</f>
        <v>298</v>
      </c>
      <c r="J139" s="0" t="n">
        <f aca="false">IFERROR(I139/(B139+C139),0)</f>
        <v>149</v>
      </c>
      <c r="K139" s="0" t="n">
        <f aca="false">SUMIF(Games!$A$2:$A$186,$A139,Games!$F$2:$F$186)+SUMIF(Games!$B$2:$B$186,$A139,Games!$E$2:$E$186)</f>
        <v>293</v>
      </c>
      <c r="L139" s="0" t="n">
        <f aca="false">SUMIF(Games!$A$2:$A$186,$A139,Games!$G$2:$G$186)+SUMIF(Games!$B$2:$B$186,$A139,Games!$H$2:$H$186)</f>
        <v>279</v>
      </c>
      <c r="M139" s="0" t="n">
        <f aca="false">IFERROR(L139/(B139+C139),0)</f>
        <v>139.5</v>
      </c>
      <c r="N139" s="0" t="n">
        <f aca="false">SUMIF(Games!$A$2:$A$186,$A139,Games!$H$2:$H$186)+SUMIF(Games!$B$2:$B$186,$A139,Games!$G$2:$G$186)</f>
        <v>448</v>
      </c>
      <c r="O139" s="0" t="n">
        <f aca="false">SUMIF(Games!$A$2:$A$186,$A139,Games!$I$2:$I$186)+SUMIF(Games!$B$2:$B$186,$A139,Games!$J$2:$J$186)</f>
        <v>6</v>
      </c>
      <c r="P139" s="0" t="n">
        <f aca="false">SUMIF(Games!$A$2:$A$186,$A139,Games!$J$2:$J$186)+SUMIF(Games!$B$2:$B$186,$A139,Games!$I$2:$I$186)</f>
        <v>2</v>
      </c>
      <c r="R139" s="0" t="n">
        <f aca="false">IFERROR((K139+N139)/(B139+C139),0)</f>
        <v>370.5</v>
      </c>
      <c r="S139" s="0" t="n">
        <f aca="false">P139-O139</f>
        <v>-4</v>
      </c>
      <c r="T139" s="0" t="n">
        <f aca="false">IFERROR((D139/(D139+E139))*(F139/(F139+G139)),0)</f>
        <v>0.0366847227727133</v>
      </c>
      <c r="U139" s="0" t="n">
        <f aca="false">RANK(T139,T$2:T$139)</f>
        <v>104</v>
      </c>
      <c r="V139" s="0" t="n">
        <f aca="false">IFERROR((B139/(B139+C139))*25,0)+IFERROR((D139/(D139+E139))*25,0)+IFERROR((F139/(F139+G139))*10,0)+H139+((J139-RMEAN)/RDEV)*5+((M139-PMEAN)/PDEV)*5+((DMEAN-R139)/DDEV)*7+((S139-TOMEAN)/TODEV)*3</f>
        <v>-0.117305501792182</v>
      </c>
    </row>
    <row r="140" customFormat="false" ht="15" hidden="false" customHeight="false" outlineLevel="0" collapsed="false">
      <c r="A140" s="0" t="s">
        <v>198</v>
      </c>
      <c r="B140" s="0" t="n">
        <f aca="false">SUMIF(Games!$A$2:$A$186,$A140,Games!$K$2:$K$186)+SUMIF(Games!$B$2:$B$186,$A140,Games!$L$2:$L$186)</f>
        <v>5</v>
      </c>
      <c r="C140" s="0" t="n">
        <f aca="false">SUMIF(Games!$A$2:$A$186,$A140,Games!$L$2:$L$186)+SUMIF(Games!$B$2:$B$186,$A140,Games!$K$2:$K$186)</f>
        <v>80</v>
      </c>
      <c r="D140" s="0" t="n">
        <f aca="false">SUMIF(Games!$A$2:$A$186,$A140,Games!$O$2:$O$186)+SUMIF(Games!$B$2:$B$186,$A140,Games!$M$2:$M$186)</f>
        <v>113</v>
      </c>
      <c r="E140" s="0" t="n">
        <f aca="false">SUMIF(Games!$A$2:$A$186,$A140,Games!$P$2:$P$186)+SUMIF(Games!$B$2:$B$186,$A140,Games!$N$2:$N$186)</f>
        <v>61</v>
      </c>
      <c r="F140" s="0" t="n">
        <f aca="false">SUMIF(Games!$A$2:$A$186,$A140,Games!$S$2:$S$186)+SUMIF(Games!$B$2:$B$186,$A140,Games!$Q$2:$Q$186)</f>
        <v>550</v>
      </c>
      <c r="G140" s="0" t="n">
        <f aca="false">SUMIF(Games!$A$2:$A$186,$A140,Games!$T$2:$T$186)+SUMIF(Games!$B$2:$B$186,$A140,Games!$R$2:$R$186)</f>
        <v>6862</v>
      </c>
      <c r="H140" s="0" t="n">
        <f aca="false">SUMIF(Games!$A$2:$A$186,$A140,Games!$U$2:$U$186)+SUMIF(Games!$B$2:$B$186,$A140,Games!$V$2:$V$186)</f>
        <v>-758.472596848535</v>
      </c>
      <c r="I140" s="0" t="n">
        <f aca="false">SUMIF(Games!$A$2:$A$186,$A140,Games!$E$2:$E$186)+SUMIF(Games!$B$2:$B$186,$A140,Games!$F$2:$F$186)</f>
        <v>7208</v>
      </c>
      <c r="K140" s="0" t="n">
        <f aca="false">SUMIF(Games!$A$2:$A$186,$A140,Games!$F$2:$F$186)+SUMIF(Games!$B$2:$B$186,$A140,Games!$E$2:$E$186)</f>
        <v>21260</v>
      </c>
      <c r="L140" s="0" t="n">
        <f aca="false">SUMIF(Games!$A$2:$A$186,$A140,Games!$G$2:$G$186)+SUMIF(Games!$B$2:$B$186,$A140,Games!$H$2:$H$186)</f>
        <v>12059</v>
      </c>
      <c r="N140" s="0" t="n">
        <f aca="false">SUMIF(Games!$A$2:$A$186,$A140,Games!$H$2:$H$186)+SUMIF(Games!$B$2:$B$186,$A140,Games!$G$2:$G$186)</f>
        <v>21694</v>
      </c>
      <c r="O140" s="0" t="n">
        <f aca="false">SUMIF(Games!$A$2:$A$186,$A140,Games!$I$2:$I$186)+SUMIF(Games!$B$2:$B$186,$A140,Games!$J$2:$J$186)</f>
        <v>144</v>
      </c>
      <c r="P140" s="0" t="n">
        <f aca="false">SUMIF(Games!$A$2:$A$186,$A140,Games!$J$2:$J$186)+SUMIF(Games!$B$2:$B$186,$A140,Games!$I$2:$I$186)</f>
        <v>87</v>
      </c>
    </row>
    <row r="141" customFormat="false" ht="15" hidden="false" customHeight="false" outlineLevel="0" collapsed="false">
      <c r="A141" s="8" t="s">
        <v>217</v>
      </c>
      <c r="J141" s="10" t="n">
        <f aca="false">AVERAGE(J2:J139)</f>
        <v>176.570048309179</v>
      </c>
      <c r="M141" s="10" t="n">
        <f aca="false">AVERAGE(M2:M139)</f>
        <v>233.890096618358</v>
      </c>
      <c r="R141" s="10" t="n">
        <f aca="false">AVERAGE(R2:R139)</f>
        <v>325.679951690821</v>
      </c>
      <c r="S141" s="10" t="n">
        <f aca="false">AVERAGE(S2:S139)</f>
        <v>0.41304347826087</v>
      </c>
    </row>
    <row r="142" customFormat="false" ht="15" hidden="false" customHeight="false" outlineLevel="0" collapsed="false">
      <c r="A142" s="8" t="s">
        <v>218</v>
      </c>
      <c r="J142" s="10" t="n">
        <f aca="false">STDEV(J2:J139)</f>
        <v>66.2255748838158</v>
      </c>
      <c r="M142" s="10" t="n">
        <f aca="false">STDEV(M2:M139)</f>
        <v>72.6137821143539</v>
      </c>
      <c r="R142" s="10" t="n">
        <f aca="false">STDEV(R2:R139)</f>
        <v>87.8182361702443</v>
      </c>
      <c r="S142" s="10" t="n">
        <f aca="false">STDEV(S2:S139)</f>
        <v>2.50176072557366</v>
      </c>
    </row>
    <row r="144" customFormat="false" ht="15" hidden="false" customHeight="false" outlineLevel="0" collapsed="false">
      <c r="A144" s="11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2026-09-13T21:18:12Z</dcterms:created>
  <dc:creator>openpyxl</dc:creator>
  <dc:description/>
  <dc:language>en-US</dc:language>
  <cp:lastModifiedBy/>
  <dcterms:modified xsi:type="dcterms:W3CDTF">2026-09-13T21:18:12Z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